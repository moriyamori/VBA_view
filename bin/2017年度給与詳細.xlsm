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20" yWindow="480" windowWidth="14205" windowHeight="4440" tabRatio="624" firstSheet="1" activeTab="1"/>
  </bookViews>
  <sheets>
    <sheet name="■2017年度　社員給与詳細 (雛形)" sheetId="9" r:id="rId1"/>
    <sheet name="■2017年度　社員給与詳細" sheetId="13" r:id="rId2"/>
    <sheet name="■振込額一覧" sheetId="6" r:id="rId3"/>
    <sheet name="EmployeeData" sheetId="12" r:id="rId4"/>
    <sheet name="PartData" sheetId="14" r:id="rId5"/>
  </sheets>
  <definedNames>
    <definedName name="_xlnm.Print_Area" localSheetId="1">'■2017年度　社員給与詳細'!$A$1:$P$41</definedName>
    <definedName name="_xlnm.Print_Area" localSheetId="0">'■2017年度　社員給与詳細 (雛形)'!$A$1:$P$60</definedName>
    <definedName name="_xlnm.Print_Titles" localSheetId="1">'■2017年度　社員給与詳細'!$1:$3</definedName>
    <definedName name="_xlnm.Print_Titles" localSheetId="0">'■2017年度　社員給与詳細 (雛形)'!$1:$3</definedName>
  </definedNames>
  <calcPr calcId="125725"/>
</workbook>
</file>

<file path=xl/calcChain.xml><?xml version="1.0" encoding="utf-8"?>
<calcChain xmlns="http://schemas.openxmlformats.org/spreadsheetml/2006/main">
  <c r="D17" i="6"/>
  <c r="E17"/>
  <c r="F17"/>
  <c r="G17"/>
  <c r="H17"/>
  <c r="I17"/>
  <c r="J17"/>
  <c r="K17"/>
  <c r="L17"/>
  <c r="M17"/>
  <c r="N17"/>
  <c r="C17"/>
  <c r="H44" i="13"/>
  <c r="D13"/>
  <c r="C7" i="6" s="1"/>
  <c r="D32" i="13"/>
  <c r="B7" i="6"/>
  <c r="B8"/>
  <c r="D44" i="13"/>
  <c r="F44"/>
  <c r="G44"/>
  <c r="I44"/>
  <c r="J44"/>
  <c r="K44"/>
  <c r="L44"/>
  <c r="M44"/>
  <c r="N44"/>
  <c r="O44"/>
  <c r="E44"/>
  <c r="D31"/>
  <c r="D36"/>
  <c r="D19" i="14"/>
  <c r="D18"/>
  <c r="Q6"/>
  <c r="Q7"/>
  <c r="Q5"/>
  <c r="P19"/>
  <c r="P18"/>
  <c r="N18"/>
  <c r="M18"/>
  <c r="J18"/>
  <c r="I18"/>
  <c r="F18"/>
  <c r="E18"/>
  <c r="Q17"/>
  <c r="Q16"/>
  <c r="Q15"/>
  <c r="Q14"/>
  <c r="Q13"/>
  <c r="Q12"/>
  <c r="Q11"/>
  <c r="Q10"/>
  <c r="Q9"/>
  <c r="Q8"/>
  <c r="Q4"/>
  <c r="O3"/>
  <c r="O18" s="1"/>
  <c r="N3"/>
  <c r="N19" s="1"/>
  <c r="M3"/>
  <c r="M19" s="1"/>
  <c r="L3"/>
  <c r="L18" s="1"/>
  <c r="K3"/>
  <c r="K19" s="1"/>
  <c r="J3"/>
  <c r="J19" s="1"/>
  <c r="I3"/>
  <c r="I19" s="1"/>
  <c r="H3"/>
  <c r="H18" s="1"/>
  <c r="G3"/>
  <c r="G19" s="1"/>
  <c r="F3"/>
  <c r="F19" s="1"/>
  <c r="E3"/>
  <c r="E19" s="1"/>
  <c r="D3"/>
  <c r="Q2"/>
  <c r="Q1"/>
  <c r="D33" i="13" l="1"/>
  <c r="F45"/>
  <c r="N45"/>
  <c r="H45"/>
  <c r="L45"/>
  <c r="M45"/>
  <c r="I45"/>
  <c r="E45"/>
  <c r="O45"/>
  <c r="K45"/>
  <c r="G45"/>
  <c r="J45"/>
  <c r="D45"/>
  <c r="D34"/>
  <c r="Q18" i="14"/>
  <c r="H19"/>
  <c r="L19"/>
  <c r="O19"/>
  <c r="G18"/>
  <c r="K18"/>
  <c r="Q3"/>
  <c r="Q19" l="1"/>
  <c r="D24" i="6" l="1"/>
  <c r="C24"/>
  <c r="F24"/>
  <c r="C8"/>
  <c r="C16" s="1"/>
  <c r="C6" l="1"/>
  <c r="G10"/>
  <c r="Q6" i="12"/>
  <c r="P19"/>
  <c r="O19"/>
  <c r="N19"/>
  <c r="M19"/>
  <c r="L19"/>
  <c r="K19"/>
  <c r="J19"/>
  <c r="I19"/>
  <c r="H19"/>
  <c r="G19"/>
  <c r="F19"/>
  <c r="E19"/>
  <c r="D19"/>
  <c r="P18"/>
  <c r="O18"/>
  <c r="N18"/>
  <c r="M18"/>
  <c r="L18"/>
  <c r="K18"/>
  <c r="J18"/>
  <c r="I18"/>
  <c r="H18"/>
  <c r="G18"/>
  <c r="F18"/>
  <c r="E18"/>
  <c r="D18"/>
  <c r="Q17"/>
  <c r="Q16"/>
  <c r="Q15"/>
  <c r="Q14"/>
  <c r="Q13"/>
  <c r="Q12"/>
  <c r="Q11"/>
  <c r="Q10"/>
  <c r="Q9"/>
  <c r="Q8"/>
  <c r="Q7"/>
  <c r="Q5"/>
  <c r="Q4"/>
  <c r="Q3"/>
  <c r="Q2"/>
  <c r="Q1"/>
  <c r="E24" i="6" l="1"/>
  <c r="Q18" i="12"/>
  <c r="Q19"/>
  <c r="Q30" i="13" l="1"/>
  <c r="Q4"/>
  <c r="Q4" i="9"/>
  <c r="J41" i="13" l="1"/>
  <c r="J40"/>
  <c r="J39"/>
  <c r="J38"/>
  <c r="J37"/>
  <c r="J36"/>
  <c r="D41" l="1"/>
  <c r="E32"/>
  <c r="D63" i="9"/>
  <c r="D52"/>
  <c r="D8" i="6" l="1"/>
  <c r="D16" s="1"/>
  <c r="E41" i="13"/>
  <c r="F41"/>
  <c r="G41"/>
  <c r="H41"/>
  <c r="I41"/>
  <c r="K41"/>
  <c r="L41"/>
  <c r="M41"/>
  <c r="N41"/>
  <c r="O41"/>
  <c r="P41"/>
  <c r="Q41" s="1"/>
  <c r="E40"/>
  <c r="F40"/>
  <c r="G40"/>
  <c r="H40"/>
  <c r="I40"/>
  <c r="K40"/>
  <c r="L40"/>
  <c r="M40"/>
  <c r="N40"/>
  <c r="O40"/>
  <c r="P40"/>
  <c r="E39"/>
  <c r="F39"/>
  <c r="G39"/>
  <c r="H39"/>
  <c r="I39"/>
  <c r="K39"/>
  <c r="L39"/>
  <c r="M39"/>
  <c r="N39"/>
  <c r="O39"/>
  <c r="P39"/>
  <c r="E38"/>
  <c r="F38"/>
  <c r="G38"/>
  <c r="H38"/>
  <c r="I38"/>
  <c r="K38"/>
  <c r="L38"/>
  <c r="M38"/>
  <c r="N38"/>
  <c r="O38"/>
  <c r="P38"/>
  <c r="E37"/>
  <c r="F37"/>
  <c r="G37"/>
  <c r="H37"/>
  <c r="I37"/>
  <c r="K37"/>
  <c r="L37"/>
  <c r="M37"/>
  <c r="N37"/>
  <c r="O37"/>
  <c r="P37"/>
  <c r="E36"/>
  <c r="F36"/>
  <c r="G36"/>
  <c r="H36"/>
  <c r="I36"/>
  <c r="K36"/>
  <c r="L36"/>
  <c r="M36"/>
  <c r="N36"/>
  <c r="O36"/>
  <c r="P36"/>
  <c r="P34"/>
  <c r="Q34" s="1"/>
  <c r="D40"/>
  <c r="D39"/>
  <c r="D38"/>
  <c r="D37"/>
  <c r="P33"/>
  <c r="Q33" s="1"/>
  <c r="E33"/>
  <c r="F33"/>
  <c r="G33"/>
  <c r="H33"/>
  <c r="I33"/>
  <c r="K33"/>
  <c r="L33"/>
  <c r="M33"/>
  <c r="N33"/>
  <c r="O33"/>
  <c r="Q14"/>
  <c r="Q40" l="1"/>
  <c r="Q39"/>
  <c r="Q38"/>
  <c r="Q37"/>
  <c r="Q36"/>
  <c r="O34"/>
  <c r="N34"/>
  <c r="M34"/>
  <c r="L34"/>
  <c r="I34"/>
  <c r="H34"/>
  <c r="G34"/>
  <c r="E34"/>
  <c r="P32"/>
  <c r="P35" s="1"/>
  <c r="O32"/>
  <c r="N8" i="6" s="1"/>
  <c r="N16" s="1"/>
  <c r="N32" i="13"/>
  <c r="M8" i="6" s="1"/>
  <c r="M16" s="1"/>
  <c r="M32" i="13"/>
  <c r="L8" i="6" s="1"/>
  <c r="L16" s="1"/>
  <c r="L32" i="13"/>
  <c r="K8" i="6" s="1"/>
  <c r="K16" s="1"/>
  <c r="K32" i="13"/>
  <c r="J8" i="6" s="1"/>
  <c r="J16" s="1"/>
  <c r="J32" i="13"/>
  <c r="I8" i="6" s="1"/>
  <c r="I16" s="1"/>
  <c r="I32" i="13"/>
  <c r="H8" i="6" s="1"/>
  <c r="H16" s="1"/>
  <c r="H32" i="13"/>
  <c r="G8" i="6" s="1"/>
  <c r="G16" s="1"/>
  <c r="G32" i="13"/>
  <c r="F8" i="6" s="1"/>
  <c r="F16" s="1"/>
  <c r="F32" i="13"/>
  <c r="E8" i="6" s="1"/>
  <c r="E16" s="1"/>
  <c r="P31" i="13"/>
  <c r="O31"/>
  <c r="N31"/>
  <c r="M31"/>
  <c r="L31"/>
  <c r="K31"/>
  <c r="J31"/>
  <c r="I31"/>
  <c r="H31"/>
  <c r="G31"/>
  <c r="F31"/>
  <c r="E31"/>
  <c r="Q29"/>
  <c r="Q28"/>
  <c r="Q27"/>
  <c r="Q26"/>
  <c r="Q25"/>
  <c r="Q24"/>
  <c r="Q23"/>
  <c r="Q22"/>
  <c r="Q21"/>
  <c r="Q20"/>
  <c r="Q19"/>
  <c r="Q18"/>
  <c r="Q17"/>
  <c r="Q16"/>
  <c r="Q15"/>
  <c r="O13"/>
  <c r="N7" i="6" s="1"/>
  <c r="N13" i="13"/>
  <c r="M7" i="6" s="1"/>
  <c r="M13" i="13"/>
  <c r="L7" i="6" s="1"/>
  <c r="L13" i="13"/>
  <c r="K7" i="6" s="1"/>
  <c r="K13" i="13"/>
  <c r="J7" i="6" s="1"/>
  <c r="J13" i="13"/>
  <c r="I7" i="6" s="1"/>
  <c r="I13" i="13"/>
  <c r="H7" i="6" s="1"/>
  <c r="H13" i="13"/>
  <c r="G7" i="6" s="1"/>
  <c r="G13" i="13"/>
  <c r="F7" i="6" s="1"/>
  <c r="F13" i="13"/>
  <c r="E7" i="6" s="1"/>
  <c r="E13" i="13"/>
  <c r="D7" i="6" s="1"/>
  <c r="D6" s="1"/>
  <c r="Q12" i="13"/>
  <c r="Q11"/>
  <c r="Q10"/>
  <c r="Q9"/>
  <c r="Q8"/>
  <c r="Q7"/>
  <c r="Q6"/>
  <c r="Q5"/>
  <c r="E6" i="6" l="1"/>
  <c r="I6"/>
  <c r="M6"/>
  <c r="F6"/>
  <c r="J6"/>
  <c r="N6"/>
  <c r="H6"/>
  <c r="G6"/>
  <c r="K6"/>
  <c r="L6"/>
  <c r="N15"/>
  <c r="D15"/>
  <c r="D18" s="1"/>
  <c r="K15"/>
  <c r="C15"/>
  <c r="D35" i="13"/>
  <c r="O8" i="6"/>
  <c r="F34" i="13"/>
  <c r="J33"/>
  <c r="J34"/>
  <c r="O35"/>
  <c r="Q32"/>
  <c r="Q8" i="6" s="1"/>
  <c r="K35" i="13"/>
  <c r="K34"/>
  <c r="I35"/>
  <c r="H35"/>
  <c r="G35"/>
  <c r="M35"/>
  <c r="L35"/>
  <c r="Q31"/>
  <c r="E35"/>
  <c r="Q13"/>
  <c r="Q7" i="6" s="1"/>
  <c r="F35" i="13"/>
  <c r="J35"/>
  <c r="N35"/>
  <c r="D23" i="6" l="1"/>
  <c r="D25" s="1"/>
  <c r="F23"/>
  <c r="F25" s="1"/>
  <c r="C23"/>
  <c r="C25" s="1"/>
  <c r="E23"/>
  <c r="E25" s="1"/>
  <c r="C18"/>
  <c r="O7"/>
  <c r="O16"/>
  <c r="Q35" i="13"/>
  <c r="O63" i="9" l="1"/>
  <c r="N63"/>
  <c r="M63"/>
  <c r="L63"/>
  <c r="K63"/>
  <c r="J63"/>
  <c r="I63"/>
  <c r="H63"/>
  <c r="G63"/>
  <c r="F63"/>
  <c r="E63"/>
  <c r="R63"/>
  <c r="Q60"/>
  <c r="P60"/>
  <c r="O60"/>
  <c r="N60"/>
  <c r="M60"/>
  <c r="L60"/>
  <c r="K60"/>
  <c r="J60"/>
  <c r="I60"/>
  <c r="H60"/>
  <c r="G60"/>
  <c r="F60"/>
  <c r="E60"/>
  <c r="D60"/>
  <c r="Q59"/>
  <c r="P59"/>
  <c r="O59"/>
  <c r="N59"/>
  <c r="M59"/>
  <c r="L59"/>
  <c r="K59"/>
  <c r="J59"/>
  <c r="I59"/>
  <c r="H59"/>
  <c r="G59"/>
  <c r="F59"/>
  <c r="E59"/>
  <c r="D59"/>
  <c r="Q58"/>
  <c r="P58"/>
  <c r="O58"/>
  <c r="N58"/>
  <c r="M58"/>
  <c r="L58"/>
  <c r="K58"/>
  <c r="J58"/>
  <c r="I58"/>
  <c r="H58"/>
  <c r="G58"/>
  <c r="F58"/>
  <c r="E58"/>
  <c r="D58"/>
  <c r="Q57"/>
  <c r="P57"/>
  <c r="O57"/>
  <c r="N57"/>
  <c r="M57"/>
  <c r="L57"/>
  <c r="K57"/>
  <c r="J57"/>
  <c r="I57"/>
  <c r="H57"/>
  <c r="G57"/>
  <c r="F57"/>
  <c r="E57"/>
  <c r="D57"/>
  <c r="Q56"/>
  <c r="P56"/>
  <c r="O56"/>
  <c r="N56"/>
  <c r="M56"/>
  <c r="L56"/>
  <c r="K56"/>
  <c r="J56"/>
  <c r="I56"/>
  <c r="H56"/>
  <c r="G56"/>
  <c r="F56"/>
  <c r="E56"/>
  <c r="D56"/>
  <c r="Q55"/>
  <c r="P55"/>
  <c r="O55"/>
  <c r="N55"/>
  <c r="M55"/>
  <c r="L55"/>
  <c r="K55"/>
  <c r="J55"/>
  <c r="I55"/>
  <c r="H55"/>
  <c r="G55"/>
  <c r="F55"/>
  <c r="E55"/>
  <c r="D55"/>
  <c r="P53"/>
  <c r="O53"/>
  <c r="M53"/>
  <c r="K53"/>
  <c r="I53"/>
  <c r="G53"/>
  <c r="E53"/>
  <c r="P52"/>
  <c r="O52"/>
  <c r="M52"/>
  <c r="K52"/>
  <c r="I52"/>
  <c r="G52"/>
  <c r="E52"/>
  <c r="P51"/>
  <c r="O51"/>
  <c r="O54" s="1"/>
  <c r="M51"/>
  <c r="M54" s="1"/>
  <c r="K51"/>
  <c r="K54" s="1"/>
  <c r="I51"/>
  <c r="I54" s="1"/>
  <c r="G51"/>
  <c r="G54" s="1"/>
  <c r="E51"/>
  <c r="E54" s="1"/>
  <c r="P50"/>
  <c r="O50"/>
  <c r="O64" s="1"/>
  <c r="M50"/>
  <c r="M64" s="1"/>
  <c r="K50"/>
  <c r="K64" s="1"/>
  <c r="I50"/>
  <c r="I64" s="1"/>
  <c r="G50"/>
  <c r="G64" s="1"/>
  <c r="E50"/>
  <c r="E64" s="1"/>
  <c r="Q49"/>
  <c r="Q48"/>
  <c r="Q47"/>
  <c r="Q46"/>
  <c r="Q45"/>
  <c r="Q44"/>
  <c r="Q43"/>
  <c r="Q42"/>
  <c r="Q41"/>
  <c r="Q40"/>
  <c r="Q39"/>
  <c r="Q38"/>
  <c r="Q37"/>
  <c r="Q36"/>
  <c r="O35"/>
  <c r="N35"/>
  <c r="N53" s="1"/>
  <c r="M35"/>
  <c r="L35"/>
  <c r="L52" s="1"/>
  <c r="K35"/>
  <c r="J35"/>
  <c r="J53" s="1"/>
  <c r="I35"/>
  <c r="H35"/>
  <c r="H52" s="1"/>
  <c r="G35"/>
  <c r="F35"/>
  <c r="F53" s="1"/>
  <c r="E35"/>
  <c r="D35"/>
  <c r="Q52" s="1"/>
  <c r="Q34"/>
  <c r="Q33"/>
  <c r="P32"/>
  <c r="P54" s="1"/>
  <c r="O32"/>
  <c r="N32"/>
  <c r="M32"/>
  <c r="L32"/>
  <c r="K32"/>
  <c r="J32"/>
  <c r="I32"/>
  <c r="H32"/>
  <c r="G32"/>
  <c r="F32"/>
  <c r="E32"/>
  <c r="D32"/>
  <c r="Q32" s="1"/>
  <c r="P31"/>
  <c r="O31"/>
  <c r="N31"/>
  <c r="M31"/>
  <c r="L31"/>
  <c r="K31"/>
  <c r="J31"/>
  <c r="I31"/>
  <c r="H31"/>
  <c r="G31"/>
  <c r="F31"/>
  <c r="E31"/>
  <c r="D31"/>
  <c r="Q31" s="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4" l="1"/>
  <c r="F50"/>
  <c r="F64" s="1"/>
  <c r="J50"/>
  <c r="J64" s="1"/>
  <c r="N50"/>
  <c r="N64" s="1"/>
  <c r="D51"/>
  <c r="H51"/>
  <c r="H54" s="1"/>
  <c r="L51"/>
  <c r="L54" s="1"/>
  <c r="F52"/>
  <c r="J52"/>
  <c r="N52"/>
  <c r="D53"/>
  <c r="Q53" s="1"/>
  <c r="H53"/>
  <c r="L53"/>
  <c r="Q13"/>
  <c r="Q35"/>
  <c r="D50"/>
  <c r="H50"/>
  <c r="H64" s="1"/>
  <c r="L50"/>
  <c r="L64" s="1"/>
  <c r="F51"/>
  <c r="J51"/>
  <c r="J54" s="1"/>
  <c r="N51"/>
  <c r="N54" s="1"/>
  <c r="Q50" l="1"/>
  <c r="D64"/>
  <c r="R64" s="1"/>
  <c r="Q51"/>
  <c r="D54"/>
  <c r="Q54" s="1"/>
  <c r="M15" i="6" l="1"/>
  <c r="J15" l="1"/>
  <c r="L15"/>
  <c r="I15"/>
  <c r="H15"/>
  <c r="F15"/>
  <c r="G15"/>
  <c r="E15"/>
  <c r="O15" l="1"/>
  <c r="O17"/>
  <c r="L18"/>
  <c r="I18" l="1"/>
  <c r="F18"/>
  <c r="K18"/>
  <c r="N18"/>
  <c r="J18"/>
  <c r="G18"/>
  <c r="E18"/>
  <c r="M18"/>
  <c r="H18" l="1"/>
  <c r="O18" s="1"/>
  <c r="G2" l="1"/>
</calcChain>
</file>

<file path=xl/comments1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2.xml><?xml version="1.0" encoding="utf-8"?>
<comments xmlns="http://schemas.openxmlformats.org/spreadsheetml/2006/main">
  <authors>
    <author>Yasuhiro Tanaka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sharedStrings.xml><?xml version="1.0" encoding="utf-8"?>
<sst xmlns="http://schemas.openxmlformats.org/spreadsheetml/2006/main" count="257" uniqueCount="98">
  <si>
    <t>氏名</t>
    <rPh sb="0" eb="2">
      <t>シメイ</t>
    </rPh>
    <phoneticPr fontId="3"/>
  </si>
  <si>
    <t>内容</t>
    <rPh sb="0" eb="2">
      <t>ナイヨウ</t>
    </rPh>
    <phoneticPr fontId="3"/>
  </si>
  <si>
    <t>2月</t>
    <rPh sb="1" eb="2">
      <t>ガツ</t>
    </rPh>
    <phoneticPr fontId="3"/>
  </si>
  <si>
    <t>3月</t>
    <rPh sb="1" eb="2">
      <t>ガツ</t>
    </rPh>
    <phoneticPr fontId="3"/>
  </si>
  <si>
    <t>雇用保険</t>
    <rPh sb="0" eb="2">
      <t>コヨウ</t>
    </rPh>
    <rPh sb="2" eb="4">
      <t>ホケン</t>
    </rPh>
    <phoneticPr fontId="3"/>
  </si>
  <si>
    <t>計</t>
    <rPh sb="0" eb="1">
      <t>ケイ</t>
    </rPh>
    <phoneticPr fontId="3"/>
  </si>
  <si>
    <t>役員手当</t>
    <rPh sb="0" eb="2">
      <t>ヤクイン</t>
    </rPh>
    <rPh sb="2" eb="4">
      <t>テアテ</t>
    </rPh>
    <phoneticPr fontId="3"/>
  </si>
  <si>
    <t>所得税</t>
    <rPh sb="0" eb="3">
      <t>ショトクゼイ</t>
    </rPh>
    <phoneticPr fontId="3"/>
  </si>
  <si>
    <t>基本給</t>
    <rPh sb="0" eb="3">
      <t>キホンキュウ</t>
    </rPh>
    <phoneticPr fontId="3"/>
  </si>
  <si>
    <t>営業手当</t>
    <rPh sb="0" eb="2">
      <t>エイギョウ</t>
    </rPh>
    <rPh sb="2" eb="4">
      <t>テアテ</t>
    </rPh>
    <phoneticPr fontId="3"/>
  </si>
  <si>
    <t>交通費</t>
    <rPh sb="0" eb="3">
      <t>コウツウヒ</t>
    </rPh>
    <phoneticPr fontId="3"/>
  </si>
  <si>
    <t>控除</t>
    <rPh sb="0" eb="2">
      <t>コウジョ</t>
    </rPh>
    <phoneticPr fontId="3"/>
  </si>
  <si>
    <t>支給１</t>
    <rPh sb="0" eb="2">
      <t>シキュウ</t>
    </rPh>
    <phoneticPr fontId="3"/>
  </si>
  <si>
    <t>支給２</t>
    <rPh sb="0" eb="2">
      <t>シキュウ</t>
    </rPh>
    <phoneticPr fontId="3"/>
  </si>
  <si>
    <t>役職手当</t>
    <rPh sb="0" eb="2">
      <t>ヤクショク</t>
    </rPh>
    <rPh sb="2" eb="4">
      <t>テアテ</t>
    </rPh>
    <phoneticPr fontId="3"/>
  </si>
  <si>
    <t>扶養家族手当</t>
    <rPh sb="0" eb="2">
      <t>フヨウ</t>
    </rPh>
    <rPh sb="2" eb="4">
      <t>カゾク</t>
    </rPh>
    <rPh sb="4" eb="6">
      <t>テアテ</t>
    </rPh>
    <phoneticPr fontId="3"/>
  </si>
  <si>
    <t>住宅手当</t>
    <rPh sb="0" eb="2">
      <t>ジュウタク</t>
    </rPh>
    <rPh sb="2" eb="4">
      <t>テアテ</t>
    </rPh>
    <phoneticPr fontId="3"/>
  </si>
  <si>
    <t>住民税</t>
    <rPh sb="0" eb="3">
      <t>ジュウミンゼイ</t>
    </rPh>
    <phoneticPr fontId="3"/>
  </si>
  <si>
    <t>健康保険料</t>
    <rPh sb="0" eb="2">
      <t>ケンコウ</t>
    </rPh>
    <rPh sb="2" eb="5">
      <t>ホケンリョウ</t>
    </rPh>
    <phoneticPr fontId="3"/>
  </si>
  <si>
    <t>厚生年金</t>
    <rPh sb="0" eb="2">
      <t>コウセイ</t>
    </rPh>
    <rPh sb="2" eb="4">
      <t>ネンキン</t>
    </rPh>
    <phoneticPr fontId="3"/>
  </si>
  <si>
    <t>源泉徴収合計</t>
    <rPh sb="0" eb="2">
      <t>ゲンセン</t>
    </rPh>
    <rPh sb="2" eb="4">
      <t>チョウシュウ</t>
    </rPh>
    <rPh sb="4" eb="6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</si>
  <si>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</si>
  <si>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雇用保険合計</t>
    <rPh sb="0" eb="2">
      <t>コヨウ</t>
    </rPh>
    <rPh sb="2" eb="4">
      <t>ホケン</t>
    </rPh>
    <rPh sb="4" eb="6">
      <t>ゴウケイ</t>
    </rPh>
    <phoneticPr fontId="3"/>
  </si>
  <si>
    <t>９月支給</t>
    <rPh sb="1" eb="2">
      <t>ガツ</t>
    </rPh>
    <rPh sb="2" eb="4">
      <t>シキュウ</t>
    </rPh>
    <phoneticPr fontId="3"/>
  </si>
  <si>
    <t>６月支給</t>
    <rPh sb="1" eb="2">
      <t>ガツ</t>
    </rPh>
    <rPh sb="2" eb="4">
      <t>シキュウ</t>
    </rPh>
    <phoneticPr fontId="3"/>
  </si>
  <si>
    <t>７月支給</t>
    <rPh sb="1" eb="2">
      <t>ガツ</t>
    </rPh>
    <rPh sb="2" eb="4">
      <t>シキュウ</t>
    </rPh>
    <phoneticPr fontId="3"/>
  </si>
  <si>
    <t>８月支給</t>
    <rPh sb="1" eb="2">
      <t>ガツ</t>
    </rPh>
    <rPh sb="2" eb="4">
      <t>シキュウ</t>
    </rPh>
    <phoneticPr fontId="3"/>
  </si>
  <si>
    <t>１０月支給</t>
    <rPh sb="2" eb="3">
      <t>ガツ</t>
    </rPh>
    <rPh sb="3" eb="5">
      <t>シキュウ</t>
    </rPh>
    <phoneticPr fontId="3"/>
  </si>
  <si>
    <t>１２月支給</t>
    <rPh sb="2" eb="3">
      <t>ガツ</t>
    </rPh>
    <rPh sb="3" eb="5">
      <t>シキュウ</t>
    </rPh>
    <phoneticPr fontId="3"/>
  </si>
  <si>
    <t>8月</t>
    <phoneticPr fontId="3"/>
  </si>
  <si>
    <t>支給２</t>
    <phoneticPr fontId="3"/>
  </si>
  <si>
    <t>総支給額</t>
    <phoneticPr fontId="3"/>
  </si>
  <si>
    <t>１月支給</t>
    <rPh sb="1" eb="2">
      <t>ガツ</t>
    </rPh>
    <rPh sb="2" eb="4">
      <t>シキュウ</t>
    </rPh>
    <phoneticPr fontId="3"/>
  </si>
  <si>
    <t>２月支給</t>
    <rPh sb="1" eb="2">
      <t>ガツ</t>
    </rPh>
    <rPh sb="2" eb="4">
      <t>シキュウ</t>
    </rPh>
    <phoneticPr fontId="3"/>
  </si>
  <si>
    <t>３月支給</t>
    <rPh sb="1" eb="2">
      <t>ガツ</t>
    </rPh>
    <rPh sb="2" eb="4">
      <t>シキュウ</t>
    </rPh>
    <phoneticPr fontId="3"/>
  </si>
  <si>
    <t>４月支給</t>
    <rPh sb="1" eb="2">
      <t>ガツ</t>
    </rPh>
    <rPh sb="2" eb="4">
      <t>シキュウ</t>
    </rPh>
    <phoneticPr fontId="3"/>
  </si>
  <si>
    <t>５月支給</t>
    <rPh sb="1" eb="2">
      <t>ガツ</t>
    </rPh>
    <rPh sb="2" eb="4">
      <t>シキュウ</t>
    </rPh>
    <phoneticPr fontId="3"/>
  </si>
  <si>
    <t>１１月支給</t>
    <rPh sb="2" eb="3">
      <t>ガツ</t>
    </rPh>
    <rPh sb="3" eb="5">
      <t>シキュウ</t>
    </rPh>
    <phoneticPr fontId="3"/>
  </si>
  <si>
    <t>特別手当</t>
    <rPh sb="0" eb="2">
      <t>トクベツ</t>
    </rPh>
    <rPh sb="2" eb="4">
      <t>テアテ</t>
    </rPh>
    <phoneticPr fontId="3"/>
  </si>
  <si>
    <t>会社貸付金</t>
    <rPh sb="0" eb="2">
      <t>カイシャ</t>
    </rPh>
    <rPh sb="2" eb="4">
      <t>カシツケ</t>
    </rPh>
    <rPh sb="4" eb="5">
      <t>キン</t>
    </rPh>
    <phoneticPr fontId="3"/>
  </si>
  <si>
    <t>月給与合計</t>
    <rPh sb="0" eb="1">
      <t>ツキ</t>
    </rPh>
    <rPh sb="1" eb="3">
      <t>キュウヨ</t>
    </rPh>
    <rPh sb="3" eb="5">
      <t>ゴウケイ</t>
    </rPh>
    <phoneticPr fontId="3"/>
  </si>
  <si>
    <t>従業員月給与計</t>
    <rPh sb="0" eb="3">
      <t>ジュウギョウイン</t>
    </rPh>
    <rPh sb="3" eb="4">
      <t>ツキ</t>
    </rPh>
    <rPh sb="4" eb="6">
      <t>キュウヨ</t>
    </rPh>
    <rPh sb="6" eb="7">
      <t>ケイ</t>
    </rPh>
    <phoneticPr fontId="3"/>
  </si>
  <si>
    <t>調整金</t>
    <rPh sb="0" eb="2">
      <t>チョウセイ</t>
    </rPh>
    <rPh sb="2" eb="3">
      <t>キン</t>
    </rPh>
    <phoneticPr fontId="3"/>
  </si>
  <si>
    <t>市民税徴収合計</t>
    <rPh sb="0" eb="3">
      <t>シミンゼイ</t>
    </rPh>
    <rPh sb="3" eb="5">
      <t>チョウシュウ</t>
    </rPh>
    <rPh sb="5" eb="7">
      <t>ゴウケイ</t>
    </rPh>
    <phoneticPr fontId="3"/>
  </si>
  <si>
    <t>9月</t>
    <phoneticPr fontId="3"/>
  </si>
  <si>
    <t>10月</t>
    <phoneticPr fontId="3"/>
  </si>
  <si>
    <t>11月</t>
    <phoneticPr fontId="3"/>
  </si>
  <si>
    <t>12月</t>
    <phoneticPr fontId="3"/>
  </si>
  <si>
    <t>1月</t>
    <phoneticPr fontId="3"/>
  </si>
  <si>
    <t>4月</t>
    <phoneticPr fontId="3"/>
  </si>
  <si>
    <t>5月</t>
    <phoneticPr fontId="3"/>
  </si>
  <si>
    <t>6月</t>
    <phoneticPr fontId="3"/>
  </si>
  <si>
    <t>管理手当</t>
    <rPh sb="0" eb="2">
      <t>カンリ</t>
    </rPh>
    <rPh sb="2" eb="4">
      <t>テアテ</t>
    </rPh>
    <phoneticPr fontId="3"/>
  </si>
  <si>
    <t>厚生費合計</t>
    <rPh sb="0" eb="3">
      <t>コウセイヒ</t>
    </rPh>
    <rPh sb="3" eb="5">
      <t>ゴウケイ</t>
    </rPh>
    <phoneticPr fontId="3"/>
  </si>
  <si>
    <t>課税対象額</t>
    <rPh sb="0" eb="2">
      <t>カゼイ</t>
    </rPh>
    <rPh sb="2" eb="4">
      <t>タイショウ</t>
    </rPh>
    <rPh sb="4" eb="5">
      <t>ガク</t>
    </rPh>
    <phoneticPr fontId="3"/>
  </si>
  <si>
    <t>精算分1</t>
    <rPh sb="2" eb="3">
      <t>ブン</t>
    </rPh>
    <phoneticPr fontId="3"/>
  </si>
  <si>
    <t>精算分2</t>
    <rPh sb="2" eb="3">
      <t>ブン</t>
    </rPh>
    <phoneticPr fontId="3"/>
  </si>
  <si>
    <t>精算合計</t>
    <rPh sb="0" eb="2">
      <t>セイサン</t>
    </rPh>
    <rPh sb="2" eb="4">
      <t>ゴウケイ</t>
    </rPh>
    <phoneticPr fontId="3"/>
  </si>
  <si>
    <t>年合計</t>
    <rPh sb="0" eb="1">
      <t>ネン</t>
    </rPh>
    <rPh sb="1" eb="3">
      <t>ゴウケイ</t>
    </rPh>
    <phoneticPr fontId="3"/>
  </si>
  <si>
    <t>7月</t>
    <phoneticPr fontId="3"/>
  </si>
  <si>
    <t>厚生年金</t>
  </si>
  <si>
    <t>精算分3</t>
    <rPh sb="2" eb="3">
      <t>ブン</t>
    </rPh>
    <phoneticPr fontId="3"/>
  </si>
  <si>
    <t>■社員</t>
    <rPh sb="1" eb="3">
      <t>シャイン</t>
    </rPh>
    <phoneticPr fontId="3"/>
  </si>
  <si>
    <t>■アルバイト・パート</t>
    <phoneticPr fontId="3"/>
  </si>
  <si>
    <t>年度支給額計</t>
    <rPh sb="0" eb="2">
      <t>ネンド</t>
    </rPh>
    <rPh sb="2" eb="5">
      <t>シキュウガク</t>
    </rPh>
    <rPh sb="5" eb="6">
      <t>ケイ</t>
    </rPh>
    <phoneticPr fontId="3"/>
  </si>
  <si>
    <t>社員月次計</t>
    <rPh sb="0" eb="2">
      <t>シャイン</t>
    </rPh>
    <rPh sb="2" eb="4">
      <t>ゲツジ</t>
    </rPh>
    <rPh sb="4" eb="5">
      <t>ケイ</t>
    </rPh>
    <phoneticPr fontId="3"/>
  </si>
  <si>
    <t>ｱﾙﾊﾞｲﾄ･ﾊﾟｰﾄ月次計</t>
    <rPh sb="11" eb="13">
      <t>ゲツジ</t>
    </rPh>
    <rPh sb="13" eb="14">
      <t>ケイ</t>
    </rPh>
    <phoneticPr fontId="3"/>
  </si>
  <si>
    <t>月次合計</t>
    <rPh sb="0" eb="2">
      <t>ゲツジ</t>
    </rPh>
    <rPh sb="2" eb="4">
      <t>ゴウケイ</t>
    </rPh>
    <phoneticPr fontId="3"/>
  </si>
  <si>
    <t>9月支給賞与</t>
    <phoneticPr fontId="3"/>
  </si>
  <si>
    <t>ボーナス込み</t>
    <rPh sb="4" eb="5">
      <t>コ</t>
    </rPh>
    <phoneticPr fontId="3"/>
  </si>
  <si>
    <t>精算分2</t>
    <rPh sb="0" eb="2">
      <t>セイサン</t>
    </rPh>
    <rPh sb="2" eb="3">
      <t>ブン</t>
    </rPh>
    <phoneticPr fontId="3"/>
  </si>
  <si>
    <t>精算分1</t>
    <rPh sb="0" eb="2">
      <t>セイサン</t>
    </rPh>
    <rPh sb="2" eb="3">
      <t>ブン</t>
    </rPh>
    <phoneticPr fontId="3"/>
  </si>
  <si>
    <t>役員計</t>
    <rPh sb="0" eb="2">
      <t>ヤクイン</t>
    </rPh>
    <rPh sb="2" eb="3">
      <t>ケイ</t>
    </rPh>
    <phoneticPr fontId="3"/>
  </si>
  <si>
    <t>１１月～３月支給</t>
    <rPh sb="2" eb="3">
      <t>ガツ</t>
    </rPh>
    <rPh sb="5" eb="6">
      <t>ガツ</t>
    </rPh>
    <rPh sb="6" eb="8">
      <t>シキュウ</t>
    </rPh>
    <phoneticPr fontId="3"/>
  </si>
  <si>
    <t>４月～１０月支給</t>
    <rPh sb="1" eb="2">
      <t>ガツ</t>
    </rPh>
    <rPh sb="5" eb="6">
      <t>ガツ</t>
    </rPh>
    <rPh sb="6" eb="8">
      <t>シキュウ</t>
    </rPh>
    <phoneticPr fontId="3"/>
  </si>
  <si>
    <t>社員</t>
    <rPh sb="0" eb="2">
      <t>シャイン</t>
    </rPh>
    <phoneticPr fontId="3"/>
  </si>
  <si>
    <t>アルバイト</t>
    <phoneticPr fontId="3"/>
  </si>
  <si>
    <t>合計</t>
    <rPh sb="0" eb="2">
      <t>ゴウケイ</t>
    </rPh>
    <phoneticPr fontId="3"/>
  </si>
  <si>
    <t>２０１７年度社員給与明細</t>
    <rPh sb="4" eb="5">
      <t>ネン</t>
    </rPh>
    <rPh sb="5" eb="6">
      <t>ド</t>
    </rPh>
    <rPh sb="6" eb="8">
      <t>シャイン</t>
    </rPh>
    <rPh sb="8" eb="10">
      <t>キュウヨ</t>
    </rPh>
    <rPh sb="10" eb="12">
      <t>メイサイ</t>
    </rPh>
    <phoneticPr fontId="3"/>
  </si>
  <si>
    <t>2017年</t>
    <rPh sb="4" eb="5">
      <t>ネン</t>
    </rPh>
    <phoneticPr fontId="3"/>
  </si>
  <si>
    <t>★２０１７年度　給与振込額一覧</t>
    <rPh sb="5" eb="6">
      <t>ネン</t>
    </rPh>
    <rPh sb="6" eb="7">
      <t>ド</t>
    </rPh>
    <rPh sb="8" eb="10">
      <t>キュウヨ</t>
    </rPh>
    <rPh sb="10" eb="12">
      <t>フリコミ</t>
    </rPh>
    <rPh sb="12" eb="13">
      <t>ガク</t>
    </rPh>
    <rPh sb="13" eb="15">
      <t>イチラン</t>
    </rPh>
    <phoneticPr fontId="3"/>
  </si>
  <si>
    <t>社員計</t>
    <rPh sb="0" eb="2">
      <t>シャイン</t>
    </rPh>
    <rPh sb="2" eb="3">
      <t>ケイ</t>
    </rPh>
    <phoneticPr fontId="3"/>
  </si>
  <si>
    <t>バイト計</t>
    <rPh sb="3" eb="4">
      <t>ケイ</t>
    </rPh>
    <phoneticPr fontId="3"/>
  </si>
  <si>
    <t>あああ</t>
    <phoneticPr fontId="3"/>
  </si>
  <si>
    <t>時給</t>
    <rPh sb="0" eb="2">
      <t>ジキュウ</t>
    </rPh>
    <phoneticPr fontId="3"/>
  </si>
  <si>
    <t>時間数</t>
    <rPh sb="0" eb="3">
      <t>ジカンスウ</t>
    </rPh>
    <phoneticPr fontId="3"/>
  </si>
  <si>
    <t>小計</t>
    <rPh sb="0" eb="2">
      <t>ショウケイ</t>
    </rPh>
    <phoneticPr fontId="3"/>
  </si>
  <si>
    <t xml:space="preserve">基本給 </t>
    <rPh sb="0" eb="3">
      <t>キホンキュウ</t>
    </rPh>
    <phoneticPr fontId="3"/>
  </si>
  <si>
    <t xml:space="preserve">営業手当 </t>
    <rPh sb="0" eb="2">
      <t>エイギョウ</t>
    </rPh>
    <rPh sb="2" eb="4">
      <t>テアテ</t>
    </rPh>
    <phoneticPr fontId="3"/>
  </si>
  <si>
    <t xml:space="preserve">役職手当 </t>
    <rPh sb="0" eb="2">
      <t>ヤクショク</t>
    </rPh>
    <rPh sb="2" eb="4">
      <t>テアテ</t>
    </rPh>
    <phoneticPr fontId="3"/>
  </si>
  <si>
    <t xml:space="preserve">管理手当 </t>
    <rPh sb="0" eb="2">
      <t>カンリ</t>
    </rPh>
    <rPh sb="2" eb="4">
      <t>テアテ</t>
    </rPh>
    <phoneticPr fontId="3"/>
  </si>
  <si>
    <t xml:space="preserve">住宅手当 </t>
    <rPh sb="0" eb="2">
      <t>ジュウタク</t>
    </rPh>
    <rPh sb="2" eb="4">
      <t>テアテ</t>
    </rPh>
    <phoneticPr fontId="3"/>
  </si>
  <si>
    <t xml:space="preserve">特別手当 </t>
    <rPh sb="0" eb="2">
      <t>トクベツ</t>
    </rPh>
    <rPh sb="2" eb="4">
      <t>テアテ</t>
    </rPh>
    <phoneticPr fontId="3"/>
  </si>
  <si>
    <t xml:space="preserve">扶養家族手当 </t>
    <rPh sb="0" eb="2">
      <t>フヨウ</t>
    </rPh>
    <rPh sb="2" eb="4">
      <t>カゾク</t>
    </rPh>
    <rPh sb="4" eb="6">
      <t>テアテ</t>
    </rPh>
    <phoneticPr fontId="3"/>
  </si>
  <si>
    <t xml:space="preserve">調整金 </t>
    <rPh sb="0" eb="2">
      <t>チョウセイ</t>
    </rPh>
    <rPh sb="2" eb="3">
      <t>キン</t>
    </rPh>
    <phoneticPr fontId="3"/>
  </si>
  <si>
    <t xml:space="preserve">支給 </t>
    <rPh sb="0" eb="2">
      <t>シキュウ</t>
    </rPh>
    <phoneticPr fontId="3"/>
  </si>
  <si>
    <t>金田</t>
    <rPh sb="0" eb="2">
      <t>カネダ</t>
    </rPh>
    <phoneticPr fontId="3"/>
  </si>
  <si>
    <t>上代</t>
    <rPh sb="0" eb="2">
      <t>カミシロ</t>
    </rPh>
    <phoneticPr fontId="3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</si>
</sst>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42" formatCode="_ &quot;¥&quot;* #,##0_ ;_ &quot;¥&quot;* \-#,##0_ ;_ &quot;¥&quot;* &quot;-&quot;_ ;_ @_ "/>
    <numFmt numFmtId="176" formatCode="0.0_);[Red]\(0.0\)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color indexed="9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0.1499984740745262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0" tint="-0.34998626667073579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671F8"/>
        <bgColor indexed="64"/>
      </patternFill>
    </fill>
    <fill>
      <patternFill patternType="solid">
        <fgColor theme="7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92">
    <xf numFmtId="0" fontId="0" fillId="0" borderId="0" xfId="0"/>
    <xf numFmtId="42" fontId="4" fillId="0" borderId="0" xfId="0" applyNumberFormat="1" applyFont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42" fontId="4" fillId="0" borderId="0" xfId="0" applyNumberFormat="1" applyFont="1" applyAlignment="1">
      <alignment horizontal="center"/>
    </xf>
    <xf numFmtId="0" fontId="2" fillId="0" borderId="7" xfId="0" applyFont="1" applyBorder="1" applyAlignment="1">
      <alignment horizontal="center"/>
    </xf>
    <xf numFmtId="0" fontId="5" fillId="2" borderId="0" xfId="0" applyFont="1" applyFill="1"/>
    <xf numFmtId="42" fontId="4" fillId="0" borderId="9" xfId="0" applyNumberFormat="1" applyFont="1" applyFill="1" applyBorder="1"/>
    <xf numFmtId="42" fontId="4" fillId="0" borderId="10" xfId="0" applyNumberFormat="1" applyFont="1" applyFill="1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42" fontId="2" fillId="0" borderId="15" xfId="0" applyNumberFormat="1" applyFont="1" applyBorder="1"/>
    <xf numFmtId="42" fontId="6" fillId="2" borderId="16" xfId="0" applyNumberFormat="1" applyFont="1" applyFill="1" applyBorder="1" applyAlignment="1">
      <alignment horizontal="center"/>
    </xf>
    <xf numFmtId="42" fontId="4" fillId="0" borderId="0" xfId="0" applyNumberFormat="1" applyFont="1" applyFill="1" applyBorder="1"/>
    <xf numFmtId="42" fontId="2" fillId="0" borderId="0" xfId="0" applyNumberFormat="1" applyFont="1" applyBorder="1"/>
    <xf numFmtId="0" fontId="2" fillId="0" borderId="0" xfId="0" applyFont="1" applyFill="1" applyBorder="1" applyAlignment="1">
      <alignment horizontal="center"/>
    </xf>
    <xf numFmtId="42" fontId="4" fillId="0" borderId="17" xfId="0" applyNumberFormat="1" applyFont="1" applyFill="1" applyBorder="1"/>
    <xf numFmtId="42" fontId="4" fillId="0" borderId="18" xfId="0" applyNumberFormat="1" applyFont="1" applyFill="1" applyBorder="1"/>
    <xf numFmtId="42" fontId="4" fillId="0" borderId="19" xfId="0" applyNumberFormat="1" applyFont="1" applyFill="1" applyBorder="1"/>
    <xf numFmtId="42" fontId="4" fillId="0" borderId="20" xfId="0" applyNumberFormat="1" applyFont="1" applyFill="1" applyBorder="1"/>
    <xf numFmtId="42" fontId="4" fillId="0" borderId="21" xfId="0" applyNumberFormat="1" applyFont="1" applyFill="1" applyBorder="1"/>
    <xf numFmtId="42" fontId="4" fillId="0" borderId="22" xfId="0" applyNumberFormat="1" applyFont="1" applyFill="1" applyBorder="1"/>
    <xf numFmtId="42" fontId="4" fillId="0" borderId="23" xfId="0" applyNumberFormat="1" applyFont="1" applyFill="1" applyBorder="1"/>
    <xf numFmtId="42" fontId="4" fillId="0" borderId="0" xfId="0" applyNumberFormat="1" applyFont="1" applyFill="1"/>
    <xf numFmtId="42" fontId="4" fillId="0" borderId="0" xfId="0" applyNumberFormat="1" applyFont="1" applyFill="1" applyAlignment="1">
      <alignment horizontal="center"/>
    </xf>
    <xf numFmtId="42" fontId="4" fillId="4" borderId="0" xfId="0" applyNumberFormat="1" applyFont="1" applyFill="1"/>
    <xf numFmtId="42" fontId="4" fillId="4" borderId="0" xfId="0" applyNumberFormat="1" applyFont="1" applyFill="1" applyBorder="1"/>
    <xf numFmtId="14" fontId="4" fillId="0" borderId="0" xfId="0" applyNumberFormat="1" applyFont="1"/>
    <xf numFmtId="42" fontId="2" fillId="0" borderId="0" xfId="0" applyNumberFormat="1" applyFont="1"/>
    <xf numFmtId="0" fontId="2" fillId="5" borderId="29" xfId="0" applyFont="1" applyFill="1" applyBorder="1" applyAlignment="1">
      <alignment horizontal="center"/>
    </xf>
    <xf numFmtId="42" fontId="2" fillId="5" borderId="16" xfId="0" applyNumberFormat="1" applyFont="1" applyFill="1" applyBorder="1" applyAlignment="1">
      <alignment horizontal="center"/>
    </xf>
    <xf numFmtId="42" fontId="4" fillId="6" borderId="31" xfId="0" applyNumberFormat="1" applyFont="1" applyFill="1" applyBorder="1"/>
    <xf numFmtId="42" fontId="4" fillId="6" borderId="32" xfId="0" applyNumberFormat="1" applyFont="1" applyFill="1" applyBorder="1"/>
    <xf numFmtId="42" fontId="4" fillId="6" borderId="33" xfId="0" applyNumberFormat="1" applyFont="1" applyFill="1" applyBorder="1"/>
    <xf numFmtId="42" fontId="2" fillId="6" borderId="34" xfId="0" applyNumberFormat="1" applyFont="1" applyFill="1" applyBorder="1"/>
    <xf numFmtId="42" fontId="2" fillId="6" borderId="35" xfId="0" applyNumberFormat="1" applyFont="1" applyFill="1" applyBorder="1"/>
    <xf numFmtId="42" fontId="4" fillId="6" borderId="5" xfId="0" applyNumberFormat="1" applyFont="1" applyFill="1" applyBorder="1"/>
    <xf numFmtId="42" fontId="4" fillId="6" borderId="25" xfId="0" applyNumberFormat="1" applyFont="1" applyFill="1" applyBorder="1"/>
    <xf numFmtId="42" fontId="2" fillId="6" borderId="12" xfId="0" applyNumberFormat="1" applyFont="1" applyFill="1" applyBorder="1"/>
    <xf numFmtId="42" fontId="4" fillId="6" borderId="1" xfId="0" applyNumberFormat="1" applyFont="1" applyFill="1" applyBorder="1"/>
    <xf numFmtId="42" fontId="4" fillId="6" borderId="27" xfId="0" applyNumberFormat="1" applyFont="1" applyFill="1" applyBorder="1"/>
    <xf numFmtId="42" fontId="2" fillId="6" borderId="13" xfId="0" applyNumberFormat="1" applyFont="1" applyFill="1" applyBorder="1"/>
    <xf numFmtId="42" fontId="4" fillId="6" borderId="6" xfId="0" applyNumberFormat="1" applyFont="1" applyFill="1" applyBorder="1"/>
    <xf numFmtId="42" fontId="4" fillId="6" borderId="9" xfId="0" applyNumberFormat="1" applyFont="1" applyFill="1" applyBorder="1"/>
    <xf numFmtId="42" fontId="4" fillId="6" borderId="36" xfId="0" applyNumberFormat="1" applyFont="1" applyFill="1" applyBorder="1"/>
    <xf numFmtId="42" fontId="4" fillId="7" borderId="7" xfId="0" applyNumberFormat="1" applyFont="1" applyFill="1" applyBorder="1"/>
    <xf numFmtId="42" fontId="4" fillId="7" borderId="37" xfId="0" applyNumberFormat="1" applyFont="1" applyFill="1" applyBorder="1"/>
    <xf numFmtId="42" fontId="4" fillId="7" borderId="38" xfId="0" applyNumberFormat="1" applyFont="1" applyFill="1" applyBorder="1"/>
    <xf numFmtId="42" fontId="2" fillId="7" borderId="15" xfId="0" applyNumberFormat="1" applyFont="1" applyFill="1" applyBorder="1"/>
    <xf numFmtId="42" fontId="4" fillId="7" borderId="39" xfId="0" applyNumberFormat="1" applyFont="1" applyFill="1" applyBorder="1"/>
    <xf numFmtId="0" fontId="0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42" fontId="10" fillId="5" borderId="0" xfId="0" applyNumberFormat="1" applyFont="1" applyFill="1" applyBorder="1" applyAlignment="1">
      <alignment horizontal="center"/>
    </xf>
    <xf numFmtId="0" fontId="15" fillId="0" borderId="0" xfId="0" applyFont="1"/>
    <xf numFmtId="42" fontId="15" fillId="0" borderId="0" xfId="0" applyNumberFormat="1" applyFont="1"/>
    <xf numFmtId="42" fontId="11" fillId="0" borderId="0" xfId="0" applyNumberFormat="1" applyFont="1"/>
    <xf numFmtId="0" fontId="0" fillId="0" borderId="0" xfId="0" applyFont="1"/>
    <xf numFmtId="0" fontId="10" fillId="7" borderId="0" xfId="0" applyFont="1" applyFill="1"/>
    <xf numFmtId="0" fontId="0" fillId="7" borderId="0" xfId="0" applyFill="1"/>
    <xf numFmtId="42" fontId="10" fillId="0" borderId="0" xfId="0" applyNumberFormat="1" applyFont="1" applyAlignment="1">
      <alignment horizontal="center"/>
    </xf>
    <xf numFmtId="42" fontId="10" fillId="0" borderId="0" xfId="0" applyNumberFormat="1" applyFont="1" applyFill="1" applyAlignment="1">
      <alignment horizontal="center"/>
    </xf>
    <xf numFmtId="0" fontId="0" fillId="0" borderId="0" xfId="0" applyFont="1" applyAlignment="1"/>
    <xf numFmtId="42" fontId="4" fillId="0" borderId="25" xfId="0" applyNumberFormat="1" applyFont="1" applyFill="1" applyBorder="1"/>
    <xf numFmtId="42" fontId="4" fillId="0" borderId="11" xfId="0" applyNumberFormat="1" applyFont="1" applyFill="1" applyBorder="1"/>
    <xf numFmtId="42" fontId="4" fillId="0" borderId="26" xfId="0" applyNumberFormat="1" applyFont="1" applyFill="1" applyBorder="1"/>
    <xf numFmtId="42" fontId="4" fillId="0" borderId="27" xfId="0" applyNumberFormat="1" applyFont="1" applyFill="1" applyBorder="1"/>
    <xf numFmtId="42" fontId="15" fillId="0" borderId="0" xfId="0" applyNumberFormat="1" applyFont="1" applyFill="1"/>
    <xf numFmtId="0" fontId="15" fillId="0" borderId="0" xfId="0" applyFont="1" applyFill="1"/>
    <xf numFmtId="42" fontId="1" fillId="5" borderId="28" xfId="0" applyNumberFormat="1" applyFont="1" applyFill="1" applyBorder="1" applyAlignment="1">
      <alignment horizontal="center"/>
    </xf>
    <xf numFmtId="42" fontId="0" fillId="5" borderId="28" xfId="0" applyNumberFormat="1" applyFont="1" applyFill="1" applyBorder="1" applyAlignment="1">
      <alignment horizontal="center"/>
    </xf>
    <xf numFmtId="42" fontId="2" fillId="5" borderId="28" xfId="0" applyNumberFormat="1" applyFont="1" applyFill="1" applyBorder="1" applyAlignment="1">
      <alignment horizontal="center"/>
    </xf>
    <xf numFmtId="42" fontId="4" fillId="0" borderId="5" xfId="0" applyNumberFormat="1" applyFont="1" applyFill="1" applyBorder="1"/>
    <xf numFmtId="42" fontId="4" fillId="0" borderId="1" xfId="0" applyNumberFormat="1" applyFont="1" applyFill="1" applyBorder="1"/>
    <xf numFmtId="42" fontId="4" fillId="0" borderId="6" xfId="0" applyNumberFormat="1" applyFont="1" applyFill="1" applyBorder="1"/>
    <xf numFmtId="42" fontId="4" fillId="0" borderId="41" xfId="0" applyNumberFormat="1" applyFont="1" applyFill="1" applyBorder="1"/>
    <xf numFmtId="42" fontId="4" fillId="0" borderId="4" xfId="0" applyNumberFormat="1" applyFont="1" applyFill="1" applyBorder="1"/>
    <xf numFmtId="42" fontId="4" fillId="0" borderId="2" xfId="0" applyNumberFormat="1" applyFont="1" applyFill="1" applyBorder="1"/>
    <xf numFmtId="42" fontId="4" fillId="0" borderId="42" xfId="0" applyNumberFormat="1" applyFont="1" applyFill="1" applyBorder="1"/>
    <xf numFmtId="42" fontId="4" fillId="0" borderId="3" xfId="0" applyNumberFormat="1" applyFont="1" applyFill="1" applyBorder="1"/>
    <xf numFmtId="42" fontId="4" fillId="0" borderId="43" xfId="0" applyNumberFormat="1" applyFont="1" applyFill="1" applyBorder="1"/>
    <xf numFmtId="42" fontId="4" fillId="0" borderId="44" xfId="0" applyNumberFormat="1" applyFont="1" applyFill="1" applyBorder="1"/>
    <xf numFmtId="176" fontId="4" fillId="0" borderId="6" xfId="0" applyNumberFormat="1" applyFont="1" applyFill="1" applyBorder="1"/>
    <xf numFmtId="42" fontId="4" fillId="0" borderId="7" xfId="0" applyNumberFormat="1" applyFont="1" applyFill="1" applyBorder="1"/>
    <xf numFmtId="0" fontId="0" fillId="0" borderId="7" xfId="0" applyFont="1" applyBorder="1" applyAlignment="1">
      <alignment horizontal="center"/>
    </xf>
    <xf numFmtId="42" fontId="0" fillId="0" borderId="0" xfId="0" applyNumberFormat="1"/>
    <xf numFmtId="42" fontId="4" fillId="0" borderId="63" xfId="0" applyNumberFormat="1" applyFont="1" applyFill="1" applyBorder="1"/>
    <xf numFmtId="0" fontId="16" fillId="0" borderId="0" xfId="0" applyFont="1" applyFill="1"/>
    <xf numFmtId="6" fontId="0" fillId="0" borderId="0" xfId="1" applyFont="1" applyAlignment="1"/>
    <xf numFmtId="0" fontId="0" fillId="0" borderId="0" xfId="0" applyFont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2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ill="1"/>
    <xf numFmtId="42" fontId="2" fillId="7" borderId="35" xfId="0" applyNumberFormat="1" applyFont="1" applyFill="1" applyBorder="1"/>
    <xf numFmtId="42" fontId="2" fillId="0" borderId="66" xfId="0" applyNumberFormat="1" applyFont="1" applyFill="1" applyBorder="1"/>
    <xf numFmtId="42" fontId="2" fillId="0" borderId="13" xfId="0" applyNumberFormat="1" applyFont="1" applyFill="1" applyBorder="1"/>
    <xf numFmtId="42" fontId="2" fillId="0" borderId="34" xfId="0" applyNumberFormat="1" applyFont="1" applyFill="1" applyBorder="1"/>
    <xf numFmtId="42" fontId="2" fillId="0" borderId="12" xfId="0" applyNumberFormat="1" applyFont="1" applyFill="1" applyBorder="1"/>
    <xf numFmtId="42" fontId="2" fillId="0" borderId="15" xfId="0" applyNumberFormat="1" applyFont="1" applyFill="1" applyBorder="1"/>
    <xf numFmtId="42" fontId="2" fillId="0" borderId="14" xfId="0" applyNumberFormat="1" applyFont="1" applyFill="1" applyBorder="1"/>
    <xf numFmtId="0" fontId="17" fillId="0" borderId="0" xfId="0" applyNumberFormat="1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 applyFill="1"/>
    <xf numFmtId="0" fontId="0" fillId="13" borderId="8" xfId="0" applyFill="1" applyBorder="1" applyAlignment="1">
      <alignment horizontal="center" vertical="center"/>
    </xf>
    <xf numFmtId="14" fontId="4" fillId="0" borderId="0" xfId="0" applyNumberFormat="1" applyFont="1" applyFill="1"/>
    <xf numFmtId="0" fontId="5" fillId="14" borderId="0" xfId="0" applyFont="1" applyFill="1"/>
    <xf numFmtId="0" fontId="2" fillId="14" borderId="0" xfId="0" applyFont="1" applyFill="1"/>
    <xf numFmtId="0" fontId="2" fillId="14" borderId="0" xfId="0" applyFont="1" applyFill="1" applyAlignment="1">
      <alignment horizontal="center"/>
    </xf>
    <xf numFmtId="0" fontId="0" fillId="0" borderId="0" xfId="0" applyNumberFormat="1"/>
    <xf numFmtId="42" fontId="0" fillId="0" borderId="0" xfId="0" applyNumberFormat="1" applyBorder="1"/>
    <xf numFmtId="0" fontId="0" fillId="0" borderId="64" xfId="0" applyNumberFormat="1" applyBorder="1"/>
    <xf numFmtId="42" fontId="0" fillId="0" borderId="64" xfId="0" applyNumberFormat="1" applyBorder="1"/>
    <xf numFmtId="42" fontId="0" fillId="0" borderId="65" xfId="0" applyNumberFormat="1" applyBorder="1"/>
    <xf numFmtId="0" fontId="0" fillId="0" borderId="65" xfId="0" applyNumberFormat="1" applyBorder="1"/>
    <xf numFmtId="0" fontId="0" fillId="0" borderId="0" xfId="0" applyNumberFormat="1" applyBorder="1"/>
    <xf numFmtId="0" fontId="13" fillId="14" borderId="0" xfId="0" applyFont="1" applyFill="1"/>
    <xf numFmtId="0" fontId="14" fillId="14" borderId="0" xfId="0" applyFont="1" applyFill="1"/>
    <xf numFmtId="0" fontId="2" fillId="6" borderId="5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2" fillId="6" borderId="52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0" fillId="8" borderId="46" xfId="0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center"/>
    </xf>
    <xf numFmtId="0" fontId="0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5" borderId="59" xfId="0" applyFont="1" applyFill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6" borderId="67" xfId="0" applyFont="1" applyFill="1" applyBorder="1" applyAlignment="1">
      <alignment horizontal="center"/>
    </xf>
    <xf numFmtId="0" fontId="2" fillId="6" borderId="68" xfId="0" applyFont="1" applyFill="1" applyBorder="1" applyAlignment="1">
      <alignment horizontal="center"/>
    </xf>
    <xf numFmtId="0" fontId="2" fillId="6" borderId="69" xfId="0" applyFont="1" applyFill="1" applyBorder="1" applyAlignment="1">
      <alignment horizontal="center"/>
    </xf>
    <xf numFmtId="0" fontId="2" fillId="6" borderId="70" xfId="0" applyFont="1" applyFill="1" applyBorder="1" applyAlignment="1">
      <alignment horizontal="center"/>
    </xf>
    <xf numFmtId="0" fontId="2" fillId="6" borderId="71" xfId="0" applyFont="1" applyFill="1" applyBorder="1" applyAlignment="1">
      <alignment horizontal="center"/>
    </xf>
    <xf numFmtId="0" fontId="2" fillId="6" borderId="72" xfId="0" applyFont="1" applyFill="1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2" fillId="13" borderId="8" xfId="0" applyFont="1" applyFill="1" applyBorder="1" applyAlignment="1">
      <alignment horizontal="center" vertical="center"/>
    </xf>
    <xf numFmtId="0" fontId="2" fillId="13" borderId="40" xfId="0" applyFont="1" applyFill="1" applyBorder="1" applyAlignment="1">
      <alignment horizontal="center" vertical="center"/>
    </xf>
    <xf numFmtId="0" fontId="2" fillId="13" borderId="30" xfId="0" applyFont="1" applyFill="1" applyBorder="1" applyAlignment="1">
      <alignment horizontal="center" vertical="center"/>
    </xf>
    <xf numFmtId="0" fontId="2" fillId="13" borderId="61" xfId="0" applyFont="1" applyFill="1" applyBorder="1" applyAlignment="1">
      <alignment horizontal="center" vertical="center"/>
    </xf>
    <xf numFmtId="0" fontId="2" fillId="13" borderId="62" xfId="0" applyFont="1" applyFill="1" applyBorder="1" applyAlignment="1">
      <alignment horizontal="center" vertical="center"/>
    </xf>
    <xf numFmtId="0" fontId="2" fillId="13" borderId="24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2" fillId="12" borderId="8" xfId="0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center" vertical="center"/>
    </xf>
    <xf numFmtId="0" fontId="2" fillId="12" borderId="30" xfId="0" applyFont="1" applyFill="1" applyBorder="1" applyAlignment="1">
      <alignment horizontal="center" vertical="center"/>
    </xf>
    <xf numFmtId="0" fontId="0" fillId="12" borderId="49" xfId="0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colors>
    <mruColors>
      <color rgb="FF5671F8"/>
      <color rgb="FF4E8FF8"/>
      <color rgb="FF76BBFA"/>
      <color rgb="FF000066"/>
      <color rgb="FF0827C4"/>
      <color rgb="FFC1E3FF"/>
      <color rgb="FF9ACBF8"/>
      <color rgb="FF6FDFF5"/>
      <color rgb="FFF7FAF4"/>
      <color rgb="FFF2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76249</xdr:colOff>
      <xdr:row>0</xdr:row>
      <xdr:rowOff>931333</xdr:rowOff>
    </xdr:from>
    <xdr:ext cx="1003251" cy="456331"/>
    <xdr:sp macro="[0]!employeeAddButton" textlink="">
      <xdr:nvSpPr>
        <xdr:cNvPr id="2" name="角丸四角形 1"/>
        <xdr:cNvSpPr/>
      </xdr:nvSpPr>
      <xdr:spPr bwMode="auto">
        <a:xfrm>
          <a:off x="2965499" y="931333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社員追加</a:t>
          </a:r>
        </a:p>
      </xdr:txBody>
    </xdr:sp>
    <xdr:clientData/>
  </xdr:oneCellAnchor>
  <xdr:oneCellAnchor>
    <xdr:from>
      <xdr:col>4</xdr:col>
      <xdr:colOff>228652</xdr:colOff>
      <xdr:row>0</xdr:row>
      <xdr:rowOff>935564</xdr:rowOff>
    </xdr:from>
    <xdr:ext cx="1003251" cy="456331"/>
    <xdr:sp macro="[0]!employeeDeleteButton" textlink="">
      <xdr:nvSpPr>
        <xdr:cNvPr id="3" name="角丸四角形 2"/>
        <xdr:cNvSpPr/>
      </xdr:nvSpPr>
      <xdr:spPr bwMode="auto">
        <a:xfrm>
          <a:off x="4017485" y="935564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社員削除</a:t>
          </a:r>
        </a:p>
      </xdr:txBody>
    </xdr:sp>
    <xdr:clientData/>
  </xdr:oneCellAnchor>
  <xdr:oneCellAnchor>
    <xdr:from>
      <xdr:col>6</xdr:col>
      <xdr:colOff>565199</xdr:colOff>
      <xdr:row>0</xdr:row>
      <xdr:rowOff>944032</xdr:rowOff>
    </xdr:from>
    <xdr:ext cx="1003251" cy="456331"/>
    <xdr:sp macro="[0]!partTimeDeleteButton" textlink="">
      <xdr:nvSpPr>
        <xdr:cNvPr id="5" name="角丸四角形 4"/>
        <xdr:cNvSpPr/>
      </xdr:nvSpPr>
      <xdr:spPr bwMode="auto">
        <a:xfrm>
          <a:off x="6153199" y="94403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バイト削除</a:t>
          </a:r>
        </a:p>
      </xdr:txBody>
    </xdr:sp>
    <xdr:clientData/>
  </xdr:oneCellAnchor>
  <xdr:oneCellAnchor>
    <xdr:from>
      <xdr:col>5</xdr:col>
      <xdr:colOff>389516</xdr:colOff>
      <xdr:row>0</xdr:row>
      <xdr:rowOff>937682</xdr:rowOff>
    </xdr:from>
    <xdr:ext cx="1003251" cy="456331"/>
    <xdr:sp macro="[0]!partTimeAddButton" textlink="">
      <xdr:nvSpPr>
        <xdr:cNvPr id="6" name="角丸四角形 5"/>
        <xdr:cNvSpPr/>
      </xdr:nvSpPr>
      <xdr:spPr bwMode="auto">
        <a:xfrm>
          <a:off x="5077933" y="93768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バイト追加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5"/>
  <sheetViews>
    <sheetView zoomScale="90" zoomScaleNormal="90" workbookViewId="0">
      <pane xSplit="3" ySplit="3" topLeftCell="M4" activePane="bottomRight" state="frozen"/>
      <selection pane="topRight" activeCell="D1" sqref="D1"/>
      <selection pane="bottomLeft" activeCell="A4" sqref="A4"/>
      <selection pane="bottomRight" activeCell="D14" sqref="D14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5" t="s">
        <v>1</v>
      </c>
      <c r="C3" s="166"/>
      <c r="D3" s="82" t="s">
        <v>44</v>
      </c>
      <c r="E3" s="82" t="s">
        <v>45</v>
      </c>
      <c r="F3" s="82" t="s">
        <v>46</v>
      </c>
      <c r="G3" s="82" t="s">
        <v>47</v>
      </c>
      <c r="H3" s="82" t="s">
        <v>48</v>
      </c>
      <c r="I3" s="82" t="s">
        <v>2</v>
      </c>
      <c r="J3" s="82" t="s">
        <v>3</v>
      </c>
      <c r="K3" s="83" t="s">
        <v>49</v>
      </c>
      <c r="L3" s="82" t="s">
        <v>50</v>
      </c>
      <c r="M3" s="82" t="s">
        <v>51</v>
      </c>
      <c r="N3" s="84" t="s">
        <v>59</v>
      </c>
      <c r="O3" s="41" t="s">
        <v>29</v>
      </c>
      <c r="P3" s="23" t="s">
        <v>68</v>
      </c>
    </row>
    <row r="4" spans="1:17">
      <c r="A4" s="160" t="s">
        <v>83</v>
      </c>
      <c r="B4" s="103" t="s">
        <v>12</v>
      </c>
      <c r="C4" s="3" t="s">
        <v>6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76"/>
      <c r="P4" s="30"/>
      <c r="Q4" s="19">
        <f>SUM(D4:P4)</f>
        <v>0</v>
      </c>
    </row>
    <row r="5" spans="1:17">
      <c r="A5" s="161"/>
      <c r="B5" s="164" t="s">
        <v>11</v>
      </c>
      <c r="C5" s="5" t="s">
        <v>7</v>
      </c>
      <c r="D5" s="92"/>
      <c r="E5" s="91"/>
      <c r="F5" s="92"/>
      <c r="G5" s="92"/>
      <c r="H5" s="92"/>
      <c r="I5" s="92"/>
      <c r="J5" s="92"/>
      <c r="K5" s="92"/>
      <c r="L5" s="92"/>
      <c r="M5" s="92"/>
      <c r="N5" s="92"/>
      <c r="O5" s="77"/>
      <c r="P5" s="27"/>
      <c r="Q5" s="20">
        <f t="shared" ref="Q5:Q32" si="0">SUM(D5:P5)</f>
        <v>0</v>
      </c>
    </row>
    <row r="6" spans="1:17">
      <c r="A6" s="161"/>
      <c r="B6" s="164"/>
      <c r="C6" s="15" t="s">
        <v>39</v>
      </c>
      <c r="D6" s="87"/>
      <c r="E6" s="88"/>
      <c r="F6" s="87"/>
      <c r="G6" s="87"/>
      <c r="H6" s="87"/>
      <c r="I6" s="87"/>
      <c r="J6" s="87"/>
      <c r="K6" s="87"/>
      <c r="L6" s="87"/>
      <c r="M6" s="87"/>
      <c r="N6" s="87"/>
      <c r="O6" s="17"/>
      <c r="P6" s="28"/>
      <c r="Q6" s="20">
        <f t="shared" si="0"/>
        <v>0</v>
      </c>
    </row>
    <row r="7" spans="1:17">
      <c r="A7" s="161"/>
      <c r="B7" s="164"/>
      <c r="C7" s="6" t="s">
        <v>17</v>
      </c>
      <c r="D7" s="87"/>
      <c r="E7" s="93"/>
      <c r="F7" s="89"/>
      <c r="G7" s="89"/>
      <c r="H7" s="89"/>
      <c r="I7" s="89"/>
      <c r="J7" s="89"/>
      <c r="K7" s="89"/>
      <c r="L7" s="87"/>
      <c r="M7" s="87"/>
      <c r="N7" s="87"/>
      <c r="O7" s="17"/>
      <c r="P7" s="28"/>
      <c r="Q7" s="20">
        <f t="shared" si="0"/>
        <v>0</v>
      </c>
    </row>
    <row r="8" spans="1:17">
      <c r="A8" s="161"/>
      <c r="B8" s="164"/>
      <c r="C8" s="6" t="s">
        <v>18</v>
      </c>
      <c r="D8" s="89"/>
      <c r="E8" s="93"/>
      <c r="F8" s="89"/>
      <c r="G8" s="89"/>
      <c r="H8" s="89"/>
      <c r="I8" s="89"/>
      <c r="J8" s="89"/>
      <c r="K8" s="89"/>
      <c r="L8" s="89"/>
      <c r="M8" s="89"/>
      <c r="N8" s="89"/>
      <c r="O8" s="78"/>
      <c r="P8" s="32"/>
      <c r="Q8" s="20">
        <f t="shared" si="0"/>
        <v>0</v>
      </c>
    </row>
    <row r="9" spans="1:17">
      <c r="A9" s="161"/>
      <c r="B9" s="164"/>
      <c r="C9" s="4" t="s">
        <v>19</v>
      </c>
      <c r="D9" s="90"/>
      <c r="E9" s="94"/>
      <c r="F9" s="90"/>
      <c r="G9" s="90"/>
      <c r="H9" s="90"/>
      <c r="I9" s="90"/>
      <c r="J9" s="90"/>
      <c r="K9" s="90"/>
      <c r="L9" s="90"/>
      <c r="M9" s="90"/>
      <c r="N9" s="90"/>
      <c r="O9" s="18"/>
      <c r="P9" s="33"/>
      <c r="Q9" s="22">
        <f t="shared" si="0"/>
        <v>0</v>
      </c>
    </row>
    <row r="10" spans="1:17">
      <c r="A10" s="161"/>
      <c r="B10" s="167" t="s">
        <v>30</v>
      </c>
      <c r="C10" s="5" t="s">
        <v>10</v>
      </c>
      <c r="D10" s="92"/>
      <c r="E10" s="91"/>
      <c r="F10" s="92"/>
      <c r="G10" s="92"/>
      <c r="H10" s="92"/>
      <c r="I10" s="92"/>
      <c r="J10" s="92"/>
      <c r="K10" s="92"/>
      <c r="L10" s="92"/>
      <c r="M10" s="92"/>
      <c r="N10" s="92"/>
      <c r="O10" s="77"/>
      <c r="P10" s="27"/>
      <c r="Q10" s="21">
        <f t="shared" si="0"/>
        <v>0</v>
      </c>
    </row>
    <row r="11" spans="1:17">
      <c r="A11" s="161"/>
      <c r="B11" s="168"/>
      <c r="C11" s="97" t="s">
        <v>71</v>
      </c>
      <c r="D11" s="87"/>
      <c r="E11" s="99"/>
      <c r="F11" s="96"/>
      <c r="G11" s="96"/>
      <c r="H11" s="96"/>
      <c r="I11" s="96"/>
      <c r="J11" s="96"/>
      <c r="K11" s="96"/>
      <c r="L11" s="96"/>
      <c r="M11" s="86"/>
      <c r="N11" s="86"/>
      <c r="O11" s="17"/>
      <c r="P11" s="29"/>
      <c r="Q11" s="20">
        <f t="shared" si="0"/>
        <v>0</v>
      </c>
    </row>
    <row r="12" spans="1:17">
      <c r="A12" s="161"/>
      <c r="B12" s="169"/>
      <c r="C12" s="97" t="s">
        <v>70</v>
      </c>
      <c r="D12" s="90"/>
      <c r="E12" s="94"/>
      <c r="F12" s="94"/>
      <c r="G12" s="94"/>
      <c r="H12" s="94"/>
      <c r="I12" s="90"/>
      <c r="J12" s="90"/>
      <c r="K12" s="90"/>
      <c r="L12" s="90"/>
      <c r="M12" s="87"/>
      <c r="N12" s="90"/>
      <c r="O12" s="18"/>
      <c r="P12" s="33"/>
      <c r="Q12" s="20">
        <f>SUM(D12:P12)</f>
        <v>0</v>
      </c>
    </row>
    <row r="13" spans="1:17" ht="14.25" thickBot="1">
      <c r="A13" s="162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60"/>
      <c r="B14" s="163" t="s">
        <v>12</v>
      </c>
      <c r="C14" s="7" t="s">
        <v>8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76"/>
      <c r="P14" s="30"/>
      <c r="Q14" s="19">
        <f t="shared" si="0"/>
        <v>0</v>
      </c>
    </row>
    <row r="15" spans="1:17">
      <c r="A15" s="161"/>
      <c r="B15" s="156"/>
      <c r="C15" s="3" t="s">
        <v>14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79"/>
      <c r="P15" s="31"/>
      <c r="Q15" s="20">
        <f t="shared" si="0"/>
        <v>0</v>
      </c>
    </row>
    <row r="16" spans="1:17">
      <c r="A16" s="161"/>
      <c r="B16" s="164"/>
      <c r="C16" s="8" t="s">
        <v>9</v>
      </c>
      <c r="D16" s="87"/>
      <c r="E16" s="88"/>
      <c r="F16" s="88"/>
      <c r="G16" s="88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61"/>
      <c r="B17" s="164"/>
      <c r="C17" s="6" t="s">
        <v>52</v>
      </c>
      <c r="D17" s="89"/>
      <c r="E17" s="87"/>
      <c r="F17" s="87"/>
      <c r="G17" s="89"/>
      <c r="H17" s="89"/>
      <c r="I17" s="89"/>
      <c r="J17" s="89"/>
      <c r="K17" s="89"/>
      <c r="L17" s="89"/>
      <c r="M17" s="89"/>
      <c r="N17" s="89"/>
      <c r="O17" s="78"/>
      <c r="P17" s="32"/>
      <c r="Q17" s="20">
        <f t="shared" si="0"/>
        <v>0</v>
      </c>
    </row>
    <row r="18" spans="1:17">
      <c r="A18" s="161"/>
      <c r="B18" s="164"/>
      <c r="C18" s="6" t="s">
        <v>16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78"/>
      <c r="P18" s="32"/>
      <c r="Q18" s="20">
        <f t="shared" si="0"/>
        <v>0</v>
      </c>
    </row>
    <row r="19" spans="1:17">
      <c r="A19" s="161"/>
      <c r="B19" s="164"/>
      <c r="C19" s="6" t="s">
        <v>38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78"/>
      <c r="P19" s="32"/>
      <c r="Q19" s="20">
        <f t="shared" si="0"/>
        <v>0</v>
      </c>
    </row>
    <row r="20" spans="1:17">
      <c r="A20" s="161"/>
      <c r="B20" s="164"/>
      <c r="C20" s="8" t="s">
        <v>15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78"/>
      <c r="P20" s="32"/>
      <c r="Q20" s="20">
        <f t="shared" si="0"/>
        <v>0</v>
      </c>
    </row>
    <row r="21" spans="1:17">
      <c r="A21" s="161"/>
      <c r="B21" s="164"/>
      <c r="C21" s="15" t="s">
        <v>42</v>
      </c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18"/>
      <c r="P21" s="33"/>
      <c r="Q21" s="22">
        <f t="shared" si="0"/>
        <v>0</v>
      </c>
    </row>
    <row r="22" spans="1:17">
      <c r="A22" s="161"/>
      <c r="B22" s="164" t="s">
        <v>11</v>
      </c>
      <c r="C22" s="5" t="s">
        <v>7</v>
      </c>
      <c r="D22" s="91"/>
      <c r="E22" s="91"/>
      <c r="F22" s="91"/>
      <c r="G22" s="91"/>
      <c r="H22" s="91"/>
      <c r="I22" s="91"/>
      <c r="J22" s="91"/>
      <c r="K22" s="91"/>
      <c r="L22" s="92"/>
      <c r="M22" s="92"/>
      <c r="N22" s="92"/>
      <c r="O22" s="77"/>
      <c r="P22" s="27"/>
      <c r="Q22" s="21">
        <f t="shared" si="0"/>
        <v>0</v>
      </c>
    </row>
    <row r="23" spans="1:17">
      <c r="A23" s="161"/>
      <c r="B23" s="164"/>
      <c r="C23" s="6" t="s">
        <v>4</v>
      </c>
      <c r="D23" s="93"/>
      <c r="E23" s="93"/>
      <c r="F23" s="93"/>
      <c r="G23" s="93"/>
      <c r="H23" s="93"/>
      <c r="I23" s="93"/>
      <c r="J23" s="93"/>
      <c r="K23" s="93"/>
      <c r="L23" s="89"/>
      <c r="M23" s="89"/>
      <c r="N23" s="89"/>
      <c r="O23" s="78"/>
      <c r="P23" s="32"/>
      <c r="Q23" s="20">
        <f t="shared" si="0"/>
        <v>0</v>
      </c>
    </row>
    <row r="24" spans="1:17">
      <c r="A24" s="161"/>
      <c r="B24" s="164"/>
      <c r="C24" s="6" t="s">
        <v>17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8"/>
      <c r="P24" s="32"/>
      <c r="Q24" s="20">
        <f t="shared" si="0"/>
        <v>0</v>
      </c>
    </row>
    <row r="25" spans="1:17">
      <c r="A25" s="161"/>
      <c r="B25" s="164"/>
      <c r="C25" s="6" t="s">
        <v>18</v>
      </c>
      <c r="D25" s="88"/>
      <c r="E25" s="88"/>
      <c r="F25" s="88"/>
      <c r="G25" s="88"/>
      <c r="H25" s="89"/>
      <c r="I25" s="89"/>
      <c r="J25" s="89"/>
      <c r="K25" s="89"/>
      <c r="L25" s="89"/>
      <c r="M25" s="89"/>
      <c r="N25" s="89"/>
      <c r="O25" s="78"/>
      <c r="P25" s="32"/>
      <c r="Q25" s="20">
        <f t="shared" si="0"/>
        <v>0</v>
      </c>
    </row>
    <row r="26" spans="1:17">
      <c r="A26" s="161"/>
      <c r="B26" s="164"/>
      <c r="C26" s="4" t="s">
        <v>19</v>
      </c>
      <c r="D26" s="94"/>
      <c r="E26" s="94"/>
      <c r="F26" s="94"/>
      <c r="G26" s="94"/>
      <c r="H26" s="90"/>
      <c r="I26" s="90"/>
      <c r="J26" s="90"/>
      <c r="K26" s="90"/>
      <c r="L26" s="90"/>
      <c r="M26" s="90"/>
      <c r="N26" s="90"/>
      <c r="O26" s="18"/>
      <c r="P26" s="33"/>
      <c r="Q26" s="22">
        <f t="shared" si="0"/>
        <v>0</v>
      </c>
    </row>
    <row r="27" spans="1:17">
      <c r="A27" s="161"/>
      <c r="B27" s="164" t="s">
        <v>13</v>
      </c>
      <c r="C27" s="5" t="s">
        <v>10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77"/>
      <c r="P27" s="27"/>
      <c r="Q27" s="21">
        <f t="shared" si="0"/>
        <v>0</v>
      </c>
    </row>
    <row r="28" spans="1:17">
      <c r="A28" s="161"/>
      <c r="B28" s="164"/>
      <c r="C28" s="8" t="s">
        <v>55</v>
      </c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17"/>
      <c r="P28" s="28"/>
      <c r="Q28" s="20">
        <f t="shared" si="0"/>
        <v>0</v>
      </c>
    </row>
    <row r="29" spans="1:17">
      <c r="A29" s="161"/>
      <c r="B29" s="164"/>
      <c r="C29" s="8" t="s">
        <v>56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17"/>
      <c r="P29" s="28"/>
      <c r="Q29" s="20">
        <f t="shared" si="0"/>
        <v>0</v>
      </c>
    </row>
    <row r="30" spans="1:17">
      <c r="A30" s="161"/>
      <c r="B30" s="164"/>
      <c r="C30" s="61" t="s">
        <v>61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18"/>
      <c r="P30" s="33"/>
      <c r="Q30" s="22">
        <f t="shared" si="0"/>
        <v>0</v>
      </c>
    </row>
    <row r="31" spans="1:17">
      <c r="A31" s="161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62"/>
      <c r="B32" s="149" t="s">
        <v>5</v>
      </c>
      <c r="C32" s="150"/>
      <c r="D32" s="42">
        <f t="shared" ref="D32:O32" si="3">SUM(D14:D21)-SUM(D22:D26)+SUM(D27:D30)</f>
        <v>0</v>
      </c>
      <c r="E32" s="42">
        <f t="shared" si="3"/>
        <v>0</v>
      </c>
      <c r="F32" s="42">
        <f t="shared" si="3"/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0</v>
      </c>
    </row>
    <row r="33" spans="1:17">
      <c r="A33" s="151"/>
      <c r="B33" s="154" t="s">
        <v>12</v>
      </c>
      <c r="C33" s="104" t="s">
        <v>84</v>
      </c>
      <c r="D33" s="85">
        <v>950</v>
      </c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30"/>
      <c r="Q33" s="19">
        <f t="shared" ref="Q33:Q51" si="4">SUM(D33:P33)</f>
        <v>950</v>
      </c>
    </row>
    <row r="34" spans="1:17">
      <c r="A34" s="152"/>
      <c r="B34" s="155"/>
      <c r="C34" s="105" t="s">
        <v>85</v>
      </c>
      <c r="D34" s="95">
        <v>10</v>
      </c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28"/>
      <c r="Q34" s="20">
        <f t="shared" si="4"/>
        <v>10</v>
      </c>
    </row>
    <row r="35" spans="1:17">
      <c r="A35" s="152"/>
      <c r="B35" s="155"/>
      <c r="C35" s="106" t="s">
        <v>86</v>
      </c>
      <c r="D35" s="89">
        <f>D33*D34</f>
        <v>9500</v>
      </c>
      <c r="E35" s="89">
        <f>E33*E34</f>
        <v>0</v>
      </c>
      <c r="F35" s="89">
        <f>F33*F34</f>
        <v>0</v>
      </c>
      <c r="G35" s="89">
        <f>G33*G34</f>
        <v>0</v>
      </c>
      <c r="H35" s="89">
        <f>H33*H34</f>
        <v>0</v>
      </c>
      <c r="I35" s="89">
        <f t="shared" ref="I35:O35" si="5">I33*I34</f>
        <v>0</v>
      </c>
      <c r="J35" s="89">
        <f t="shared" si="5"/>
        <v>0</v>
      </c>
      <c r="K35" s="89">
        <f t="shared" si="5"/>
        <v>0</v>
      </c>
      <c r="L35" s="89">
        <f t="shared" si="5"/>
        <v>0</v>
      </c>
      <c r="M35" s="89">
        <f t="shared" si="5"/>
        <v>0</v>
      </c>
      <c r="N35" s="89">
        <f t="shared" si="5"/>
        <v>0</v>
      </c>
      <c r="O35" s="89">
        <f t="shared" si="5"/>
        <v>0</v>
      </c>
      <c r="P35" s="32"/>
      <c r="Q35" s="20">
        <f t="shared" si="4"/>
        <v>9500</v>
      </c>
    </row>
    <row r="36" spans="1:17">
      <c r="A36" s="152"/>
      <c r="B36" s="155"/>
      <c r="C36" s="107" t="s">
        <v>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32"/>
      <c r="Q36" s="20">
        <f t="shared" si="4"/>
        <v>0</v>
      </c>
    </row>
    <row r="37" spans="1:17">
      <c r="A37" s="152"/>
      <c r="B37" s="155"/>
      <c r="C37" s="107" t="s">
        <v>38</v>
      </c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28"/>
      <c r="Q37" s="20">
        <f t="shared" si="4"/>
        <v>0</v>
      </c>
    </row>
    <row r="38" spans="1:17">
      <c r="A38" s="152"/>
      <c r="B38" s="155"/>
      <c r="C38" s="62" t="s">
        <v>38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32"/>
      <c r="Q38" s="20">
        <f t="shared" si="4"/>
        <v>0</v>
      </c>
    </row>
    <row r="39" spans="1:17">
      <c r="A39" s="152"/>
      <c r="B39" s="155"/>
      <c r="C39" s="63" t="s">
        <v>15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32"/>
      <c r="Q39" s="20">
        <f t="shared" si="4"/>
        <v>0</v>
      </c>
    </row>
    <row r="40" spans="1:17">
      <c r="A40" s="152"/>
      <c r="B40" s="156"/>
      <c r="C40" s="6" t="s">
        <v>42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33"/>
      <c r="Q40" s="22">
        <f t="shared" si="4"/>
        <v>0</v>
      </c>
    </row>
    <row r="41" spans="1:17">
      <c r="A41" s="152"/>
      <c r="B41" s="157" t="s">
        <v>11</v>
      </c>
      <c r="C41" s="5" t="s">
        <v>7</v>
      </c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27"/>
      <c r="Q41" s="21">
        <f t="shared" si="4"/>
        <v>0</v>
      </c>
    </row>
    <row r="42" spans="1:17">
      <c r="A42" s="152"/>
      <c r="B42" s="155"/>
      <c r="C42" s="6" t="s">
        <v>4</v>
      </c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32"/>
      <c r="Q42" s="20">
        <f t="shared" si="4"/>
        <v>0</v>
      </c>
    </row>
    <row r="43" spans="1:17">
      <c r="A43" s="152"/>
      <c r="B43" s="155"/>
      <c r="C43" s="6" t="s">
        <v>17</v>
      </c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32"/>
      <c r="Q43" s="20">
        <f t="shared" si="4"/>
        <v>0</v>
      </c>
    </row>
    <row r="44" spans="1:17">
      <c r="A44" s="152"/>
      <c r="B44" s="155"/>
      <c r="C44" s="6" t="s">
        <v>18</v>
      </c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32"/>
      <c r="Q44" s="20">
        <f t="shared" si="4"/>
        <v>0</v>
      </c>
    </row>
    <row r="45" spans="1:17">
      <c r="A45" s="152"/>
      <c r="B45" s="155"/>
      <c r="C45" s="6" t="s">
        <v>60</v>
      </c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32"/>
      <c r="Q45" s="20">
        <f t="shared" si="4"/>
        <v>0</v>
      </c>
    </row>
    <row r="46" spans="1:17">
      <c r="A46" s="152"/>
      <c r="B46" s="157" t="s">
        <v>13</v>
      </c>
      <c r="C46" s="5" t="s">
        <v>10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27"/>
      <c r="Q46" s="21">
        <f t="shared" si="4"/>
        <v>0</v>
      </c>
    </row>
    <row r="47" spans="1:17">
      <c r="A47" s="152"/>
      <c r="B47" s="155"/>
      <c r="C47" s="8" t="s">
        <v>55</v>
      </c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28"/>
      <c r="Q47" s="20">
        <f t="shared" si="4"/>
        <v>0</v>
      </c>
    </row>
    <row r="48" spans="1:17">
      <c r="A48" s="152"/>
      <c r="B48" s="155"/>
      <c r="C48" s="8" t="s">
        <v>56</v>
      </c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28"/>
      <c r="Q48" s="20">
        <f t="shared" si="4"/>
        <v>0</v>
      </c>
    </row>
    <row r="49" spans="1:18">
      <c r="A49" s="152"/>
      <c r="B49" s="156"/>
      <c r="C49" s="4" t="s">
        <v>61</v>
      </c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33"/>
      <c r="Q49" s="22">
        <f t="shared" si="4"/>
        <v>0</v>
      </c>
    </row>
    <row r="50" spans="1:18">
      <c r="A50" s="152"/>
      <c r="B50" s="158" t="s">
        <v>54</v>
      </c>
      <c r="C50" s="159"/>
      <c r="D50" s="56">
        <f>SUM(D35:D40)-SUM(D44:D45)</f>
        <v>9500</v>
      </c>
      <c r="E50" s="56">
        <f>SUM(E35:E40)-SUM(E44:E45)</f>
        <v>0</v>
      </c>
      <c r="F50" s="56">
        <f>SUM(F35:F40)-SUM(F44:F45)</f>
        <v>0</v>
      </c>
      <c r="G50" s="56">
        <f>SUM(G35:G40)-SUM(G44:G45)</f>
        <v>0</v>
      </c>
      <c r="H50" s="56">
        <f t="shared" ref="H50:I50" si="6">SUM(H35:H40)-SUM(H44:H45)</f>
        <v>0</v>
      </c>
      <c r="I50" s="56">
        <f t="shared" si="6"/>
        <v>0</v>
      </c>
      <c r="J50" s="56">
        <f t="shared" ref="J50:O50" si="7">SUM(J35:J40)-SUM(J44:J45)</f>
        <v>0</v>
      </c>
      <c r="K50" s="56">
        <f t="shared" si="7"/>
        <v>0</v>
      </c>
      <c r="L50" s="56">
        <f t="shared" si="7"/>
        <v>0</v>
      </c>
      <c r="M50" s="56">
        <f t="shared" si="7"/>
        <v>0</v>
      </c>
      <c r="N50" s="56">
        <f t="shared" si="7"/>
        <v>0</v>
      </c>
      <c r="O50" s="56">
        <f t="shared" si="7"/>
        <v>0</v>
      </c>
      <c r="P50" s="58">
        <f>SUM(P33:P40)-SUM(P44:P45)</f>
        <v>0</v>
      </c>
      <c r="Q50" s="59">
        <f t="shared" si="4"/>
        <v>9500</v>
      </c>
    </row>
    <row r="51" spans="1:18" ht="14.25" thickBot="1">
      <c r="A51" s="153"/>
      <c r="B51" s="149" t="s">
        <v>5</v>
      </c>
      <c r="C51" s="150"/>
      <c r="D51" s="42">
        <f>SUM(D35:D40)-SUM(D41:D45)+SUM(D46:D49)</f>
        <v>9500</v>
      </c>
      <c r="E51" s="42">
        <f t="shared" ref="E51:I51" si="8">SUM(E35:E40)-SUM(E41:E45)+SUM(E46:E49)</f>
        <v>0</v>
      </c>
      <c r="F51" s="42">
        <f t="shared" si="8"/>
        <v>0</v>
      </c>
      <c r="G51" s="42">
        <f t="shared" si="8"/>
        <v>0</v>
      </c>
      <c r="H51" s="42">
        <f t="shared" si="8"/>
        <v>0</v>
      </c>
      <c r="I51" s="42">
        <f t="shared" si="8"/>
        <v>0</v>
      </c>
      <c r="J51" s="42">
        <f t="shared" ref="J51:O51" si="9">SUM(J35:J40)-SUM(J41:J45)+SUM(J46:J49)</f>
        <v>0</v>
      </c>
      <c r="K51" s="42">
        <f t="shared" si="9"/>
        <v>0</v>
      </c>
      <c r="L51" s="42">
        <f t="shared" si="9"/>
        <v>0</v>
      </c>
      <c r="M51" s="42">
        <f t="shared" si="9"/>
        <v>0</v>
      </c>
      <c r="N51" s="42">
        <f t="shared" si="9"/>
        <v>0</v>
      </c>
      <c r="O51" s="42">
        <f t="shared" si="9"/>
        <v>0</v>
      </c>
      <c r="P51" s="44">
        <f>SUM(P33:P40)-SUM(P41:P45)+SUM(P46:P49)</f>
        <v>0</v>
      </c>
      <c r="Q51" s="46">
        <f t="shared" si="4"/>
        <v>9500</v>
      </c>
    </row>
    <row r="52" spans="1:18">
      <c r="A52" s="144" t="s">
        <v>40</v>
      </c>
      <c r="B52" s="145"/>
      <c r="C52" s="145"/>
      <c r="D52" s="47">
        <f>D4+SUM(D14:D21)+SUM(D127:D132)</f>
        <v>0</v>
      </c>
      <c r="E52" s="47" t="e">
        <f>E4+SUM(E14:E21)+SUM(#REF!)+SUM(#REF!)+SUM(#REF!)+SUM(#REF!)+SUM(#REF!)+SUM(E35:E40)+SUM(#REF!)+SUM(#REF!)+SUM(#REF!)+SUM(#REF!)+SUM(#REF!)+SUM(#REF!)+SUM(#REF!)+SUM(#REF!)+SUM(#REF!)+SUM(#REF!)+SUM(#REF!)+SUM(#REF!)+SUM(#REF!)+SUM(#REF!)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2" s="47" t="e">
        <f>F4+SUM(F14:F21)+SUM(#REF!)+SUM(#REF!)+SUM(#REF!)+SUM(#REF!)+SUM(#REF!)+SUM(F35:F40)+SUM(#REF!)+SUM(#REF!)+SUM(#REF!)+SUM(#REF!)+SUM(#REF!)+SUM(#REF!)+SUM(#REF!)+SUM(#REF!)+SUM(#REF!)+SUM(#REF!)+SUM(#REF!)+SUM(#REF!)+SUM(#REF!)+SUM(#REF!)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2" s="47" t="e">
        <f>G4+SUM(G14:G21)+SUM(#REF!)+SUM(#REF!)+SUM(#REF!)+SUM(#REF!)+SUM(#REF!)+SUM(G35:G40)+SUM(#REF!)+SUM(#REF!)+SUM(#REF!)+SUM(#REF!)+SUM(#REF!)+SUM(#REF!)+SUM(#REF!)+SUM(#REF!)+SUM(#REF!)+SUM(#REF!)+SUM(#REF!)+SUM(#REF!)+SUM(#REF!)+SUM(#REF!)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2" s="47" t="e">
        <f>H4+SUM(H14:H21)+SUM(#REF!)+SUM(#REF!)+SUM(#REF!)+SUM(#REF!)+SUM(#REF!)+SUM(H35:H40)+SUM(#REF!)+SUM(#REF!)+SUM(#REF!)+SUM(#REF!)+SUM(#REF!)+SUM(#REF!)+SUM(#REF!)+SUM(#REF!)+SUM(#REF!)+SUM(#REF!)+SUM(#REF!)+SUM(#REF!)+SUM(#REF!)+SUM(#REF!)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2" s="47" t="e">
        <f>I4+SUM(I14:I21)+SUM(#REF!)+SUM(#REF!)+SUM(#REF!)+SUM(#REF!)+SUM(#REF!)+SUM(I35:I40)+SUM(#REF!)+SUM(#REF!)+SUM(#REF!)+SUM(#REF!)+SUM(#REF!)+SUM(#REF!)+SUM(#REF!)+SUM(#REF!)+SUM(#REF!)+SUM(#REF!)+SUM(#REF!)+SUM(#REF!)+SUM(#REF!)+SUM(#REF!)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2" s="47" t="e">
        <f>J4+SUM(J14:J21)+SUM(#REF!)+SUM(#REF!)+SUM(#REF!)+SUM(#REF!)+SUM(#REF!)+SUM(J35:J40)+SUM(#REF!)+SUM(#REF!)+SUM(#REF!)+SUM(#REF!)+SUM(#REF!)+SUM(#REF!)+SUM(#REF!)+SUM(#REF!)+SUM(#REF!)+SUM(#REF!)+SUM(#REF!)+SUM(#REF!)+SUM(#REF!)+SUM(#REF!)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2" s="47" t="e">
        <f>K4+SUM(K14:K21)+SUM(#REF!)+SUM(#REF!)+SUM(#REF!)+SUM(#REF!)+SUM(#REF!)+SUM(K35:K40)+SUM(#REF!)+SUM(#REF!)+SUM(#REF!)+SUM(#REF!)+SUM(#REF!)+SUM(#REF!)+SUM(#REF!)+SUM(#REF!)+SUM(#REF!)+SUM(#REF!)+SUM(#REF!)+SUM(#REF!)+SUM(#REF!)+SUM(#REF!)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2" s="47" t="e">
        <f>L4+SUM(L14:L21)+SUM(#REF!)+SUM(#REF!)+SUM(#REF!)+SUM(#REF!)+SUM(#REF!)+SUM(L35:L40)+SUM(#REF!)+SUM(#REF!)+SUM(#REF!)+SUM(#REF!)+SUM(#REF!)+SUM(#REF!)+SUM(#REF!)+SUM(#REF!)+SUM(#REF!)+SUM(#REF!)+SUM(#REF!)+SUM(#REF!)+SUM(#REF!)+SUM(#REF!)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2" s="47" t="e">
        <f>M4+SUM(M14:M21)+SUM(#REF!)+SUM(#REF!)+SUM(#REF!)+SUM(#REF!)+SUM(#REF!)+SUM(M35:M40)+SUM(#REF!)+SUM(#REF!)+SUM(#REF!)+SUM(#REF!)+SUM(#REF!)+SUM(#REF!)+SUM(#REF!)+SUM(#REF!)+SUM(#REF!)+SUM(#REF!)+SUM(#REF!)+SUM(#REF!)+SUM(#REF!)+SUM(#REF!)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2" s="47" t="e">
        <f>N4+SUM(N14:N21)+SUM(#REF!)+SUM(#REF!)+SUM(#REF!)+SUM(#REF!)+SUM(#REF!)+SUM(N35:N40)+SUM(#REF!)+SUM(#REF!)+SUM(#REF!)+SUM(#REF!)+SUM(#REF!)+SUM(#REF!)+SUM(#REF!)+SUM(#REF!)+SUM(#REF!)+SUM(#REF!)+SUM(#REF!)+SUM(#REF!)+SUM(#REF!)+SUM(#REF!)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2" s="48" t="e">
        <f>O4+SUM(O14:O21)+SUM(#REF!)+SUM(#REF!)+SUM(#REF!)+SUM(#REF!)+SUM(#REF!)+SUM(O35:O40)+SUM(#REF!)+SUM(#REF!)+SUM(#REF!)+SUM(#REF!)+SUM(#REF!)+SUM(#REF!)+SUM(#REF!)+SUM(#REF!)+SUM(#REF!)+SUM(#REF!)+SUM(#REF!)+SUM(#REF!)+SUM(#REF!)+SUM(#REF!)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2" s="48" t="e">
        <f>P4+SUM(P14:P21)+SUM(#REF!)+SUM(#REF!)+SUM(#REF!)+SUM(#REF!)+SUM(#REF!)+SUM(P35:P40)+SUM(#REF!)+SUM(#REF!)+SUM(#REF!)+SUM(#REF!)+SUM(#REF!)+SUM(#REF!)+SUM(#REF!)+SUM(#REF!)+SUM(#REF!)+SUM(#REF!)+SUM(#REF!)+SUM(#REF!)+SUM(#REF!)+SUM(#REF!)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2" s="49" t="e">
        <f t="shared" ref="Q52:Q60" si="10">SUM(D52:P52)</f>
        <v>#REF!</v>
      </c>
    </row>
    <row r="53" spans="1:18">
      <c r="A53" s="146" t="s">
        <v>41</v>
      </c>
      <c r="B53" s="147"/>
      <c r="C53" s="148"/>
      <c r="D53" s="50" t="e">
        <f>SUM(D14:D21)+SUM(#REF!)+SUM(#REF!)+SUM(#REF!)+SUM(#REF!)+SUM(#REF!)+SUM(D35:D40)+SUM(#REF!)+SUM(#REF!)+SUM(#REF!)+SUM(#REF!)+SUM(#REF!)+SUM(#REF!)+SUM(#REF!)+SUM(#REF!)+SUM(#REF!)+SUM(#REF!)+SUM(#REF!)+SUM(#REF!)+SUM(#REF!)+SUM(#REF!)</f>
        <v>#REF!</v>
      </c>
      <c r="E53" s="50" t="e">
        <f>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3" s="50" t="e">
        <f>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3" s="50" t="e">
        <f>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3" s="50" t="e">
        <f>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3" s="50" t="e">
        <f>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3" s="50" t="e">
        <f>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3" s="50" t="e">
        <f>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3" s="50" t="e">
        <f>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3" s="50" t="e">
        <f>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3" s="50" t="e">
        <f>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3" s="50" t="e">
        <f>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3" s="51" t="e">
        <f>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3" s="52" t="e">
        <f t="shared" si="10"/>
        <v>#REF!</v>
      </c>
    </row>
    <row r="54" spans="1:18">
      <c r="A54" s="146" t="s">
        <v>31</v>
      </c>
      <c r="B54" s="147"/>
      <c r="C54" s="148"/>
      <c r="D54" s="50" t="e">
        <f>SUM(D13+D32+#REF!+#REF!+#REF!+#REF!+#REF!+D51+#REF!+#REF!+#REF!+#REF!+#REF!+#REF!+#REF!+#REF!+#REF!+#REF!+#REF!+#REF!+#REF!+#REF!)</f>
        <v>#REF!</v>
      </c>
      <c r="E54" s="50" t="e">
        <f>SUM(E13+E32+#REF!+#REF!+#REF!+#REF!+#REF!+E51+#REF!+#REF!+#REF!+#REF!+#REF!+#REF!+#REF!+#REF!+#REF!+#REF!+#REF!+#REF!+#REF!+#REF!)</f>
        <v>#REF!</v>
      </c>
      <c r="F54" s="50" t="e">
        <f>SUM(F13+F32+#REF!+#REF!+#REF!+#REF!+#REF!+F51+#REF!+#REF!+#REF!+#REF!+#REF!+#REF!+#REF!+#REF!+#REF!+#REF!+#REF!+#REF!+#REF!+#REF!)</f>
        <v>#REF!</v>
      </c>
      <c r="G54" s="50" t="e">
        <f>SUM(G13+G32+#REF!+#REF!+#REF!+#REF!+#REF!+G51+#REF!+#REF!+#REF!+#REF!+#REF!+#REF!+#REF!+#REF!+#REF!+#REF!+#REF!+#REF!+#REF!+#REF!)</f>
        <v>#REF!</v>
      </c>
      <c r="H54" s="50" t="e">
        <f>SUM(H13+H32+#REF!+#REF!+#REF!+#REF!+#REF!+H51+#REF!+#REF!+#REF!+#REF!+#REF!+#REF!+#REF!+#REF!+#REF!+#REF!+#REF!+#REF!+#REF!+#REF!)</f>
        <v>#REF!</v>
      </c>
      <c r="I54" s="50" t="e">
        <f>SUM(I13+I32+#REF!+#REF!+#REF!+#REF!+#REF!+I51+#REF!+#REF!+#REF!+#REF!+#REF!+#REF!+#REF!+#REF!+#REF!+#REF!+#REF!+#REF!+#REF!+#REF!)</f>
        <v>#REF!</v>
      </c>
      <c r="J54" s="53" t="e">
        <f>SUM(J13+J32+#REF!+#REF!+#REF!+#REF!+#REF!+J51+#REF!+#REF!+#REF!+#REF!+#REF!+#REF!+#REF!+#REF!+#REF!+#REF!+#REF!+#REF!+#REF!+#REF!)</f>
        <v>#REF!</v>
      </c>
      <c r="K54" s="50" t="e">
        <f>SUM(K13+K32+#REF!+#REF!+#REF!+#REF!+#REF!+K51+#REF!+#REF!+#REF!+#REF!+#REF!+#REF!+#REF!+#REF!+#REF!+#REF!+#REF!+#REF!+#REF!+#REF!)</f>
        <v>#REF!</v>
      </c>
      <c r="L54" s="50" t="e">
        <f>SUM(L13+L32+#REF!+#REF!+#REF!+#REF!+#REF!+L51+#REF!+#REF!+#REF!+#REF!+#REF!+#REF!+#REF!+#REF!+#REF!+#REF!+#REF!+#REF!+#REF!+#REF!)</f>
        <v>#REF!</v>
      </c>
      <c r="M54" s="50" t="e">
        <f>SUM(M13+M32+#REF!+#REF!+#REF!+#REF!+#REF!+M51+#REF!+#REF!+#REF!+#REF!+#REF!+#REF!+#REF!+#REF!+#REF!+#REF!+#REF!+#REF!+#REF!+#REF!)</f>
        <v>#REF!</v>
      </c>
      <c r="N54" s="50" t="e">
        <f>SUM(N13+N32+#REF!+#REF!+#REF!+#REF!+#REF!+N51+#REF!+#REF!+#REF!+#REF!+#REF!+#REF!+#REF!+#REF!+#REF!+#REF!+#REF!+#REF!+#REF!+#REF!)</f>
        <v>#REF!</v>
      </c>
      <c r="O54" s="51" t="e">
        <f>SUM(O13+O32+#REF!+#REF!+#REF!+#REF!+#REF!+O51+#REF!+#REF!+#REF!+#REF!+#REF!+#REF!+#REF!+#REF!+#REF!+#REF!+#REF!+#REF!+#REF!+#REF!)</f>
        <v>#REF!</v>
      </c>
      <c r="P54" s="51" t="e">
        <f>SUM(P13+P32+#REF!+#REF!+#REF!+#REF!+#REF!+P51+#REF!+#REF!+#REF!+#REF!+#REF!+#REF!+#REF!+#REF!+#REF!+#REF!+#REF!+#REF!+#REF!+#REF!)</f>
        <v>#REF!</v>
      </c>
      <c r="Q54" s="52" t="e">
        <f t="shared" si="10"/>
        <v>#REF!</v>
      </c>
    </row>
    <row r="55" spans="1:18">
      <c r="A55" s="140" t="s">
        <v>20</v>
      </c>
      <c r="B55" s="141"/>
      <c r="C55" s="141"/>
      <c r="D55" s="53" t="e">
        <f>SUM(D5+D22+#REF!+#REF!+#REF!+#REF!+#REF!+D41+#REF!+#REF!+#REF!+#REF!+#REF!+#REF!+#REF!+#REF!+#REF!+#REF!+#REF!+#REF!+#REF!+#REF!)</f>
        <v>#REF!</v>
      </c>
      <c r="E55" s="53" t="e">
        <f>SUM(E5+E22+#REF!+#REF!+#REF!+#REF!+#REF!+E41+#REF!+#REF!+#REF!+#REF!+#REF!+#REF!+#REF!+#REF!+#REF!+#REF!+#REF!+#REF!+#REF!+#REF!)</f>
        <v>#REF!</v>
      </c>
      <c r="F55" s="53" t="e">
        <f>SUM(F5+F22+#REF!+#REF!+#REF!+#REF!+#REF!+F41+#REF!+#REF!+#REF!+#REF!+#REF!+#REF!+#REF!+#REF!+#REF!+#REF!+#REF!+#REF!+#REF!+#REF!)</f>
        <v>#REF!</v>
      </c>
      <c r="G55" s="53" t="e">
        <f>SUM(G5+G22+#REF!+#REF!+#REF!+#REF!+#REF!+G41+#REF!+#REF!+#REF!+#REF!+#REF!+#REF!+#REF!+#REF!+#REF!+#REF!+#REF!+#REF!+#REF!+#REF!)</f>
        <v>#REF!</v>
      </c>
      <c r="H55" s="53" t="e">
        <f>SUM(H5+H22+#REF!+#REF!+#REF!+#REF!+#REF!+H41+#REF!+#REF!+#REF!+#REF!+#REF!+#REF!+#REF!+#REF!+#REF!+#REF!+#REF!+#REF!+#REF!+#REF!)</f>
        <v>#REF!</v>
      </c>
      <c r="I55" s="53" t="e">
        <f>SUM(I5+I22+#REF!+#REF!+#REF!+#REF!+#REF!+I41+#REF!+#REF!+#REF!+#REF!+#REF!+#REF!+#REF!+#REF!+#REF!+#REF!+#REF!+#REF!+#REF!+#REF!)</f>
        <v>#REF!</v>
      </c>
      <c r="J55" s="53" t="e">
        <f>SUM(J5+J22+#REF!+#REF!+#REF!+#REF!+#REF!+J41+#REF!+#REF!+#REF!+#REF!+#REF!+#REF!+#REF!+#REF!+#REF!+#REF!+#REF!+#REF!+#REF!+#REF!)</f>
        <v>#REF!</v>
      </c>
      <c r="K55" s="53" t="e">
        <f>SUM(K5+K22+#REF!+#REF!+#REF!+#REF!+#REF!+K41+#REF!+#REF!+#REF!+#REF!+#REF!+#REF!+#REF!+#REF!+#REF!+#REF!+#REF!+#REF!+#REF!+#REF!)</f>
        <v>#REF!</v>
      </c>
      <c r="L55" s="53" t="e">
        <f>SUM(L5+L22+#REF!+#REF!+#REF!+#REF!+#REF!+L41+#REF!+#REF!+#REF!+#REF!+#REF!+#REF!+#REF!+#REF!+#REF!+#REF!+#REF!+#REF!+#REF!+#REF!)</f>
        <v>#REF!</v>
      </c>
      <c r="M55" s="53" t="e">
        <f>SUM(M5+M22+#REF!+#REF!+#REF!+#REF!+#REF!+M41+#REF!+#REF!+#REF!+#REF!+#REF!+#REF!+#REF!+#REF!+#REF!+#REF!+#REF!+#REF!+#REF!+#REF!)</f>
        <v>#REF!</v>
      </c>
      <c r="N55" s="53" t="e">
        <f>SUM(N5+N22+#REF!+#REF!+#REF!+#REF!+#REF!+N41+#REF!+#REF!+#REF!+#REF!+#REF!+#REF!+#REF!+#REF!+#REF!+#REF!+#REF!+#REF!+#REF!+#REF!)</f>
        <v>#REF!</v>
      </c>
      <c r="O55" s="54" t="e">
        <f>SUM(O5+O22+#REF!+#REF!+#REF!+#REF!+#REF!+O41+#REF!+#REF!+#REF!+#REF!+#REF!+#REF!+#REF!+#REF!+#REF!+#REF!+#REF!+#REF!+#REF!+#REF!)</f>
        <v>#REF!</v>
      </c>
      <c r="P55" s="54" t="e">
        <f>SUM(P5+P22+#REF!+#REF!+#REF!+#REF!+#REF!+P41+#REF!+#REF!+#REF!+#REF!+#REF!+#REF!+#REF!+#REF!+#REF!+#REF!+#REF!+#REF!+#REF!+#REF!)</f>
        <v>#REF!</v>
      </c>
      <c r="Q55" s="52" t="e">
        <f t="shared" si="10"/>
        <v>#REF!</v>
      </c>
    </row>
    <row r="56" spans="1:18">
      <c r="A56" s="140" t="s">
        <v>43</v>
      </c>
      <c r="B56" s="141"/>
      <c r="C56" s="141"/>
      <c r="D56" s="53" t="e">
        <f>SUM(D7+D24+#REF!+#REF!+#REF!+#REF!+#REF!+#REF!+#REF!+#REF!+D43+#REF!+#REF!+#REF!+#REF!+#REF!+#REF!+#REF!+#REF!+#REF!+#REF!+#REF!)</f>
        <v>#REF!</v>
      </c>
      <c r="E56" s="53" t="e">
        <f>SUM(E7+E24+#REF!+#REF!+#REF!+#REF!+#REF!+#REF!+#REF!+#REF!+E43+#REF!+#REF!+#REF!+#REF!+#REF!+#REF!+#REF!+#REF!+#REF!+#REF!+#REF!)</f>
        <v>#REF!</v>
      </c>
      <c r="F56" s="53" t="e">
        <f>SUM(F7+F24+#REF!+#REF!+#REF!+#REF!+#REF!+#REF!+#REF!+#REF!+F43+#REF!+#REF!+#REF!+#REF!+#REF!+#REF!+#REF!+#REF!+#REF!+#REF!+#REF!)</f>
        <v>#REF!</v>
      </c>
      <c r="G56" s="53" t="e">
        <f>SUM(G7+G24+#REF!+#REF!+#REF!+#REF!+#REF!+#REF!+#REF!+#REF!+G43+#REF!+#REF!+#REF!+#REF!+#REF!+#REF!+#REF!+#REF!+#REF!+#REF!+#REF!)</f>
        <v>#REF!</v>
      </c>
      <c r="H56" s="53" t="e">
        <f>SUM(H7+H24+#REF!+#REF!+#REF!+#REF!+#REF!+#REF!+#REF!+#REF!+H43+#REF!+#REF!+#REF!+#REF!+#REF!+#REF!+#REF!+#REF!+#REF!+#REF!+#REF!)</f>
        <v>#REF!</v>
      </c>
      <c r="I56" s="53" t="e">
        <f>SUM(I7+I24+#REF!+#REF!+#REF!+#REF!+#REF!+#REF!+#REF!+#REF!+I43+#REF!+#REF!+#REF!+#REF!+#REF!+#REF!+#REF!+#REF!+#REF!+#REF!+#REF!)</f>
        <v>#REF!</v>
      </c>
      <c r="J56" s="53" t="e">
        <f>SUM(J7+J24+#REF!+#REF!+#REF!+#REF!+#REF!+#REF!+#REF!+#REF!+J43+#REF!+#REF!+#REF!+#REF!+#REF!+#REF!+#REF!+#REF!+#REF!+#REF!+#REF!)</f>
        <v>#REF!</v>
      </c>
      <c r="K56" s="53" t="e">
        <f>SUM(K7+K24+#REF!+#REF!+#REF!+#REF!+#REF!+#REF!+#REF!+#REF!+K43+#REF!+#REF!+#REF!+#REF!+#REF!+#REF!+#REF!+#REF!+#REF!+#REF!+#REF!)</f>
        <v>#REF!</v>
      </c>
      <c r="L56" s="53" t="e">
        <f>SUM(L7+L24+#REF!+#REF!+#REF!+#REF!+#REF!+#REF!+#REF!+#REF!+L43+#REF!+#REF!+#REF!+#REF!+#REF!+#REF!+#REF!+#REF!+#REF!+#REF!+#REF!)</f>
        <v>#REF!</v>
      </c>
      <c r="M56" s="53" t="e">
        <f>SUM(M7+M24+#REF!+#REF!+#REF!+#REF!+#REF!+#REF!+#REF!+#REF!+M43+#REF!+#REF!+#REF!+#REF!+#REF!+#REF!+#REF!+#REF!+#REF!+#REF!+#REF!)</f>
        <v>#REF!</v>
      </c>
      <c r="N56" s="53" t="e">
        <f>SUM(N7+N24+#REF!+#REF!+#REF!+#REF!+#REF!+#REF!+#REF!+#REF!+N43+#REF!+#REF!+#REF!+#REF!+#REF!+#REF!+#REF!+#REF!+#REF!+#REF!+#REF!)</f>
        <v>#REF!</v>
      </c>
      <c r="O56" s="54" t="e">
        <f>SUM(O7+O24+#REF!+#REF!+#REF!+#REF!+#REF!+#REF!+#REF!+#REF!+O43+#REF!+#REF!+#REF!+#REF!+#REF!+#REF!+#REF!+#REF!+#REF!+#REF!+#REF!)</f>
        <v>#REF!</v>
      </c>
      <c r="P56" s="54" t="e">
        <f>SUM(P7+P24+#REF!+#REF!+#REF!+#REF!+#REF!+#REF!+#REF!+#REF!+P43+#REF!+#REF!+#REF!+#REF!+#REF!+#REF!+#REF!+#REF!+#REF!+#REF!+#REF!)</f>
        <v>#REF!</v>
      </c>
      <c r="Q56" s="52" t="e">
        <f t="shared" si="10"/>
        <v>#REF!</v>
      </c>
    </row>
    <row r="57" spans="1:18">
      <c r="A57" s="140" t="s">
        <v>53</v>
      </c>
      <c r="B57" s="141"/>
      <c r="C57" s="141"/>
      <c r="D57" s="53" t="e">
        <f>SUM(D8:D9)+SUM(D25:D26)+SUM(#REF!)+SUM(#REF!)+SUM(#REF!)+SUM(#REF!)+SUM(#REF!)+SUM(D44:D45)+SUM(#REF!)+SUM(#REF!)+SUM(#REF!)+SUM(#REF!)+SUM(#REF!)+SUM(#REF!)+SUM(#REF!)+SUM(#REF!)+SUM(#REF!)+SUM(#REF!)+SUM(#REF!)+SUM(#REF!)+SUM(#REF!)+SUM(#REF!)</f>
        <v>#REF!</v>
      </c>
      <c r="E57" s="53" t="e">
        <f>SUM(E8:E9)+SUM(E25:E26)+SUM(#REF!)+SUM(#REF!)+SUM(#REF!)+SUM(#REF!)+SUM(#REF!)+SUM(E44:E45)+SUM(#REF!)+SUM(#REF!)+SUM(#REF!)+SUM(#REF!)+SUM(#REF!)+SUM(#REF!)+SUM(#REF!)+SUM(#REF!)+SUM(#REF!)+SUM(#REF!)+SUM(#REF!)+SUM(#REF!)+SUM(#REF!)+SUM(#REF!)</f>
        <v>#REF!</v>
      </c>
      <c r="F57" s="53" t="e">
        <f>SUM(F8:F9)+SUM(F25:F26)+SUM(#REF!)+SUM(#REF!)+SUM(#REF!)+SUM(#REF!)+SUM(#REF!)+SUM(F44:F45)+SUM(#REF!)+SUM(#REF!)+SUM(#REF!)+SUM(#REF!)+SUM(#REF!)+SUM(#REF!)+SUM(#REF!)+SUM(#REF!)+SUM(#REF!)+SUM(#REF!)+SUM(#REF!)+SUM(#REF!)+SUM(#REF!)+SUM(#REF!)</f>
        <v>#REF!</v>
      </c>
      <c r="G57" s="53" t="e">
        <f>SUM(G8:G9)+SUM(G25:G26)+SUM(#REF!)+SUM(#REF!)+SUM(#REF!)+SUM(#REF!)+SUM(#REF!)+SUM(G44:G45)+SUM(#REF!)+SUM(#REF!)+SUM(#REF!)+SUM(#REF!)+SUM(#REF!)+SUM(#REF!)+SUM(#REF!)+SUM(#REF!)+SUM(#REF!)+SUM(#REF!)+SUM(#REF!)+SUM(#REF!)+SUM(#REF!)+SUM(#REF!)</f>
        <v>#REF!</v>
      </c>
      <c r="H57" s="53" t="e">
        <f>SUM(H8:H9)+SUM(H25:H26)+SUM(#REF!)+SUM(#REF!)+SUM(#REF!)+SUM(#REF!)+SUM(#REF!)+SUM(H44:H45)+SUM(#REF!)+SUM(#REF!)+SUM(#REF!)+SUM(#REF!)+SUM(#REF!)+SUM(#REF!)+SUM(#REF!)+SUM(#REF!)+SUM(#REF!)+SUM(#REF!)+SUM(#REF!)+SUM(#REF!)+SUM(#REF!)+SUM(#REF!)</f>
        <v>#REF!</v>
      </c>
      <c r="I57" s="53" t="e">
        <f>SUM(I8:I9)+SUM(I25:I26)+SUM(#REF!)+SUM(#REF!)+SUM(#REF!)+SUM(#REF!)+SUM(#REF!)+SUM(I44:I45)+SUM(#REF!)+SUM(#REF!)+SUM(#REF!)+SUM(#REF!)+SUM(#REF!)+SUM(#REF!)+SUM(#REF!)+SUM(#REF!)+SUM(#REF!)+SUM(#REF!)+SUM(#REF!)+SUM(#REF!)+SUM(#REF!)+SUM(#REF!)</f>
        <v>#REF!</v>
      </c>
      <c r="J57" s="53" t="e">
        <f>SUM(J8:J9)+SUM(J25:J26)+SUM(#REF!)+SUM(#REF!)+SUM(#REF!)+SUM(#REF!)+SUM(#REF!)+SUM(J44:J45)+SUM(#REF!)+SUM(#REF!)+SUM(#REF!)+SUM(#REF!)+SUM(#REF!)+SUM(#REF!)+SUM(#REF!)+SUM(#REF!)+SUM(#REF!)+SUM(#REF!)+SUM(#REF!)+SUM(#REF!)+SUM(#REF!)+SUM(#REF!)</f>
        <v>#REF!</v>
      </c>
      <c r="K57" s="53" t="e">
        <f>SUM(K8:K9)+SUM(K25:K26)+SUM(#REF!)+SUM(#REF!)+SUM(#REF!)+SUM(#REF!)+SUM(#REF!)+SUM(K44:K45)+SUM(#REF!)+SUM(#REF!)+SUM(#REF!)+SUM(#REF!)+SUM(#REF!)+SUM(#REF!)+SUM(#REF!)+SUM(#REF!)+SUM(#REF!)+SUM(#REF!)+SUM(#REF!)+SUM(#REF!)+SUM(#REF!)+SUM(#REF!)</f>
        <v>#REF!</v>
      </c>
      <c r="L57" s="53" t="e">
        <f>SUM(L8:L9)+SUM(L25:L26)+SUM(#REF!)+SUM(#REF!)+SUM(#REF!)+SUM(#REF!)+SUM(#REF!)+SUM(L44:L45)+SUM(#REF!)+SUM(#REF!)+SUM(#REF!)+SUM(#REF!)+SUM(#REF!)+SUM(#REF!)+SUM(#REF!)+SUM(#REF!)+SUM(#REF!)+SUM(#REF!)+SUM(#REF!)+SUM(#REF!)+SUM(#REF!)+SUM(#REF!)</f>
        <v>#REF!</v>
      </c>
      <c r="M57" s="53" t="e">
        <f>SUM(M8:M9)+SUM(M25:M26)+SUM(#REF!)+SUM(#REF!)+SUM(#REF!)+SUM(#REF!)+SUM(#REF!)+SUM(M44:M45)+SUM(#REF!)+SUM(#REF!)+SUM(#REF!)+SUM(#REF!)+SUM(#REF!)+SUM(#REF!)+SUM(#REF!)+SUM(#REF!)+SUM(#REF!)+SUM(#REF!)+SUM(#REF!)+SUM(#REF!)+SUM(#REF!)+SUM(#REF!)</f>
        <v>#REF!</v>
      </c>
      <c r="N57" s="53" t="e">
        <f>SUM(N8:N9)+SUM(N25:N26)+SUM(#REF!)+SUM(#REF!)+SUM(#REF!)+SUM(#REF!)+SUM(#REF!)+SUM(N44:N45)+SUM(#REF!)+SUM(#REF!)+SUM(#REF!)+SUM(#REF!)+SUM(#REF!)+SUM(#REF!)+SUM(#REF!)+SUM(#REF!)+SUM(#REF!)+SUM(#REF!)+SUM(#REF!)+SUM(#REF!)+SUM(#REF!)+SUM(#REF!)</f>
        <v>#REF!</v>
      </c>
      <c r="O57" s="54" t="e">
        <f>SUM(O8:O9)+SUM(O25:O26)+SUM(#REF!)+SUM(#REF!)+SUM(#REF!)+SUM(#REF!)+SUM(#REF!)+SUM(O44:O45)+SUM(#REF!)+SUM(#REF!)+SUM(#REF!)+SUM(#REF!)+SUM(#REF!)+SUM(#REF!)+SUM(#REF!)+SUM(#REF!)+SUM(#REF!)+SUM(#REF!)+SUM(#REF!)+SUM(#REF!)+SUM(#REF!)+SUM(#REF!)</f>
        <v>#REF!</v>
      </c>
      <c r="P57" s="54" t="e">
        <f>SUM(P8:P9)+SUM(P25:P26)+SUM(#REF!)+SUM(#REF!)+SUM(#REF!)+SUM(#REF!)+SUM(#REF!)+SUM(P44:P45)+SUM(#REF!)+SUM(#REF!)+SUM(#REF!)+SUM(#REF!)+SUM(#REF!)+SUM(#REF!)+SUM(#REF!)+SUM(#REF!)+SUM(#REF!)+SUM(#REF!)+SUM(#REF!)+SUM(#REF!)+SUM(#REF!)+SUM(#REF!)</f>
        <v>#REF!</v>
      </c>
      <c r="Q57" s="52" t="e">
        <f t="shared" si="10"/>
        <v>#REF!</v>
      </c>
    </row>
    <row r="58" spans="1:18">
      <c r="A58" s="140" t="s">
        <v>22</v>
      </c>
      <c r="B58" s="141"/>
      <c r="C58" s="141"/>
      <c r="D58" s="53" t="e">
        <f>SUM(D23+#REF!+#REF!+#REF!+#REF!+#REF!+D42+#REF!+#REF!+#REF!+#REF!+#REF!+#REF!+#REF!+#REF!+#REF!+#REF!+#REF!+#REF!)</f>
        <v>#REF!</v>
      </c>
      <c r="E58" s="53" t="e">
        <f>SUM(E23+#REF!+#REF!+#REF!+#REF!+#REF!+E42+#REF!+#REF!+#REF!+#REF!+#REF!+#REF!+#REF!+#REF!+#REF!+#REF!+#REF!+#REF!)</f>
        <v>#REF!</v>
      </c>
      <c r="F58" s="53" t="e">
        <f>SUM(F23+#REF!+#REF!+#REF!+#REF!+#REF!+F42+#REF!+#REF!+#REF!+#REF!+#REF!+#REF!+#REF!+#REF!+#REF!+#REF!+#REF!+#REF!)</f>
        <v>#REF!</v>
      </c>
      <c r="G58" s="53" t="e">
        <f>SUM(G23+#REF!+#REF!+#REF!+#REF!+#REF!+G42+#REF!+#REF!+#REF!+#REF!+#REF!+#REF!+#REF!+#REF!+#REF!+#REF!+#REF!+#REF!)</f>
        <v>#REF!</v>
      </c>
      <c r="H58" s="53" t="e">
        <f>SUM(H23+#REF!+#REF!+#REF!+#REF!+#REF!+H42+#REF!+#REF!+#REF!+#REF!+#REF!+#REF!+#REF!+#REF!+#REF!+#REF!+#REF!+#REF!)</f>
        <v>#REF!</v>
      </c>
      <c r="I58" s="53" t="e">
        <f>SUM(I23+#REF!+#REF!+#REF!+#REF!+#REF!+I42+#REF!+#REF!+#REF!+#REF!+#REF!+#REF!+#REF!+#REF!+#REF!+#REF!+#REF!+#REF!)</f>
        <v>#REF!</v>
      </c>
      <c r="J58" s="53" t="e">
        <f>SUM(J23+#REF!+#REF!+#REF!+#REF!+#REF!+J42+#REF!+#REF!+#REF!+#REF!+#REF!+#REF!+#REF!+#REF!+#REF!+#REF!+#REF!+#REF!)</f>
        <v>#REF!</v>
      </c>
      <c r="K58" s="53" t="e">
        <f>SUM(K23+#REF!+#REF!+#REF!+#REF!+#REF!+K42+#REF!+#REF!+#REF!+#REF!+#REF!+#REF!+#REF!+#REF!+#REF!+#REF!+#REF!+#REF!)</f>
        <v>#REF!</v>
      </c>
      <c r="L58" s="53" t="e">
        <f>SUM(L23+#REF!+#REF!+#REF!+#REF!+#REF!+L42+#REF!+#REF!+#REF!+#REF!+#REF!+#REF!+#REF!+#REF!+#REF!+#REF!+#REF!+#REF!)</f>
        <v>#REF!</v>
      </c>
      <c r="M58" s="53" t="e">
        <f>SUM(M23+#REF!+#REF!+#REF!+#REF!+#REF!+M42+#REF!+#REF!+#REF!+#REF!+#REF!+#REF!+#REF!+#REF!+#REF!+#REF!+#REF!+#REF!)</f>
        <v>#REF!</v>
      </c>
      <c r="N58" s="53" t="e">
        <f>SUM(N23+#REF!+#REF!+#REF!+#REF!+#REF!+N42+#REF!+#REF!+#REF!+#REF!+#REF!+#REF!+#REF!+#REF!+#REF!+#REF!+#REF!+#REF!)</f>
        <v>#REF!</v>
      </c>
      <c r="O58" s="54" t="e">
        <f>SUM(O23+#REF!+#REF!+#REF!+#REF!+#REF!+O42+#REF!+#REF!+#REF!+#REF!+#REF!+#REF!+#REF!+#REF!+#REF!+#REF!+#REF!+#REF!)</f>
        <v>#REF!</v>
      </c>
      <c r="P58" s="54" t="e">
        <f>SUM(P23+#REF!+#REF!+#REF!+#REF!+#REF!+P42+#REF!+#REF!+#REF!+#REF!+#REF!+#REF!+#REF!+#REF!+#REF!+#REF!+#REF!+#REF!)</f>
        <v>#REF!</v>
      </c>
      <c r="Q58" s="52" t="e">
        <f t="shared" si="10"/>
        <v>#REF!</v>
      </c>
    </row>
    <row r="59" spans="1:18">
      <c r="A59" s="140" t="s">
        <v>21</v>
      </c>
      <c r="B59" s="141"/>
      <c r="C59" s="141"/>
      <c r="D59" s="53" t="e">
        <f>SUM(D27+#REF!+#REF!+#REF!+#REF!+#REF!+D46+#REF!+#REF!+#REF!+#REF!+#REF!+#REF!+#REF!+#REF!+#REF!+#REF!+#REF!+#REF!+#REF!+#REF!)</f>
        <v>#REF!</v>
      </c>
      <c r="E59" s="53" t="e">
        <f>SUM(E27+#REF!+#REF!+#REF!+#REF!+#REF!+E46+#REF!+#REF!+#REF!+#REF!+#REF!+#REF!+#REF!+#REF!+#REF!+#REF!+#REF!+#REF!+#REF!+#REF!)</f>
        <v>#REF!</v>
      </c>
      <c r="F59" s="53" t="e">
        <f>SUM(F27+#REF!+#REF!+#REF!+#REF!+#REF!+F46+#REF!+#REF!+#REF!+#REF!+#REF!+#REF!+#REF!+#REF!+#REF!+#REF!+#REF!+#REF!+#REF!+#REF!)</f>
        <v>#REF!</v>
      </c>
      <c r="G59" s="53" t="e">
        <f>SUM(G27+#REF!+#REF!+#REF!+#REF!+#REF!+G46+#REF!+#REF!+#REF!+#REF!+#REF!+#REF!+#REF!+#REF!+#REF!+#REF!+#REF!+#REF!+#REF!+#REF!)</f>
        <v>#REF!</v>
      </c>
      <c r="H59" s="53" t="e">
        <f>SUM(H27+#REF!+#REF!+#REF!+#REF!+#REF!+H46+#REF!+#REF!+#REF!+#REF!+#REF!+#REF!+#REF!+#REF!+#REF!+#REF!+#REF!+#REF!+#REF!+#REF!)</f>
        <v>#REF!</v>
      </c>
      <c r="I59" s="53" t="e">
        <f>SUM(I27+#REF!+#REF!+#REF!+#REF!+#REF!+I46+#REF!+#REF!+#REF!+#REF!+#REF!+#REF!+#REF!+#REF!+#REF!+#REF!+#REF!+#REF!+#REF!+#REF!)</f>
        <v>#REF!</v>
      </c>
      <c r="J59" s="53" t="e">
        <f>SUM(J27+#REF!+#REF!+#REF!+#REF!+#REF!+J46+#REF!+#REF!+#REF!+#REF!+#REF!+#REF!+#REF!+#REF!+#REF!+#REF!+#REF!+#REF!+#REF!+#REF!)</f>
        <v>#REF!</v>
      </c>
      <c r="K59" s="53" t="e">
        <f>SUM(K27+#REF!+#REF!+#REF!+#REF!+#REF!+K46+#REF!+#REF!+#REF!+#REF!+#REF!+#REF!+#REF!+#REF!+#REF!+#REF!+#REF!+#REF!+#REF!+#REF!)</f>
        <v>#REF!</v>
      </c>
      <c r="L59" s="53" t="e">
        <f>SUM(L27+#REF!+#REF!+#REF!+#REF!+#REF!+L46+#REF!+#REF!+#REF!+#REF!+#REF!+#REF!+#REF!+#REF!+#REF!+#REF!+#REF!+#REF!+#REF!+#REF!)</f>
        <v>#REF!</v>
      </c>
      <c r="M59" s="53" t="e">
        <f>SUM(M27+#REF!+#REF!+#REF!+#REF!+#REF!+M46+#REF!+#REF!+#REF!+#REF!+#REF!+#REF!+#REF!+#REF!+#REF!+#REF!+#REF!+#REF!+#REF!+#REF!)</f>
        <v>#REF!</v>
      </c>
      <c r="N59" s="53" t="e">
        <f>SUM(N27+#REF!+#REF!+#REF!+#REF!+#REF!+N46+#REF!+#REF!+#REF!+#REF!+#REF!+#REF!+#REF!+#REF!+#REF!+#REF!+#REF!+#REF!+#REF!+#REF!)</f>
        <v>#REF!</v>
      </c>
      <c r="O59" s="54" t="e">
        <f>SUM(O27+#REF!+#REF!+#REF!+#REF!+#REF!+O46+#REF!+#REF!+#REF!+#REF!+#REF!+#REF!+#REF!+#REF!+#REF!+#REF!+#REF!+#REF!+#REF!+#REF!)</f>
        <v>#REF!</v>
      </c>
      <c r="P59" s="54" t="e">
        <f>SUM(P27+#REF!+#REF!+#REF!+#REF!+#REF!+P46+#REF!+#REF!+#REF!+#REF!+#REF!+#REF!+#REF!+#REF!+#REF!+#REF!+#REF!+#REF!+#REF!+#REF!)</f>
        <v>#REF!</v>
      </c>
      <c r="Q59" s="52" t="e">
        <f t="shared" si="10"/>
        <v>#REF!</v>
      </c>
    </row>
    <row r="60" spans="1:18" ht="14.25" thickBot="1">
      <c r="A60" s="142" t="s">
        <v>57</v>
      </c>
      <c r="B60" s="143"/>
      <c r="C60" s="143"/>
      <c r="D60" s="55" t="e">
        <f>SUM(D28:D29)+SUM(#REF!)+SUM(#REF!)+SUM(#REF!)+SUM(#REF!)+SUM(#REF!)+SUM(D47:D48)+SUM(#REF!)+SUM(#REF!)+SUM(#REF!)+D12+SUM(#REF!)+SUM(#REF!)+SUM(#REF!)+SUM(#REF!)+SUM(#REF!)+SUM(#REF!)+SUM(#REF!)+SUM(#REF!)+SUM(#REF!)+SUM(#REF!)+SUM(#REF!)</f>
        <v>#REF!</v>
      </c>
      <c r="E60" s="55" t="e">
        <f>SUM(E28:E29)+SUM(#REF!)+SUM(#REF!)+SUM(#REF!)+SUM(#REF!)+SUM(#REF!)+SUM(E47:E48)+SUM(#REF!)+SUM(#REF!)+SUM(#REF!)+E12+SUM(#REF!)+SUM(#REF!)+SUM(#REF!)+SUM(#REF!)+SUM(#REF!)+SUM(#REF!)+SUM(#REF!)+SUM(#REF!)+SUM(#REF!)+SUM(#REF!)+SUM(#REF!)</f>
        <v>#REF!</v>
      </c>
      <c r="F60" s="55" t="e">
        <f>SUM(F28:F29)+SUM(#REF!)+SUM(#REF!)+SUM(#REF!)+SUM(#REF!)+SUM(#REF!)+SUM(F47:F48)+SUM(#REF!)+SUM(#REF!)+SUM(#REF!)+F12+SUM(#REF!)+SUM(#REF!)+SUM(#REF!)+SUM(#REF!)+SUM(#REF!)+SUM(#REF!)+SUM(#REF!)+SUM(#REF!)+SUM(#REF!)+SUM(#REF!)+SUM(#REF!)</f>
        <v>#REF!</v>
      </c>
      <c r="G60" s="55" t="e">
        <f>SUM(G28:G29)+SUM(#REF!)+SUM(#REF!)+SUM(#REF!)+SUM(#REF!)+SUM(#REF!)+SUM(G47:G48)+SUM(#REF!)+SUM(#REF!)+SUM(#REF!)+G12+SUM(#REF!)+SUM(#REF!)+SUM(#REF!)+SUM(#REF!)+SUM(#REF!)+SUM(#REF!)+SUM(#REF!)+SUM(#REF!)+SUM(#REF!)+SUM(#REF!)+SUM(#REF!)</f>
        <v>#REF!</v>
      </c>
      <c r="H60" s="55" t="e">
        <f>SUM(H28:H29)+SUM(#REF!)+SUM(#REF!)+SUM(#REF!)+SUM(#REF!)+SUM(#REF!)+SUM(H47:H48)+SUM(#REF!)+SUM(#REF!)+SUM(#REF!)+H12+SUM(#REF!)+SUM(#REF!)+SUM(#REF!)+SUM(#REF!)+SUM(#REF!)+SUM(#REF!)+SUM(#REF!)+SUM(#REF!)+SUM(#REF!)+SUM(#REF!)+SUM(#REF!)</f>
        <v>#REF!</v>
      </c>
      <c r="I60" s="55" t="e">
        <f>SUM(I28:I29)+SUM(#REF!)+SUM(#REF!)+SUM(#REF!)+SUM(#REF!)+SUM(#REF!)+SUM(I47:I48)+SUM(#REF!)+SUM(#REF!)+SUM(#REF!)+I12+SUM(#REF!)+SUM(#REF!)+SUM(#REF!)+SUM(#REF!)+SUM(#REF!)+SUM(#REF!)+SUM(#REF!)+SUM(#REF!)+SUM(#REF!)+SUM(#REF!)+SUM(#REF!)</f>
        <v>#REF!</v>
      </c>
      <c r="J60" s="55" t="e">
        <f>SUM(J28:J29)+SUM(#REF!)+SUM(#REF!)+SUM(#REF!)+SUM(#REF!)+SUM(#REF!)+SUM(J47:J48)+SUM(#REF!)+SUM(#REF!)+SUM(#REF!)+J12+SUM(#REF!)+SUM(#REF!)+SUM(#REF!)+SUM(#REF!)+SUM(#REF!)+SUM(#REF!)+SUM(#REF!)+SUM(#REF!)+SUM(#REF!)+SUM(#REF!)+SUM(#REF!)</f>
        <v>#REF!</v>
      </c>
      <c r="K60" s="55" t="e">
        <f>SUM(K28:K29)+SUM(#REF!)+SUM(#REF!)+SUM(#REF!)+SUM(#REF!)+SUM(#REF!)+SUM(K47:K48)+SUM(#REF!)+SUM(#REF!)+SUM(#REF!)+K12+SUM(#REF!)+SUM(#REF!)+SUM(#REF!)+SUM(#REF!)+SUM(#REF!)+SUM(#REF!)+SUM(#REF!)+SUM(#REF!)+SUM(#REF!)+SUM(#REF!)+SUM(#REF!)</f>
        <v>#REF!</v>
      </c>
      <c r="L60" s="55" t="e">
        <f>SUM(L28:L29)+SUM(#REF!)+SUM(#REF!)+SUM(#REF!)+SUM(#REF!)+SUM(#REF!)+SUM(L47:L48)+SUM(#REF!)+SUM(#REF!)+SUM(#REF!)+L12+SUM(#REF!)+SUM(#REF!)+SUM(#REF!)+SUM(#REF!)+SUM(#REF!)+SUM(#REF!)+SUM(#REF!)+SUM(#REF!)+SUM(#REF!)+SUM(#REF!)+SUM(#REF!)</f>
        <v>#REF!</v>
      </c>
      <c r="M60" s="55" t="e">
        <f>SUM(M28:M29)+SUM(#REF!)+SUM(#REF!)+SUM(#REF!)+SUM(#REF!)+SUM(#REF!)+SUM(M47:M48)+SUM(#REF!)+SUM(#REF!)+SUM(#REF!)+M12+SUM(#REF!)+SUM(#REF!)+SUM(#REF!)+SUM(#REF!)+SUM(#REF!)+SUM(#REF!)+SUM(#REF!)+SUM(#REF!)+SUM(#REF!)+SUM(#REF!)+SUM(#REF!)</f>
        <v>#REF!</v>
      </c>
      <c r="N60" s="55" t="e">
        <f>SUM(N28:N29)+SUM(#REF!)+SUM(#REF!)+SUM(#REF!)+SUM(#REF!)+SUM(#REF!)+SUM(N47:N48)+SUM(#REF!)+SUM(#REF!)+SUM(#REF!)+N12+SUM(#REF!)+SUM(#REF!)+SUM(#REF!)+SUM(#REF!)+SUM(#REF!)+SUM(#REF!)+SUM(#REF!)+SUM(#REF!)+SUM(#REF!)+SUM(#REF!)+SUM(#REF!)</f>
        <v>#REF!</v>
      </c>
      <c r="O60" s="55" t="e">
        <f>SUM(O28:O29)+SUM(#REF!)+SUM(#REF!)+SUM(#REF!)+SUM(#REF!)+SUM(#REF!)+SUM(O47:O48)+SUM(#REF!)+SUM(#REF!)+SUM(#REF!)+O12+SUM(#REF!)+SUM(#REF!)+SUM(#REF!)+SUM(#REF!)+SUM(#REF!)+SUM(#REF!)+SUM(#REF!)+SUM(#REF!)+SUM(#REF!)+SUM(#REF!)+SUM(#REF!)</f>
        <v>#REF!</v>
      </c>
      <c r="P60" s="55" t="e">
        <f>SUM(P28:P29)+SUM(#REF!)+SUM(#REF!)+SUM(#REF!)+SUM(#REF!)+SUM(#REF!)+SUM(P47:P48)+SUM(#REF!)+SUM(#REF!)+SUM(#REF!)+P12+SUM(#REF!)+SUM(#REF!)+SUM(#REF!)+SUM(#REF!)+SUM(#REF!)+SUM(#REF!)+SUM(#REF!)+SUM(#REF!)+SUM(#REF!)+SUM(#REF!)+SUM(#REF!)</f>
        <v>#REF!</v>
      </c>
      <c r="Q60" s="45" t="e">
        <f t="shared" si="10"/>
        <v>#REF!</v>
      </c>
    </row>
    <row r="61" spans="1:18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8">
      <c r="A63" s="10"/>
      <c r="C63" s="102" t="s">
        <v>81</v>
      </c>
      <c r="D63" s="1" t="e">
        <f>SUM(D14:D21)+SUM(#REF!)+SUM(#REF!)+SUM(#REF!)+SUM(#REF!)+SUM(#REF!)+SUM(#REF!)+SUM(#REF!)+SUM(#REF!)+SUM(#REF!)</f>
        <v>#REF!</v>
      </c>
      <c r="E63" s="1" t="e">
        <f>SUM(E14:E21)+SUM(#REF!)+SUM(#REF!)+SUM(#REF!)+SUM(#REF!)+SUM(#REF!)+SUM(#REF!)+SUM(#REF!)+SUM(#REF!)+SUM(#REF!)</f>
        <v>#REF!</v>
      </c>
      <c r="F63" s="1" t="e">
        <f>SUM(F14:F21)+SUM(#REF!)+SUM(#REF!)+SUM(#REF!)+SUM(#REF!)+SUM(#REF!)+SUM(#REF!)+SUM(#REF!)+SUM(#REF!)+SUM(#REF!)</f>
        <v>#REF!</v>
      </c>
      <c r="G63" s="1" t="e">
        <f>SUM(G14:G21)+SUM(#REF!)+SUM(#REF!)+SUM(#REF!)+SUM(#REF!)+SUM(#REF!)+SUM(#REF!)+SUM(#REF!)+SUM(#REF!)+SUM(#REF!)</f>
        <v>#REF!</v>
      </c>
      <c r="H63" s="1" t="e">
        <f>SUM(H14:H21)+SUM(#REF!)+SUM(#REF!)+SUM(#REF!)+SUM(#REF!)+SUM(#REF!)+SUM(#REF!)+SUM(#REF!)+SUM(#REF!)+SUM(#REF!)</f>
        <v>#REF!</v>
      </c>
      <c r="I63" s="1" t="e">
        <f>SUM(I14:I21)+SUM(#REF!)+SUM(#REF!)+SUM(#REF!)+SUM(#REF!)+SUM(#REF!)+SUM(#REF!)+SUM(#REF!)+SUM(#REF!)+SUM(#REF!)</f>
        <v>#REF!</v>
      </c>
      <c r="J63" s="1" t="e">
        <f>SUM(J14:J21)+SUM(#REF!)+SUM(#REF!)+SUM(#REF!)+SUM(#REF!)+SUM(#REF!)+SUM(#REF!)+SUM(#REF!)+SUM(#REF!)+SUM(#REF!)</f>
        <v>#REF!</v>
      </c>
      <c r="K63" s="1" t="e">
        <f>SUM(K14:K21)+SUM(#REF!)+SUM(#REF!)+SUM(#REF!)+SUM(#REF!)+SUM(#REF!)+SUM(#REF!)+SUM(#REF!)+SUM(#REF!)+SUM(#REF!)</f>
        <v>#REF!</v>
      </c>
      <c r="L63" s="1" t="e">
        <f>SUM(L14:L21)+SUM(#REF!)+SUM(#REF!)+SUM(#REF!)+SUM(#REF!)+SUM(#REF!)+SUM(#REF!)+SUM(#REF!)+SUM(#REF!)+SUM(#REF!)</f>
        <v>#REF!</v>
      </c>
      <c r="M63" s="1" t="e">
        <f>SUM(M14:M21)+SUM(#REF!)+SUM(#REF!)+SUM(#REF!)+SUM(#REF!)+SUM(#REF!)+SUM(#REF!)+SUM(#REF!)+SUM(#REF!)+SUM(#REF!)</f>
        <v>#REF!</v>
      </c>
      <c r="N63" s="1" t="e">
        <f>SUM(N14:N21)+SUM(#REF!)+SUM(#REF!)+SUM(#REF!)+SUM(#REF!)+SUM(#REF!)+SUM(#REF!)+SUM(#REF!)+SUM(#REF!)+SUM(#REF!)</f>
        <v>#REF!</v>
      </c>
      <c r="O63" s="1" t="e">
        <f>SUM(O14:O21)+SUM(#REF!)+SUM(#REF!)+SUM(#REF!)+SUM(#REF!)+SUM(#REF!)+SUM(#REF!)+SUM(#REF!)+SUM(#REF!)+SUM(#REF!)</f>
        <v>#REF!</v>
      </c>
      <c r="R63" s="39" t="e">
        <f>SUM(D63:Q63)</f>
        <v>#REF!</v>
      </c>
    </row>
    <row r="64" spans="1:18">
      <c r="A64" s="10"/>
      <c r="C64" s="102" t="s">
        <v>82</v>
      </c>
      <c r="D64" s="36" t="e">
        <f>D50+#REF!+#REF!+#REF!+#REF!+#REF!+#REF!+#REF!+#REF!</f>
        <v>#REF!</v>
      </c>
      <c r="E64" s="36" t="e">
        <f>E50+#REF!+#REF!+#REF!+#REF!+#REF!+#REF!+#REF!+#REF!</f>
        <v>#REF!</v>
      </c>
      <c r="F64" s="36" t="e">
        <f>F50+#REF!+#REF!+#REF!+#REF!+#REF!+#REF!+#REF!+#REF!</f>
        <v>#REF!</v>
      </c>
      <c r="G64" s="36" t="e">
        <f>G50+#REF!+#REF!+#REF!+#REF!+#REF!+#REF!+#REF!+#REF!</f>
        <v>#REF!</v>
      </c>
      <c r="H64" s="36" t="e">
        <f>H50+#REF!+#REF!+#REF!+#REF!+#REF!+#REF!+#REF!+#REF!</f>
        <v>#REF!</v>
      </c>
      <c r="I64" s="36" t="e">
        <f>I50+#REF!+#REF!+#REF!+#REF!+#REF!+#REF!+#REF!+#REF!</f>
        <v>#REF!</v>
      </c>
      <c r="J64" s="36" t="e">
        <f>J50+#REF!+#REF!+#REF!+#REF!+#REF!+#REF!+#REF!+#REF!</f>
        <v>#REF!</v>
      </c>
      <c r="K64" s="36" t="e">
        <f>K50+#REF!+#REF!+#REF!+#REF!+#REF!+#REF!+#REF!+#REF!</f>
        <v>#REF!</v>
      </c>
      <c r="L64" s="36" t="e">
        <f>L50+#REF!+#REF!+#REF!+#REF!+#REF!+#REF!+#REF!+#REF!</f>
        <v>#REF!</v>
      </c>
      <c r="M64" s="36" t="e">
        <f>M50+#REF!+#REF!+#REF!+#REF!+#REF!+#REF!+#REF!+#REF!</f>
        <v>#REF!</v>
      </c>
      <c r="N64" s="36" t="e">
        <f>N50+#REF!+#REF!+#REF!+#REF!+#REF!+#REF!+#REF!+#REF!</f>
        <v>#REF!</v>
      </c>
      <c r="O64" s="36" t="e">
        <f>O50+#REF!+#REF!+#REF!+#REF!+#REF!+#REF!+#REF!+#REF!</f>
        <v>#REF!</v>
      </c>
      <c r="R64" s="39" t="e">
        <f>SUM(D64:Q64)</f>
        <v>#REF!</v>
      </c>
    </row>
    <row r="65" spans="1:2">
      <c r="A65" s="10"/>
      <c r="B65" s="11"/>
    </row>
  </sheetData>
  <mergeCells count="26">
    <mergeCell ref="B3:C3"/>
    <mergeCell ref="A4:A13"/>
    <mergeCell ref="B5:B9"/>
    <mergeCell ref="B10:B12"/>
    <mergeCell ref="B13:C13"/>
    <mergeCell ref="B32:C32"/>
    <mergeCell ref="A33:A51"/>
    <mergeCell ref="B33:B40"/>
    <mergeCell ref="B41:B45"/>
    <mergeCell ref="B46:B49"/>
    <mergeCell ref="B50:C50"/>
    <mergeCell ref="B51:C51"/>
    <mergeCell ref="A14:A32"/>
    <mergeCell ref="B14:B21"/>
    <mergeCell ref="B22:B26"/>
    <mergeCell ref="B27:B30"/>
    <mergeCell ref="B31:C31"/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tabColor rgb="FF76BBFA"/>
  </sheetPr>
  <dimension ref="A1:Q46"/>
  <sheetViews>
    <sheetView tabSelected="1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6" sqref="F26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s="125" customFormat="1" ht="117" customHeight="1">
      <c r="A1" s="128" t="s">
        <v>78</v>
      </c>
      <c r="B1" s="129"/>
      <c r="C1" s="130"/>
      <c r="D1" s="34"/>
      <c r="E1" s="34"/>
      <c r="F1" s="34"/>
      <c r="G1" s="80"/>
      <c r="H1" s="34"/>
      <c r="I1" s="34"/>
      <c r="J1" s="34"/>
      <c r="K1" s="34"/>
      <c r="L1" s="127"/>
      <c r="M1" s="34"/>
      <c r="N1" s="34"/>
      <c r="O1" s="34"/>
      <c r="P1" s="34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5" t="s">
        <v>1</v>
      </c>
      <c r="C3" s="166"/>
      <c r="D3" s="82" t="s">
        <v>44</v>
      </c>
      <c r="E3" s="82" t="s">
        <v>45</v>
      </c>
      <c r="F3" s="82" t="s">
        <v>46</v>
      </c>
      <c r="G3" s="82" t="s">
        <v>47</v>
      </c>
      <c r="H3" s="82" t="s">
        <v>48</v>
      </c>
      <c r="I3" s="82" t="s">
        <v>2</v>
      </c>
      <c r="J3" s="82" t="s">
        <v>3</v>
      </c>
      <c r="K3" s="83" t="s">
        <v>49</v>
      </c>
      <c r="L3" s="82" t="s">
        <v>50</v>
      </c>
      <c r="M3" s="82" t="s">
        <v>51</v>
      </c>
      <c r="N3" s="84" t="s">
        <v>59</v>
      </c>
      <c r="O3" s="41" t="s">
        <v>29</v>
      </c>
      <c r="P3" s="23" t="s">
        <v>68</v>
      </c>
    </row>
    <row r="4" spans="1:17">
      <c r="A4" s="176" t="s">
        <v>97</v>
      </c>
      <c r="B4" s="126" t="s">
        <v>12</v>
      </c>
      <c r="C4" s="3" t="s">
        <v>6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76"/>
      <c r="P4" s="30"/>
      <c r="Q4" s="19">
        <f>SUM(D4:P4)</f>
        <v>0</v>
      </c>
    </row>
    <row r="5" spans="1:17">
      <c r="A5" s="161"/>
      <c r="B5" s="179" t="s">
        <v>11</v>
      </c>
      <c r="C5" s="5" t="s">
        <v>7</v>
      </c>
      <c r="D5" s="92"/>
      <c r="E5" s="91"/>
      <c r="F5" s="92"/>
      <c r="G5" s="92"/>
      <c r="H5" s="92"/>
      <c r="I5" s="92"/>
      <c r="J5" s="92"/>
      <c r="K5" s="92"/>
      <c r="L5" s="92"/>
      <c r="M5" s="92"/>
      <c r="N5" s="92"/>
      <c r="O5" s="77"/>
      <c r="P5" s="27"/>
      <c r="Q5" s="20">
        <f t="shared" ref="Q5:Q31" si="0">SUM(D5:P5)</f>
        <v>0</v>
      </c>
    </row>
    <row r="6" spans="1:17">
      <c r="A6" s="161"/>
      <c r="B6" s="179"/>
      <c r="C6" s="15" t="s">
        <v>39</v>
      </c>
      <c r="D6" s="87"/>
      <c r="E6" s="88"/>
      <c r="F6" s="87"/>
      <c r="G6" s="87"/>
      <c r="H6" s="87"/>
      <c r="I6" s="87"/>
      <c r="J6" s="87"/>
      <c r="K6" s="87"/>
      <c r="L6" s="87"/>
      <c r="M6" s="87"/>
      <c r="N6" s="87"/>
      <c r="O6" s="17"/>
      <c r="P6" s="28"/>
      <c r="Q6" s="20">
        <f t="shared" si="0"/>
        <v>0</v>
      </c>
    </row>
    <row r="7" spans="1:17">
      <c r="A7" s="161"/>
      <c r="B7" s="179"/>
      <c r="C7" s="6" t="s">
        <v>17</v>
      </c>
      <c r="D7" s="87"/>
      <c r="E7" s="93"/>
      <c r="F7" s="89"/>
      <c r="G7" s="89"/>
      <c r="H7" s="89"/>
      <c r="I7" s="89"/>
      <c r="J7" s="89"/>
      <c r="K7" s="89"/>
      <c r="L7" s="87"/>
      <c r="M7" s="87"/>
      <c r="N7" s="87"/>
      <c r="O7" s="17"/>
      <c r="P7" s="28"/>
      <c r="Q7" s="20">
        <f t="shared" si="0"/>
        <v>0</v>
      </c>
    </row>
    <row r="8" spans="1:17">
      <c r="A8" s="161"/>
      <c r="B8" s="179"/>
      <c r="C8" s="6" t="s">
        <v>18</v>
      </c>
      <c r="D8" s="89"/>
      <c r="E8" s="93"/>
      <c r="F8" s="89"/>
      <c r="G8" s="89"/>
      <c r="H8" s="89"/>
      <c r="I8" s="89"/>
      <c r="J8" s="89"/>
      <c r="K8" s="89"/>
      <c r="L8" s="89"/>
      <c r="M8" s="89"/>
      <c r="N8" s="89"/>
      <c r="O8" s="78"/>
      <c r="P8" s="32"/>
      <c r="Q8" s="20">
        <f t="shared" si="0"/>
        <v>0</v>
      </c>
    </row>
    <row r="9" spans="1:17">
      <c r="A9" s="161"/>
      <c r="B9" s="179"/>
      <c r="C9" s="4" t="s">
        <v>19</v>
      </c>
      <c r="D9" s="90"/>
      <c r="E9" s="94"/>
      <c r="F9" s="90"/>
      <c r="G9" s="90"/>
      <c r="H9" s="90"/>
      <c r="I9" s="90"/>
      <c r="J9" s="90"/>
      <c r="K9" s="90"/>
      <c r="L9" s="90"/>
      <c r="M9" s="90"/>
      <c r="N9" s="90"/>
      <c r="O9" s="18"/>
      <c r="P9" s="33"/>
      <c r="Q9" s="22">
        <f t="shared" si="0"/>
        <v>0</v>
      </c>
    </row>
    <row r="10" spans="1:17">
      <c r="A10" s="161"/>
      <c r="B10" s="180" t="s">
        <v>30</v>
      </c>
      <c r="C10" s="5" t="s">
        <v>10</v>
      </c>
      <c r="D10" s="92"/>
      <c r="E10" s="91"/>
      <c r="F10" s="92"/>
      <c r="G10" s="92"/>
      <c r="H10" s="92"/>
      <c r="I10" s="92"/>
      <c r="J10" s="92"/>
      <c r="K10" s="92"/>
      <c r="L10" s="92"/>
      <c r="M10" s="92"/>
      <c r="N10" s="92"/>
      <c r="O10" s="77"/>
      <c r="P10" s="27"/>
      <c r="Q10" s="21">
        <f t="shared" si="0"/>
        <v>0</v>
      </c>
    </row>
    <row r="11" spans="1:17">
      <c r="A11" s="161"/>
      <c r="B11" s="181"/>
      <c r="C11" s="108" t="s">
        <v>71</v>
      </c>
      <c r="D11" s="87"/>
      <c r="E11" s="99"/>
      <c r="F11" s="96"/>
      <c r="G11" s="96"/>
      <c r="H11" s="96"/>
      <c r="I11" s="96"/>
      <c r="J11" s="96"/>
      <c r="K11" s="96"/>
      <c r="L11" s="96"/>
      <c r="M11" s="86"/>
      <c r="N11" s="86"/>
      <c r="O11" s="17"/>
      <c r="P11" s="29"/>
      <c r="Q11" s="20">
        <f t="shared" si="0"/>
        <v>0</v>
      </c>
    </row>
    <row r="12" spans="1:17">
      <c r="A12" s="161"/>
      <c r="B12" s="182"/>
      <c r="C12" s="97" t="s">
        <v>70</v>
      </c>
      <c r="D12" s="90"/>
      <c r="E12" s="94"/>
      <c r="F12" s="94"/>
      <c r="G12" s="94"/>
      <c r="H12" s="94"/>
      <c r="I12" s="90"/>
      <c r="J12" s="90"/>
      <c r="K12" s="90"/>
      <c r="L12" s="90"/>
      <c r="M12" s="87"/>
      <c r="N12" s="90"/>
      <c r="O12" s="18"/>
      <c r="P12" s="33"/>
      <c r="Q12" s="20">
        <f>SUM(D12:P12)</f>
        <v>0</v>
      </c>
    </row>
    <row r="13" spans="1:17" ht="14.25" thickBot="1">
      <c r="A13" s="162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76" t="s">
        <v>96</v>
      </c>
      <c r="B14" s="177" t="s">
        <v>12</v>
      </c>
      <c r="C14" s="104" t="s">
        <v>87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76"/>
      <c r="P14" s="30"/>
      <c r="Q14" s="19">
        <f>SUM(D14:P14)</f>
        <v>0</v>
      </c>
    </row>
    <row r="15" spans="1:17">
      <c r="A15" s="161"/>
      <c r="B15" s="178"/>
      <c r="C15" s="105" t="s">
        <v>89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79"/>
      <c r="P15" s="31"/>
      <c r="Q15" s="20">
        <f t="shared" si="0"/>
        <v>0</v>
      </c>
    </row>
    <row r="16" spans="1:17">
      <c r="A16" s="161"/>
      <c r="B16" s="179"/>
      <c r="C16" s="106" t="s">
        <v>88</v>
      </c>
      <c r="D16" s="87"/>
      <c r="E16" s="88"/>
      <c r="F16" s="88"/>
      <c r="G16" s="88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61"/>
      <c r="B17" s="179"/>
      <c r="C17" s="107" t="s">
        <v>90</v>
      </c>
      <c r="D17" s="89"/>
      <c r="E17" s="87"/>
      <c r="F17" s="87"/>
      <c r="G17" s="89"/>
      <c r="H17" s="89"/>
      <c r="I17" s="89"/>
      <c r="J17" s="89"/>
      <c r="K17" s="89"/>
      <c r="L17" s="89"/>
      <c r="M17" s="89"/>
      <c r="N17" s="89"/>
      <c r="O17" s="78"/>
      <c r="P17" s="32"/>
      <c r="Q17" s="20">
        <f t="shared" si="0"/>
        <v>0</v>
      </c>
    </row>
    <row r="18" spans="1:17">
      <c r="A18" s="161"/>
      <c r="B18" s="179"/>
      <c r="C18" s="107" t="s">
        <v>91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78"/>
      <c r="P18" s="32"/>
      <c r="Q18" s="20">
        <f t="shared" si="0"/>
        <v>0</v>
      </c>
    </row>
    <row r="19" spans="1:17">
      <c r="A19" s="161"/>
      <c r="B19" s="179"/>
      <c r="C19" s="107" t="s">
        <v>92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78"/>
      <c r="P19" s="32"/>
      <c r="Q19" s="20">
        <f t="shared" si="0"/>
        <v>0</v>
      </c>
    </row>
    <row r="20" spans="1:17">
      <c r="A20" s="161"/>
      <c r="B20" s="179"/>
      <c r="C20" s="106" t="s">
        <v>93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78"/>
      <c r="P20" s="32"/>
      <c r="Q20" s="20">
        <f t="shared" si="0"/>
        <v>0</v>
      </c>
    </row>
    <row r="21" spans="1:17">
      <c r="A21" s="161"/>
      <c r="B21" s="179"/>
      <c r="C21" s="108" t="s">
        <v>94</v>
      </c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18"/>
      <c r="P21" s="33"/>
      <c r="Q21" s="22">
        <f t="shared" si="0"/>
        <v>0</v>
      </c>
    </row>
    <row r="22" spans="1:17">
      <c r="A22" s="161"/>
      <c r="B22" s="179" t="s">
        <v>11</v>
      </c>
      <c r="C22" s="109" t="s">
        <v>7</v>
      </c>
      <c r="D22" s="91"/>
      <c r="E22" s="91"/>
      <c r="F22" s="91"/>
      <c r="G22" s="91"/>
      <c r="H22" s="91"/>
      <c r="I22" s="91"/>
      <c r="J22" s="91"/>
      <c r="K22" s="91"/>
      <c r="L22" s="92"/>
      <c r="M22" s="92"/>
      <c r="N22" s="92"/>
      <c r="O22" s="77"/>
      <c r="P22" s="27"/>
      <c r="Q22" s="21">
        <f t="shared" si="0"/>
        <v>0</v>
      </c>
    </row>
    <row r="23" spans="1:17">
      <c r="A23" s="161"/>
      <c r="B23" s="179"/>
      <c r="C23" s="107" t="s">
        <v>4</v>
      </c>
      <c r="D23" s="93"/>
      <c r="E23" s="93"/>
      <c r="F23" s="93"/>
      <c r="G23" s="93"/>
      <c r="H23" s="93"/>
      <c r="I23" s="93"/>
      <c r="J23" s="93"/>
      <c r="K23" s="93"/>
      <c r="L23" s="89"/>
      <c r="M23" s="89"/>
      <c r="N23" s="89"/>
      <c r="O23" s="78"/>
      <c r="P23" s="32"/>
      <c r="Q23" s="20">
        <f t="shared" si="0"/>
        <v>0</v>
      </c>
    </row>
    <row r="24" spans="1:17">
      <c r="A24" s="161"/>
      <c r="B24" s="179"/>
      <c r="C24" s="107" t="s">
        <v>17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8"/>
      <c r="P24" s="32"/>
      <c r="Q24" s="20">
        <f t="shared" si="0"/>
        <v>0</v>
      </c>
    </row>
    <row r="25" spans="1:17">
      <c r="A25" s="161"/>
      <c r="B25" s="179"/>
      <c r="C25" s="107" t="s">
        <v>18</v>
      </c>
      <c r="D25" s="88"/>
      <c r="E25" s="88"/>
      <c r="F25" s="88"/>
      <c r="G25" s="88"/>
      <c r="H25" s="89"/>
      <c r="I25" s="89"/>
      <c r="J25" s="89"/>
      <c r="K25" s="89"/>
      <c r="L25" s="89"/>
      <c r="M25" s="89"/>
      <c r="N25" s="89"/>
      <c r="O25" s="78"/>
      <c r="P25" s="32"/>
      <c r="Q25" s="20">
        <f t="shared" si="0"/>
        <v>0</v>
      </c>
    </row>
    <row r="26" spans="1:17">
      <c r="A26" s="161"/>
      <c r="B26" s="179"/>
      <c r="C26" s="110" t="s">
        <v>19</v>
      </c>
      <c r="D26" s="94"/>
      <c r="E26" s="94"/>
      <c r="F26" s="94"/>
      <c r="G26" s="94"/>
      <c r="H26" s="90"/>
      <c r="I26" s="90"/>
      <c r="J26" s="90"/>
      <c r="K26" s="90"/>
      <c r="L26" s="90"/>
      <c r="M26" s="90"/>
      <c r="N26" s="90"/>
      <c r="O26" s="18"/>
      <c r="P26" s="33"/>
      <c r="Q26" s="22">
        <f t="shared" si="0"/>
        <v>0</v>
      </c>
    </row>
    <row r="27" spans="1:17">
      <c r="A27" s="161"/>
      <c r="B27" s="179" t="s">
        <v>13</v>
      </c>
      <c r="C27" s="109" t="s">
        <v>10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77"/>
      <c r="P27" s="27"/>
      <c r="Q27" s="21">
        <f t="shared" si="0"/>
        <v>0</v>
      </c>
    </row>
    <row r="28" spans="1:17">
      <c r="A28" s="161"/>
      <c r="B28" s="179"/>
      <c r="C28" s="106" t="s">
        <v>55</v>
      </c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17"/>
      <c r="P28" s="28"/>
      <c r="Q28" s="20">
        <f t="shared" si="0"/>
        <v>0</v>
      </c>
    </row>
    <row r="29" spans="1:17">
      <c r="A29" s="161"/>
      <c r="B29" s="179"/>
      <c r="C29" s="106" t="s">
        <v>56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17"/>
      <c r="P29" s="28"/>
      <c r="Q29" s="20">
        <f t="shared" si="0"/>
        <v>0</v>
      </c>
    </row>
    <row r="30" spans="1:17">
      <c r="A30" s="161"/>
      <c r="B30" s="179"/>
      <c r="C30" s="110" t="s">
        <v>61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18"/>
      <c r="P30" s="33"/>
      <c r="Q30" s="22">
        <f>SUM(D30:P30)</f>
        <v>0</v>
      </c>
    </row>
    <row r="31" spans="1:17">
      <c r="A31" s="161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62"/>
      <c r="B32" s="149" t="s">
        <v>5</v>
      </c>
      <c r="C32" s="150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>SUM(D32:P32)</f>
        <v>0</v>
      </c>
    </row>
    <row r="33" spans="1:17">
      <c r="A33" s="173" t="s">
        <v>40</v>
      </c>
      <c r="B33" s="174"/>
      <c r="C33" s="175"/>
      <c r="D33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0</v>
      </c>
      <c r="E33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33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33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33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33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33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33" s="47">
        <f t="shared" ref="K33:P33" ca="1" si="4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33" s="47">
        <f t="shared" ca="1" si="4"/>
        <v>0</v>
      </c>
      <c r="M33" s="47">
        <f t="shared" ca="1" si="4"/>
        <v>0</v>
      </c>
      <c r="N33" s="47">
        <f t="shared" ca="1" si="4"/>
        <v>0</v>
      </c>
      <c r="O33" s="47">
        <f t="shared" ca="1" si="4"/>
        <v>0</v>
      </c>
      <c r="P33" s="47">
        <f t="shared" ca="1" si="4"/>
        <v>0</v>
      </c>
      <c r="Q33" s="49">
        <f ca="1">SUM(P33:P33)</f>
        <v>0</v>
      </c>
    </row>
    <row r="34" spans="1:17">
      <c r="A34" s="146" t="s">
        <v>41</v>
      </c>
      <c r="B34" s="147"/>
      <c r="C34" s="148"/>
      <c r="D34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0</v>
      </c>
      <c r="E34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34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34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34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34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34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34" s="50">
        <f t="shared" ref="K34:P34" ca="1" si="5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34" s="50">
        <f t="shared" ca="1" si="5"/>
        <v>0</v>
      </c>
      <c r="M34" s="50">
        <f t="shared" ca="1" si="5"/>
        <v>0</v>
      </c>
      <c r="N34" s="50">
        <f t="shared" ca="1" si="5"/>
        <v>0</v>
      </c>
      <c r="O34" s="50">
        <f t="shared" ca="1" si="5"/>
        <v>0</v>
      </c>
      <c r="P34" s="50">
        <f t="shared" ca="1" si="5"/>
        <v>0</v>
      </c>
      <c r="Q34" s="52">
        <f ca="1">SUM(P34:P34)</f>
        <v>0</v>
      </c>
    </row>
    <row r="35" spans="1:17">
      <c r="A35" s="146" t="s">
        <v>31</v>
      </c>
      <c r="B35" s="147"/>
      <c r="C35" s="148"/>
      <c r="D35" s="50">
        <f t="shared" ref="D35:P35" si="6">SUMIF($B:$B,"計",D:D)</f>
        <v>0</v>
      </c>
      <c r="E35" s="50">
        <f t="shared" si="6"/>
        <v>0</v>
      </c>
      <c r="F35" s="50">
        <f t="shared" si="6"/>
        <v>0</v>
      </c>
      <c r="G35" s="50">
        <f t="shared" si="6"/>
        <v>0</v>
      </c>
      <c r="H35" s="50">
        <f t="shared" si="6"/>
        <v>0</v>
      </c>
      <c r="I35" s="50">
        <f t="shared" si="6"/>
        <v>0</v>
      </c>
      <c r="J35" s="50">
        <f t="shared" si="6"/>
        <v>0</v>
      </c>
      <c r="K35" s="50">
        <f t="shared" si="6"/>
        <v>0</v>
      </c>
      <c r="L35" s="50">
        <f t="shared" si="6"/>
        <v>0</v>
      </c>
      <c r="M35" s="50">
        <f t="shared" si="6"/>
        <v>0</v>
      </c>
      <c r="N35" s="50">
        <f t="shared" si="6"/>
        <v>0</v>
      </c>
      <c r="O35" s="50">
        <f t="shared" si="6"/>
        <v>0</v>
      </c>
      <c r="P35" s="50">
        <f t="shared" si="6"/>
        <v>0</v>
      </c>
      <c r="Q35" s="52">
        <f t="shared" ref="Q35:Q40" si="7">SUM(P35:P35)</f>
        <v>0</v>
      </c>
    </row>
    <row r="36" spans="1:17">
      <c r="A36" s="146" t="s">
        <v>20</v>
      </c>
      <c r="B36" s="147"/>
      <c r="C36" s="148"/>
      <c r="D36" s="53">
        <f t="shared" ref="D36:P36" si="8">SUMIF($C:$C,"所得税",D:D)</f>
        <v>0</v>
      </c>
      <c r="E36" s="53">
        <f t="shared" si="8"/>
        <v>0</v>
      </c>
      <c r="F36" s="53">
        <f t="shared" si="8"/>
        <v>0</v>
      </c>
      <c r="G36" s="53">
        <f t="shared" si="8"/>
        <v>0</v>
      </c>
      <c r="H36" s="53">
        <f t="shared" si="8"/>
        <v>0</v>
      </c>
      <c r="I36" s="53">
        <f t="shared" si="8"/>
        <v>0</v>
      </c>
      <c r="J36" s="53">
        <f t="shared" si="8"/>
        <v>0</v>
      </c>
      <c r="K36" s="53">
        <f t="shared" si="8"/>
        <v>0</v>
      </c>
      <c r="L36" s="53">
        <f t="shared" si="8"/>
        <v>0</v>
      </c>
      <c r="M36" s="53">
        <f t="shared" si="8"/>
        <v>0</v>
      </c>
      <c r="N36" s="53">
        <f t="shared" si="8"/>
        <v>0</v>
      </c>
      <c r="O36" s="53">
        <f t="shared" si="8"/>
        <v>0</v>
      </c>
      <c r="P36" s="53">
        <f t="shared" si="8"/>
        <v>0</v>
      </c>
      <c r="Q36" s="52">
        <f t="shared" si="7"/>
        <v>0</v>
      </c>
    </row>
    <row r="37" spans="1:17">
      <c r="A37" s="146" t="s">
        <v>43</v>
      </c>
      <c r="B37" s="147"/>
      <c r="C37" s="148"/>
      <c r="D37" s="53">
        <f t="shared" ref="D37:P37" si="9">SUMIF($C:$C,"住民税",D:D)</f>
        <v>0</v>
      </c>
      <c r="E37" s="53">
        <f t="shared" si="9"/>
        <v>0</v>
      </c>
      <c r="F37" s="53">
        <f t="shared" si="9"/>
        <v>0</v>
      </c>
      <c r="G37" s="53">
        <f t="shared" si="9"/>
        <v>0</v>
      </c>
      <c r="H37" s="53">
        <f t="shared" si="9"/>
        <v>0</v>
      </c>
      <c r="I37" s="53">
        <f t="shared" si="9"/>
        <v>0</v>
      </c>
      <c r="J37" s="53">
        <f t="shared" si="9"/>
        <v>0</v>
      </c>
      <c r="K37" s="53">
        <f t="shared" si="9"/>
        <v>0</v>
      </c>
      <c r="L37" s="53">
        <f t="shared" si="9"/>
        <v>0</v>
      </c>
      <c r="M37" s="53">
        <f t="shared" si="9"/>
        <v>0</v>
      </c>
      <c r="N37" s="53">
        <f t="shared" si="9"/>
        <v>0</v>
      </c>
      <c r="O37" s="53">
        <f t="shared" si="9"/>
        <v>0</v>
      </c>
      <c r="P37" s="53">
        <f t="shared" si="9"/>
        <v>0</v>
      </c>
      <c r="Q37" s="52">
        <f t="shared" si="7"/>
        <v>0</v>
      </c>
    </row>
    <row r="38" spans="1:17">
      <c r="A38" s="146" t="s">
        <v>53</v>
      </c>
      <c r="B38" s="147"/>
      <c r="C38" s="148"/>
      <c r="D38" s="53">
        <f t="shared" ref="D38:P38" si="10">SUMIF($C:$C,"健康保険料",D:D)+SUMIF($C:$C,"厚生年金",D:D)</f>
        <v>0</v>
      </c>
      <c r="E38" s="53">
        <f t="shared" si="10"/>
        <v>0</v>
      </c>
      <c r="F38" s="53">
        <f t="shared" si="10"/>
        <v>0</v>
      </c>
      <c r="G38" s="53">
        <f t="shared" si="10"/>
        <v>0</v>
      </c>
      <c r="H38" s="53">
        <f t="shared" si="10"/>
        <v>0</v>
      </c>
      <c r="I38" s="53">
        <f t="shared" si="10"/>
        <v>0</v>
      </c>
      <c r="J38" s="53">
        <f t="shared" si="10"/>
        <v>0</v>
      </c>
      <c r="K38" s="53">
        <f t="shared" si="10"/>
        <v>0</v>
      </c>
      <c r="L38" s="53">
        <f t="shared" si="10"/>
        <v>0</v>
      </c>
      <c r="M38" s="53">
        <f t="shared" si="10"/>
        <v>0</v>
      </c>
      <c r="N38" s="53">
        <f t="shared" si="10"/>
        <v>0</v>
      </c>
      <c r="O38" s="53">
        <f t="shared" si="10"/>
        <v>0</v>
      </c>
      <c r="P38" s="53">
        <f t="shared" si="10"/>
        <v>0</v>
      </c>
      <c r="Q38" s="52">
        <f t="shared" si="7"/>
        <v>0</v>
      </c>
    </row>
    <row r="39" spans="1:17">
      <c r="A39" s="146" t="s">
        <v>22</v>
      </c>
      <c r="B39" s="147"/>
      <c r="C39" s="148"/>
      <c r="D39" s="53">
        <f t="shared" ref="D39:P39" si="11">SUMIF($C:$C,"雇用保険",D:D)</f>
        <v>0</v>
      </c>
      <c r="E39" s="53">
        <f t="shared" si="11"/>
        <v>0</v>
      </c>
      <c r="F39" s="53">
        <f t="shared" si="11"/>
        <v>0</v>
      </c>
      <c r="G39" s="53">
        <f t="shared" si="11"/>
        <v>0</v>
      </c>
      <c r="H39" s="53">
        <f t="shared" si="11"/>
        <v>0</v>
      </c>
      <c r="I39" s="53">
        <f t="shared" si="11"/>
        <v>0</v>
      </c>
      <c r="J39" s="53">
        <f t="shared" si="11"/>
        <v>0</v>
      </c>
      <c r="K39" s="53">
        <f t="shared" si="11"/>
        <v>0</v>
      </c>
      <c r="L39" s="53">
        <f t="shared" si="11"/>
        <v>0</v>
      </c>
      <c r="M39" s="53">
        <f t="shared" si="11"/>
        <v>0</v>
      </c>
      <c r="N39" s="53">
        <f t="shared" si="11"/>
        <v>0</v>
      </c>
      <c r="O39" s="53">
        <f t="shared" si="11"/>
        <v>0</v>
      </c>
      <c r="P39" s="53">
        <f t="shared" si="11"/>
        <v>0</v>
      </c>
      <c r="Q39" s="52">
        <f t="shared" si="7"/>
        <v>0</v>
      </c>
    </row>
    <row r="40" spans="1:17">
      <c r="A40" s="146" t="s">
        <v>21</v>
      </c>
      <c r="B40" s="147"/>
      <c r="C40" s="148"/>
      <c r="D40" s="53">
        <f t="shared" ref="D40:P40" si="12">SUMIF($C:$C,"交通費",D:D)</f>
        <v>0</v>
      </c>
      <c r="E40" s="53">
        <f t="shared" si="12"/>
        <v>0</v>
      </c>
      <c r="F40" s="53">
        <f t="shared" si="12"/>
        <v>0</v>
      </c>
      <c r="G40" s="53">
        <f t="shared" si="12"/>
        <v>0</v>
      </c>
      <c r="H40" s="53">
        <f t="shared" si="12"/>
        <v>0</v>
      </c>
      <c r="I40" s="53">
        <f t="shared" si="12"/>
        <v>0</v>
      </c>
      <c r="J40" s="53">
        <f t="shared" si="12"/>
        <v>0</v>
      </c>
      <c r="K40" s="53">
        <f t="shared" si="12"/>
        <v>0</v>
      </c>
      <c r="L40" s="53">
        <f t="shared" si="12"/>
        <v>0</v>
      </c>
      <c r="M40" s="53">
        <f t="shared" si="12"/>
        <v>0</v>
      </c>
      <c r="N40" s="53">
        <f t="shared" si="12"/>
        <v>0</v>
      </c>
      <c r="O40" s="53">
        <f t="shared" si="12"/>
        <v>0</v>
      </c>
      <c r="P40" s="53">
        <f t="shared" si="12"/>
        <v>0</v>
      </c>
      <c r="Q40" s="52">
        <f t="shared" si="7"/>
        <v>0</v>
      </c>
    </row>
    <row r="41" spans="1:17" ht="14.25" thickBot="1">
      <c r="A41" s="170" t="s">
        <v>57</v>
      </c>
      <c r="B41" s="171"/>
      <c r="C41" s="172"/>
      <c r="D41" s="55">
        <f t="shared" ref="D41:P41" si="13">SUMIF($C:$C,"*精算分*",D:D)</f>
        <v>0</v>
      </c>
      <c r="E41" s="55">
        <f t="shared" si="13"/>
        <v>0</v>
      </c>
      <c r="F41" s="55">
        <f t="shared" si="13"/>
        <v>0</v>
      </c>
      <c r="G41" s="55">
        <f t="shared" si="13"/>
        <v>0</v>
      </c>
      <c r="H41" s="55">
        <f t="shared" si="13"/>
        <v>0</v>
      </c>
      <c r="I41" s="55">
        <f t="shared" si="13"/>
        <v>0</v>
      </c>
      <c r="J41" s="55">
        <f t="shared" si="13"/>
        <v>0</v>
      </c>
      <c r="K41" s="55">
        <f t="shared" si="13"/>
        <v>0</v>
      </c>
      <c r="L41" s="55">
        <f t="shared" si="13"/>
        <v>0</v>
      </c>
      <c r="M41" s="55">
        <f t="shared" si="13"/>
        <v>0</v>
      </c>
      <c r="N41" s="55">
        <f t="shared" si="13"/>
        <v>0</v>
      </c>
      <c r="O41" s="55">
        <f t="shared" si="13"/>
        <v>0</v>
      </c>
      <c r="P41" s="55">
        <f t="shared" si="13"/>
        <v>0</v>
      </c>
      <c r="Q41" s="45">
        <f>SUM(P41:P41)</f>
        <v>0</v>
      </c>
    </row>
    <row r="42" spans="1:17">
      <c r="A42" s="26"/>
      <c r="B42" s="26"/>
      <c r="C42" s="26"/>
      <c r="D42" s="24"/>
      <c r="E42" s="24"/>
      <c r="F42" s="24"/>
      <c r="G42" s="24"/>
      <c r="H42" s="24"/>
      <c r="I42" s="37"/>
      <c r="J42" s="37"/>
      <c r="K42" s="37"/>
      <c r="L42" s="24"/>
      <c r="M42" s="24"/>
      <c r="N42" s="24"/>
      <c r="O42" s="24"/>
      <c r="P42" s="24"/>
      <c r="Q42" s="25"/>
    </row>
    <row r="44" spans="1:17">
      <c r="A44" s="10"/>
      <c r="C44" s="102" t="s">
        <v>81</v>
      </c>
      <c r="D44" s="1">
        <f t="shared" ref="D44:O44" si="14">SUMIF($C:$C,"基本給 ",D:D)
+SUMIF($C:$C,"役職手当 ",D:D)
+SUMIF($C:$C,"営業手当 ",D:D)
+SUMIF($C:$C,"管理手当 ",D:D)
+SUMIF($C:$C,"住宅手当 ",D:D)
+SUMIF($C:$C,"特別手当 ",D:D)
+SUMIF($C:$C,"扶養家族手当 ",D:D)
+SUMIF($C:$C,"調整金 ",D:D)</f>
        <v>0</v>
      </c>
      <c r="E44" s="1">
        <f t="shared" si="14"/>
        <v>0</v>
      </c>
      <c r="F44" s="1">
        <f t="shared" si="14"/>
        <v>0</v>
      </c>
      <c r="G44" s="1">
        <f t="shared" si="14"/>
        <v>0</v>
      </c>
      <c r="H44" s="1">
        <f t="shared" si="14"/>
        <v>0</v>
      </c>
      <c r="I44" s="1">
        <f t="shared" si="14"/>
        <v>0</v>
      </c>
      <c r="J44" s="1">
        <f t="shared" si="14"/>
        <v>0</v>
      </c>
      <c r="K44" s="1">
        <f t="shared" si="14"/>
        <v>0</v>
      </c>
      <c r="L44" s="1">
        <f t="shared" si="14"/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</row>
    <row r="45" spans="1:17">
      <c r="A45" s="10"/>
      <c r="C45" s="102" t="s">
        <v>82</v>
      </c>
      <c r="D45" s="36">
        <f t="shared" ref="D45:O45" ca="1" si="15">SUMIF($C:$C,"小計",D:D)
+SUMIF($C:$C,"営業手当",D:D)
+SUMIF($C:$C,"管理手当",D:D)
+SUMIF($C:$C,"住宅手当",D:D)
+SUMIF($C:$C,"特別手当",D:D)
+SUMIF($C:$C,"特別手当",INDEX(D:D,2,1))
+SUMIF($C:$C,"特別手当",INDEX(D:D,3,1))
+SUMIF($C:$C,"調整金",D:D)</f>
        <v>0</v>
      </c>
      <c r="E45" s="36">
        <f t="shared" ca="1" si="15"/>
        <v>0</v>
      </c>
      <c r="F45" s="36">
        <f t="shared" ca="1" si="15"/>
        <v>0</v>
      </c>
      <c r="G45" s="36">
        <f t="shared" ca="1" si="15"/>
        <v>0</v>
      </c>
      <c r="H45" s="36">
        <f t="shared" ca="1" si="15"/>
        <v>0</v>
      </c>
      <c r="I45" s="36">
        <f t="shared" ca="1" si="15"/>
        <v>0</v>
      </c>
      <c r="J45" s="36">
        <f t="shared" ca="1" si="15"/>
        <v>0</v>
      </c>
      <c r="K45" s="36">
        <f t="shared" ca="1" si="15"/>
        <v>0</v>
      </c>
      <c r="L45" s="36">
        <f t="shared" ca="1" si="15"/>
        <v>0</v>
      </c>
      <c r="M45" s="36">
        <f t="shared" ca="1" si="15"/>
        <v>0</v>
      </c>
      <c r="N45" s="36">
        <f t="shared" ca="1" si="15"/>
        <v>0</v>
      </c>
      <c r="O45" s="36">
        <f t="shared" ca="1" si="15"/>
        <v>0</v>
      </c>
    </row>
    <row r="46" spans="1:17">
      <c r="A46" s="10"/>
      <c r="B46" s="11"/>
    </row>
  </sheetData>
  <mergeCells count="20">
    <mergeCell ref="B3:C3"/>
    <mergeCell ref="A4:A13"/>
    <mergeCell ref="B5:B9"/>
    <mergeCell ref="B10:B12"/>
    <mergeCell ref="B13:C13"/>
    <mergeCell ref="B32:C32"/>
    <mergeCell ref="A14:A32"/>
    <mergeCell ref="B14:B21"/>
    <mergeCell ref="B22:B26"/>
    <mergeCell ref="B27:B30"/>
    <mergeCell ref="B31:C31"/>
    <mergeCell ref="A39:C39"/>
    <mergeCell ref="A40:C40"/>
    <mergeCell ref="A41:C41"/>
    <mergeCell ref="A33:C33"/>
    <mergeCell ref="A34:C34"/>
    <mergeCell ref="A35:C35"/>
    <mergeCell ref="A36:C36"/>
    <mergeCell ref="A37:C37"/>
    <mergeCell ref="A38:C38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rgb="FF92D050"/>
  </sheetPr>
  <dimension ref="A1:Q46"/>
  <sheetViews>
    <sheetView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12" sqref="A12:XFD12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138" t="s">
        <v>80</v>
      </c>
      <c r="B1" s="139"/>
      <c r="C1" s="139"/>
      <c r="D1" s="139"/>
      <c r="E1" s="139"/>
    </row>
    <row r="2" spans="1:17" ht="18.75">
      <c r="A2" s="65"/>
      <c r="G2">
        <f>SUM(C6:G6)</f>
        <v>0</v>
      </c>
    </row>
    <row r="3" spans="1:17">
      <c r="A3" s="64"/>
      <c r="B3" s="64"/>
      <c r="C3" s="73" t="s">
        <v>37</v>
      </c>
      <c r="D3" s="73" t="s">
        <v>28</v>
      </c>
      <c r="E3" s="73" t="s">
        <v>32</v>
      </c>
      <c r="F3" s="73" t="s">
        <v>33</v>
      </c>
      <c r="G3" s="74" t="s">
        <v>34</v>
      </c>
      <c r="H3" s="74" t="s">
        <v>35</v>
      </c>
      <c r="I3" s="74" t="s">
        <v>36</v>
      </c>
      <c r="J3" s="74" t="s">
        <v>24</v>
      </c>
      <c r="K3" s="73" t="s">
        <v>25</v>
      </c>
      <c r="L3" s="73" t="s">
        <v>26</v>
      </c>
      <c r="M3" s="73" t="s">
        <v>23</v>
      </c>
      <c r="N3" s="73" t="s">
        <v>27</v>
      </c>
      <c r="O3" s="70"/>
    </row>
    <row r="4" spans="1:17">
      <c r="A4" s="183" t="s">
        <v>0</v>
      </c>
      <c r="B4" s="183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8"/>
    </row>
    <row r="6" spans="1:17">
      <c r="A6" s="71" t="s">
        <v>62</v>
      </c>
      <c r="B6" s="71"/>
      <c r="C6" s="81">
        <f t="shared" ref="C6:N6" si="0">COUNTIF(C7:C8,"&lt;&gt;0")</f>
        <v>0</v>
      </c>
      <c r="D6" s="81">
        <f t="shared" si="0"/>
        <v>0</v>
      </c>
      <c r="E6" s="81">
        <f t="shared" si="0"/>
        <v>0</v>
      </c>
      <c r="F6" s="81">
        <f t="shared" si="0"/>
        <v>0</v>
      </c>
      <c r="G6" s="81">
        <f t="shared" si="0"/>
        <v>0</v>
      </c>
      <c r="H6" s="81">
        <f t="shared" si="0"/>
        <v>0</v>
      </c>
      <c r="I6" s="81">
        <f t="shared" si="0"/>
        <v>0</v>
      </c>
      <c r="J6" s="81">
        <f t="shared" si="0"/>
        <v>0</v>
      </c>
      <c r="K6" s="81">
        <f t="shared" si="0"/>
        <v>0</v>
      </c>
      <c r="L6" s="81">
        <f t="shared" si="0"/>
        <v>0</v>
      </c>
      <c r="M6" s="81">
        <f t="shared" si="0"/>
        <v>0</v>
      </c>
      <c r="N6" s="81">
        <f t="shared" si="0"/>
        <v>0</v>
      </c>
      <c r="O6" s="67"/>
    </row>
    <row r="7" spans="1:17">
      <c r="B7" t="str">
        <f>IF('■2017年度　社員給与詳細'!A4="","",'■2017年度　社員給与詳細'!A4)</f>
        <v>上代</v>
      </c>
      <c r="C7" s="80">
        <f>'■2017年度　社員給与詳細'!D13</f>
        <v>0</v>
      </c>
      <c r="D7" s="80">
        <f>'■2017年度　社員給与詳細'!E13</f>
        <v>0</v>
      </c>
      <c r="E7" s="80">
        <f>'■2017年度　社員給与詳細'!F13</f>
        <v>0</v>
      </c>
      <c r="F7" s="80">
        <f>'■2017年度　社員給与詳細'!G13</f>
        <v>0</v>
      </c>
      <c r="G7" s="80">
        <f>'■2017年度　社員給与詳細'!H13</f>
        <v>0</v>
      </c>
      <c r="H7" s="80">
        <f>'■2017年度　社員給与詳細'!I13</f>
        <v>0</v>
      </c>
      <c r="I7" s="80">
        <f>'■2017年度　社員給与詳細'!J13</f>
        <v>0</v>
      </c>
      <c r="J7" s="80">
        <f>'■2017年度　社員給与詳細'!K13</f>
        <v>0</v>
      </c>
      <c r="K7" s="80">
        <f>'■2017年度　社員給与詳細'!L13</f>
        <v>0</v>
      </c>
      <c r="L7" s="80">
        <f>'■2017年度　社員給与詳細'!M13</f>
        <v>0</v>
      </c>
      <c r="M7" s="80">
        <f>'■2017年度　社員給与詳細'!N13</f>
        <v>0</v>
      </c>
      <c r="N7" s="80">
        <f>'■2017年度　社員給与詳細'!O13</f>
        <v>0</v>
      </c>
      <c r="O7" s="68">
        <f t="shared" ref="O7:O8" si="1">SUM(C7:N7)</f>
        <v>0</v>
      </c>
      <c r="Q7" s="68">
        <f>'■2017年度　社員給与詳細'!Q13</f>
        <v>0</v>
      </c>
    </row>
    <row r="8" spans="1:17">
      <c r="B8" t="str">
        <f>IF('■2017年度　社員給与詳細'!A14="","",'■2017年度　社員給与詳細'!A14)</f>
        <v>金田</v>
      </c>
      <c r="C8" s="80">
        <f>'■2017年度　社員給与詳細'!D32</f>
        <v>0</v>
      </c>
      <c r="D8" s="80">
        <f>'■2017年度　社員給与詳細'!E32</f>
        <v>0</v>
      </c>
      <c r="E8" s="80">
        <f>'■2017年度　社員給与詳細'!F32</f>
        <v>0</v>
      </c>
      <c r="F8" s="80">
        <f>'■2017年度　社員給与詳細'!G32</f>
        <v>0</v>
      </c>
      <c r="G8" s="80">
        <f>'■2017年度　社員給与詳細'!H32</f>
        <v>0</v>
      </c>
      <c r="H8" s="80">
        <f>'■2017年度　社員給与詳細'!I32</f>
        <v>0</v>
      </c>
      <c r="I8" s="80">
        <f>'■2017年度　社員給与詳細'!J32</f>
        <v>0</v>
      </c>
      <c r="J8" s="80">
        <f>'■2017年度　社員給与詳細'!K32</f>
        <v>0</v>
      </c>
      <c r="K8" s="80">
        <f>'■2017年度　社員給与詳細'!L32</f>
        <v>0</v>
      </c>
      <c r="L8" s="80">
        <f>'■2017年度　社員給与詳細'!M32</f>
        <v>0</v>
      </c>
      <c r="M8" s="80">
        <f>'■2017年度　社員給与詳細'!N32</f>
        <v>0</v>
      </c>
      <c r="N8" s="80">
        <f>'■2017年度　社員給与詳細'!O32</f>
        <v>0</v>
      </c>
      <c r="O8" s="68">
        <f t="shared" si="1"/>
        <v>0</v>
      </c>
      <c r="Q8" s="68">
        <f>'■2017年度　社員給与詳細'!Q32</f>
        <v>0</v>
      </c>
    </row>
    <row r="9" spans="1:17"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68"/>
      <c r="Q9" s="68"/>
    </row>
    <row r="10" spans="1:17">
      <c r="C10" s="100"/>
      <c r="D10" s="100"/>
      <c r="E10" s="100"/>
      <c r="F10" s="100"/>
      <c r="G10" s="100">
        <f>SUM(C11:G11)</f>
        <v>0</v>
      </c>
      <c r="H10" s="100"/>
      <c r="I10" s="100"/>
      <c r="J10" s="100"/>
      <c r="K10" s="100"/>
      <c r="L10" s="81"/>
      <c r="M10" s="81"/>
      <c r="N10" s="81"/>
      <c r="O10" s="67"/>
    </row>
    <row r="11" spans="1:17">
      <c r="A11" s="71" t="s">
        <v>63</v>
      </c>
      <c r="B11" s="72"/>
      <c r="C11" s="81">
        <v>0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81">
        <v>0</v>
      </c>
      <c r="L11" s="81">
        <v>0</v>
      </c>
      <c r="M11" s="81">
        <v>0</v>
      </c>
      <c r="N11" s="81">
        <v>0</v>
      </c>
      <c r="O11" s="67"/>
    </row>
    <row r="12" spans="1:17" s="113" customFormat="1">
      <c r="A12"/>
      <c r="B12" s="121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68"/>
    </row>
    <row r="13" spans="1:17" s="113" customFormat="1">
      <c r="A13"/>
      <c r="B13" s="121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68"/>
    </row>
    <row r="14" spans="1:17" s="113" customFormat="1">
      <c r="A14"/>
      <c r="B14" s="121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68"/>
    </row>
    <row r="15" spans="1:17" s="113" customFormat="1">
      <c r="A15" s="75" t="s">
        <v>72</v>
      </c>
      <c r="B15"/>
      <c r="C15" s="1">
        <f>C7</f>
        <v>0</v>
      </c>
      <c r="D15" s="1">
        <f>D7</f>
        <v>0</v>
      </c>
      <c r="E15" s="1">
        <f t="shared" ref="E15:M15" si="2">E7</f>
        <v>0</v>
      </c>
      <c r="F15" s="1">
        <f t="shared" si="2"/>
        <v>0</v>
      </c>
      <c r="G15" s="1">
        <f t="shared" si="2"/>
        <v>0</v>
      </c>
      <c r="H15" s="1">
        <f t="shared" si="2"/>
        <v>0</v>
      </c>
      <c r="I15" s="1">
        <f t="shared" si="2"/>
        <v>0</v>
      </c>
      <c r="J15" s="1">
        <f t="shared" si="2"/>
        <v>0</v>
      </c>
      <c r="K15" s="1">
        <f>K7</f>
        <v>0</v>
      </c>
      <c r="L15" s="1">
        <f t="shared" si="2"/>
        <v>0</v>
      </c>
      <c r="M15" s="1">
        <f t="shared" si="2"/>
        <v>0</v>
      </c>
      <c r="N15" s="1">
        <f>N7</f>
        <v>0</v>
      </c>
      <c r="O15" s="69">
        <f>SUM(C15:N15)</f>
        <v>0</v>
      </c>
    </row>
    <row r="16" spans="1:17" s="113" customFormat="1">
      <c r="A16" s="75" t="s">
        <v>65</v>
      </c>
      <c r="B16" s="75"/>
      <c r="C16" s="111">
        <f>SUM(C8)</f>
        <v>0</v>
      </c>
      <c r="D16" s="111">
        <f t="shared" ref="D16:N16" si="3">SUM(D8)</f>
        <v>0</v>
      </c>
      <c r="E16" s="111">
        <f t="shared" si="3"/>
        <v>0</v>
      </c>
      <c r="F16" s="111">
        <f t="shared" si="3"/>
        <v>0</v>
      </c>
      <c r="G16" s="111">
        <f t="shared" si="3"/>
        <v>0</v>
      </c>
      <c r="H16" s="111">
        <f t="shared" si="3"/>
        <v>0</v>
      </c>
      <c r="I16" s="111">
        <f t="shared" si="3"/>
        <v>0</v>
      </c>
      <c r="J16" s="111">
        <f t="shared" si="3"/>
        <v>0</v>
      </c>
      <c r="K16" s="111">
        <f t="shared" si="3"/>
        <v>0</v>
      </c>
      <c r="L16" s="111">
        <f t="shared" si="3"/>
        <v>0</v>
      </c>
      <c r="M16" s="111">
        <f t="shared" si="3"/>
        <v>0</v>
      </c>
      <c r="N16" s="111">
        <f t="shared" si="3"/>
        <v>0</v>
      </c>
      <c r="O16" s="69">
        <f>SUM(C16:N16)</f>
        <v>0</v>
      </c>
    </row>
    <row r="17" spans="1:15">
      <c r="A17" s="112" t="s">
        <v>66</v>
      </c>
      <c r="B17" s="75"/>
      <c r="C17" s="1">
        <f>SUM(0)</f>
        <v>0</v>
      </c>
      <c r="D17" s="1">
        <f t="shared" ref="D17:N17" si="4">SUM(0)</f>
        <v>0</v>
      </c>
      <c r="E17" s="1">
        <f t="shared" si="4"/>
        <v>0</v>
      </c>
      <c r="F17" s="1">
        <f t="shared" si="4"/>
        <v>0</v>
      </c>
      <c r="G17" s="1">
        <f t="shared" si="4"/>
        <v>0</v>
      </c>
      <c r="H17" s="1">
        <f t="shared" si="4"/>
        <v>0</v>
      </c>
      <c r="I17" s="1">
        <f t="shared" si="4"/>
        <v>0</v>
      </c>
      <c r="J17" s="1">
        <f t="shared" si="4"/>
        <v>0</v>
      </c>
      <c r="K17" s="1">
        <f t="shared" si="4"/>
        <v>0</v>
      </c>
      <c r="L17" s="1">
        <f t="shared" si="4"/>
        <v>0</v>
      </c>
      <c r="M17" s="1">
        <f t="shared" si="4"/>
        <v>0</v>
      </c>
      <c r="N17" s="1">
        <f t="shared" si="4"/>
        <v>0</v>
      </c>
      <c r="O17" s="69">
        <f>SUM(C17:N17)</f>
        <v>0</v>
      </c>
    </row>
    <row r="18" spans="1:15">
      <c r="A18" s="75" t="s">
        <v>67</v>
      </c>
      <c r="B18" s="75"/>
      <c r="C18" s="1">
        <f>SUM(C15:C17)</f>
        <v>0</v>
      </c>
      <c r="D18" s="1">
        <f>SUM(D15:D17)</f>
        <v>0</v>
      </c>
      <c r="E18" s="1">
        <f t="shared" ref="E18:N18" si="5">SUM(E15:E17)</f>
        <v>0</v>
      </c>
      <c r="F18" s="1">
        <f t="shared" si="5"/>
        <v>0</v>
      </c>
      <c r="G18" s="1">
        <f t="shared" si="5"/>
        <v>0</v>
      </c>
      <c r="H18" s="1">
        <f t="shared" si="5"/>
        <v>0</v>
      </c>
      <c r="I18" s="1">
        <f>SUM(I15:I17)</f>
        <v>0</v>
      </c>
      <c r="J18" s="1">
        <f t="shared" si="5"/>
        <v>0</v>
      </c>
      <c r="K18" s="1">
        <f t="shared" si="5"/>
        <v>0</v>
      </c>
      <c r="L18" s="1">
        <f t="shared" si="5"/>
        <v>0</v>
      </c>
      <c r="M18" s="1">
        <f t="shared" si="5"/>
        <v>0</v>
      </c>
      <c r="N18" s="1">
        <f t="shared" si="5"/>
        <v>0</v>
      </c>
      <c r="O18" s="69">
        <f>SUM(C18:N18)</f>
        <v>0</v>
      </c>
    </row>
    <row r="19" spans="1:15">
      <c r="B19" s="75"/>
    </row>
    <row r="21" spans="1:15">
      <c r="C21" t="s">
        <v>79</v>
      </c>
    </row>
    <row r="22" spans="1:15">
      <c r="C22" s="185" t="s">
        <v>73</v>
      </c>
      <c r="D22" s="185"/>
      <c r="E22" s="184" t="s">
        <v>74</v>
      </c>
      <c r="F22" s="184"/>
    </row>
    <row r="23" spans="1:15">
      <c r="B23" s="122" t="s">
        <v>75</v>
      </c>
      <c r="C23" s="98">
        <f>SUM(C16:G16)</f>
        <v>0</v>
      </c>
      <c r="D23" s="131">
        <f>SUM(C6:G6)</f>
        <v>0</v>
      </c>
      <c r="E23" s="98">
        <f>SUM(H16:N16)</f>
        <v>0</v>
      </c>
      <c r="F23" s="131">
        <f>SUM(H6:N6)</f>
        <v>0</v>
      </c>
    </row>
    <row r="24" spans="1:15" ht="14.25" thickBot="1">
      <c r="B24" s="123" t="s">
        <v>76</v>
      </c>
      <c r="C24" s="132">
        <f>SUM(C17:G17)</f>
        <v>0</v>
      </c>
      <c r="D24" s="133">
        <f>SUM(C11:G11)</f>
        <v>0</v>
      </c>
      <c r="E24" s="134">
        <f>SUM(H17:N17)</f>
        <v>0</v>
      </c>
      <c r="F24" s="131">
        <f>SUM(H11:N11)</f>
        <v>0</v>
      </c>
    </row>
    <row r="25" spans="1:15" ht="14.25" thickTop="1">
      <c r="B25" s="124" t="s">
        <v>77</v>
      </c>
      <c r="C25" s="135">
        <f>SUM(C23:C24)</f>
        <v>0</v>
      </c>
      <c r="D25" s="136">
        <f>SUM(D23:D24)</f>
        <v>0</v>
      </c>
      <c r="E25" s="98">
        <f>SUM(E23:E24)</f>
        <v>0</v>
      </c>
      <c r="F25" s="136">
        <f>SUM(F23:F24)</f>
        <v>0</v>
      </c>
    </row>
    <row r="26" spans="1:15">
      <c r="C26" s="132"/>
      <c r="D26" s="137"/>
      <c r="E26" s="132"/>
      <c r="F26" s="137"/>
    </row>
    <row r="27" spans="1:15">
      <c r="C27" s="101"/>
      <c r="F27" s="98"/>
    </row>
    <row r="28" spans="1:15">
      <c r="C28" s="101"/>
      <c r="F28" s="98"/>
    </row>
    <row r="29" spans="1:15">
      <c r="C29" s="101"/>
      <c r="F29" s="98"/>
    </row>
    <row r="46" ht="18" customHeight="1"/>
  </sheetData>
  <mergeCells count="3">
    <mergeCell ref="A4:B4"/>
    <mergeCell ref="E22:F22"/>
    <mergeCell ref="C22:D22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9" tint="0.59999389629810485"/>
  </sheetPr>
  <dimension ref="A1:Q19"/>
  <sheetViews>
    <sheetView workbookViewId="0">
      <selection activeCell="H23" sqref="H23"/>
    </sheetView>
  </sheetViews>
  <sheetFormatPr defaultRowHeight="13.5"/>
  <cols>
    <col min="3" max="3" width="13.25" customWidth="1"/>
  </cols>
  <sheetData>
    <row r="1" spans="1:17">
      <c r="A1" s="160"/>
      <c r="B1" s="186" t="s">
        <v>12</v>
      </c>
      <c r="C1" s="104" t="s">
        <v>87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76"/>
      <c r="P1" s="30"/>
      <c r="Q1" s="19">
        <f>SUM(D1:P1)</f>
        <v>0</v>
      </c>
    </row>
    <row r="2" spans="1:17">
      <c r="A2" s="161"/>
      <c r="B2" s="187"/>
      <c r="C2" s="105" t="s">
        <v>89</v>
      </c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79"/>
      <c r="P2" s="31"/>
      <c r="Q2" s="20">
        <f t="shared" ref="Q2:Q19" si="0">SUM(D2:P2)</f>
        <v>0</v>
      </c>
    </row>
    <row r="3" spans="1:17">
      <c r="A3" s="161"/>
      <c r="B3" s="188"/>
      <c r="C3" s="106" t="s">
        <v>88</v>
      </c>
      <c r="D3" s="87"/>
      <c r="E3" s="88"/>
      <c r="F3" s="88"/>
      <c r="G3" s="88"/>
      <c r="H3" s="87"/>
      <c r="I3" s="87"/>
      <c r="J3" s="87"/>
      <c r="K3" s="87"/>
      <c r="L3" s="87"/>
      <c r="M3" s="87"/>
      <c r="N3" s="87"/>
      <c r="O3" s="17"/>
      <c r="P3" s="28"/>
      <c r="Q3" s="20">
        <f t="shared" si="0"/>
        <v>0</v>
      </c>
    </row>
    <row r="4" spans="1:17">
      <c r="A4" s="161"/>
      <c r="B4" s="188"/>
      <c r="C4" s="107" t="s">
        <v>90</v>
      </c>
      <c r="D4" s="89"/>
      <c r="E4" s="87"/>
      <c r="F4" s="87"/>
      <c r="G4" s="89"/>
      <c r="H4" s="89"/>
      <c r="I4" s="89"/>
      <c r="J4" s="89"/>
      <c r="K4" s="89"/>
      <c r="L4" s="89"/>
      <c r="M4" s="89"/>
      <c r="N4" s="89"/>
      <c r="O4" s="78"/>
      <c r="P4" s="32"/>
      <c r="Q4" s="20">
        <f t="shared" si="0"/>
        <v>0</v>
      </c>
    </row>
    <row r="5" spans="1:17">
      <c r="A5" s="161"/>
      <c r="B5" s="188"/>
      <c r="C5" s="107" t="s">
        <v>91</v>
      </c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78"/>
      <c r="P5" s="32"/>
      <c r="Q5" s="20">
        <f t="shared" si="0"/>
        <v>0</v>
      </c>
    </row>
    <row r="6" spans="1:17">
      <c r="A6" s="161"/>
      <c r="B6" s="188"/>
      <c r="C6" s="107" t="s">
        <v>92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78"/>
      <c r="P6" s="32"/>
      <c r="Q6" s="20">
        <f>SUM(D6:P6)</f>
        <v>0</v>
      </c>
    </row>
    <row r="7" spans="1:17">
      <c r="A7" s="161"/>
      <c r="B7" s="188"/>
      <c r="C7" s="106" t="s">
        <v>93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78"/>
      <c r="P7" s="32"/>
      <c r="Q7" s="20">
        <f t="shared" si="0"/>
        <v>0</v>
      </c>
    </row>
    <row r="8" spans="1:17">
      <c r="A8" s="161"/>
      <c r="B8" s="188"/>
      <c r="C8" s="108" t="s">
        <v>94</v>
      </c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18"/>
      <c r="P8" s="33"/>
      <c r="Q8" s="22">
        <f t="shared" si="0"/>
        <v>0</v>
      </c>
    </row>
    <row r="9" spans="1:17">
      <c r="A9" s="161"/>
      <c r="B9" s="188" t="s">
        <v>11</v>
      </c>
      <c r="C9" s="109" t="s">
        <v>7</v>
      </c>
      <c r="D9" s="91"/>
      <c r="E9" s="91"/>
      <c r="F9" s="91"/>
      <c r="G9" s="91"/>
      <c r="H9" s="91"/>
      <c r="I9" s="91"/>
      <c r="J9" s="91"/>
      <c r="K9" s="91"/>
      <c r="L9" s="92"/>
      <c r="M9" s="92"/>
      <c r="N9" s="92"/>
      <c r="O9" s="77"/>
      <c r="P9" s="27"/>
      <c r="Q9" s="21">
        <f t="shared" si="0"/>
        <v>0</v>
      </c>
    </row>
    <row r="10" spans="1:17">
      <c r="A10" s="161"/>
      <c r="B10" s="188"/>
      <c r="C10" s="107" t="s">
        <v>4</v>
      </c>
      <c r="D10" s="93"/>
      <c r="E10" s="93"/>
      <c r="F10" s="93"/>
      <c r="G10" s="93"/>
      <c r="H10" s="93"/>
      <c r="I10" s="93"/>
      <c r="J10" s="93"/>
      <c r="K10" s="93"/>
      <c r="L10" s="89"/>
      <c r="M10" s="89"/>
      <c r="N10" s="89"/>
      <c r="O10" s="78"/>
      <c r="P10" s="32"/>
      <c r="Q10" s="20">
        <f t="shared" si="0"/>
        <v>0</v>
      </c>
    </row>
    <row r="11" spans="1:17">
      <c r="A11" s="161"/>
      <c r="B11" s="188"/>
      <c r="C11" s="107" t="s">
        <v>17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78"/>
      <c r="P11" s="32"/>
      <c r="Q11" s="20">
        <f t="shared" si="0"/>
        <v>0</v>
      </c>
    </row>
    <row r="12" spans="1:17">
      <c r="A12" s="161"/>
      <c r="B12" s="188"/>
      <c r="C12" s="107" t="s">
        <v>18</v>
      </c>
      <c r="D12" s="88"/>
      <c r="E12" s="88"/>
      <c r="F12" s="88"/>
      <c r="G12" s="88"/>
      <c r="H12" s="89"/>
      <c r="I12" s="89"/>
      <c r="J12" s="89"/>
      <c r="K12" s="89"/>
      <c r="L12" s="89"/>
      <c r="M12" s="89"/>
      <c r="N12" s="89"/>
      <c r="O12" s="78"/>
      <c r="P12" s="32"/>
      <c r="Q12" s="20">
        <f t="shared" si="0"/>
        <v>0</v>
      </c>
    </row>
    <row r="13" spans="1:17">
      <c r="A13" s="161"/>
      <c r="B13" s="188"/>
      <c r="C13" s="110" t="s">
        <v>19</v>
      </c>
      <c r="D13" s="94"/>
      <c r="E13" s="94"/>
      <c r="F13" s="94"/>
      <c r="G13" s="94"/>
      <c r="H13" s="90"/>
      <c r="I13" s="90"/>
      <c r="J13" s="90"/>
      <c r="K13" s="90"/>
      <c r="L13" s="90"/>
      <c r="M13" s="90"/>
      <c r="N13" s="90"/>
      <c r="O13" s="18"/>
      <c r="P13" s="33"/>
      <c r="Q13" s="22">
        <f t="shared" si="0"/>
        <v>0</v>
      </c>
    </row>
    <row r="14" spans="1:17">
      <c r="A14" s="161"/>
      <c r="B14" s="188" t="s">
        <v>13</v>
      </c>
      <c r="C14" s="109" t="s">
        <v>10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77"/>
      <c r="P14" s="27"/>
      <c r="Q14" s="21">
        <f t="shared" si="0"/>
        <v>0</v>
      </c>
    </row>
    <row r="15" spans="1:17">
      <c r="A15" s="161"/>
      <c r="B15" s="188"/>
      <c r="C15" s="106" t="s">
        <v>55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17"/>
      <c r="P15" s="28"/>
      <c r="Q15" s="20">
        <f t="shared" si="0"/>
        <v>0</v>
      </c>
    </row>
    <row r="16" spans="1:17">
      <c r="A16" s="161"/>
      <c r="B16" s="188"/>
      <c r="C16" s="106" t="s">
        <v>56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61"/>
      <c r="B17" s="188"/>
      <c r="C17" s="110" t="s">
        <v>61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18"/>
      <c r="P17" s="33"/>
      <c r="Q17" s="22">
        <f t="shared" si="0"/>
        <v>0</v>
      </c>
    </row>
    <row r="18" spans="1:17">
      <c r="A18" s="161"/>
      <c r="B18" s="158" t="s">
        <v>54</v>
      </c>
      <c r="C18" s="159"/>
      <c r="D18" s="56">
        <f>SUM(D1:D8)-SUM(D12:D13)</f>
        <v>0</v>
      </c>
      <c r="E18" s="56">
        <f t="shared" ref="E18:O18" si="1">SUM(E1:E8)-SUM(E12:E13)</f>
        <v>0</v>
      </c>
      <c r="F18" s="56">
        <f t="shared" si="1"/>
        <v>0</v>
      </c>
      <c r="G18" s="56">
        <f>SUM(G1:G8)-SUM(G12:G13)</f>
        <v>0</v>
      </c>
      <c r="H18" s="56">
        <f t="shared" si="1"/>
        <v>0</v>
      </c>
      <c r="I18" s="56">
        <f t="shared" si="1"/>
        <v>0</v>
      </c>
      <c r="J18" s="56">
        <f t="shared" si="1"/>
        <v>0</v>
      </c>
      <c r="K18" s="56">
        <f t="shared" si="1"/>
        <v>0</v>
      </c>
      <c r="L18" s="56">
        <f t="shared" si="1"/>
        <v>0</v>
      </c>
      <c r="M18" s="56">
        <f t="shared" si="1"/>
        <v>0</v>
      </c>
      <c r="N18" s="56">
        <f t="shared" si="1"/>
        <v>0</v>
      </c>
      <c r="O18" s="57">
        <f t="shared" si="1"/>
        <v>0</v>
      </c>
      <c r="P18" s="60">
        <f>SUM(P1:P8)-SUM(P12:P13)</f>
        <v>0</v>
      </c>
      <c r="Q18" s="59">
        <f>SUM(D18:P18)</f>
        <v>0</v>
      </c>
    </row>
    <row r="19" spans="1:17" ht="14.25" thickBot="1">
      <c r="A19" s="162"/>
      <c r="B19" s="149" t="s">
        <v>5</v>
      </c>
      <c r="C19" s="150"/>
      <c r="D19" s="42">
        <f>SUM(D1:D8)-SUM(D9:D13)+SUM(D14:D17)</f>
        <v>0</v>
      </c>
      <c r="E19" s="42">
        <f>SUM(E1:E8)-SUM(E9:E13)+SUM(E14:E17)</f>
        <v>0</v>
      </c>
      <c r="F19" s="42">
        <f t="shared" ref="F19:O19" si="2">SUM(F1:F8)-SUM(F9:F13)+SUM(F14:F17)</f>
        <v>0</v>
      </c>
      <c r="G19" s="42">
        <f>SUM(G1:G8)-SUM(G9:G13)+SUM(G14:G17)</f>
        <v>0</v>
      </c>
      <c r="H19" s="42">
        <f t="shared" si="2"/>
        <v>0</v>
      </c>
      <c r="I19" s="42">
        <f t="shared" si="2"/>
        <v>0</v>
      </c>
      <c r="J19" s="42">
        <f t="shared" si="2"/>
        <v>0</v>
      </c>
      <c r="K19" s="42">
        <f t="shared" si="2"/>
        <v>0</v>
      </c>
      <c r="L19" s="42">
        <f t="shared" si="2"/>
        <v>0</v>
      </c>
      <c r="M19" s="42">
        <f t="shared" si="2"/>
        <v>0</v>
      </c>
      <c r="N19" s="42">
        <f t="shared" si="2"/>
        <v>0</v>
      </c>
      <c r="O19" s="43">
        <f t="shared" si="2"/>
        <v>0</v>
      </c>
      <c r="P19" s="44">
        <f>SUM(P1:P8)-SUM(P9:P13)+SUM(P14:P17)</f>
        <v>0</v>
      </c>
      <c r="Q19" s="46">
        <f t="shared" si="0"/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Q19"/>
  <sheetViews>
    <sheetView workbookViewId="0">
      <selection activeCell="H9" sqref="H9"/>
    </sheetView>
  </sheetViews>
  <sheetFormatPr defaultRowHeight="13.5"/>
  <cols>
    <col min="3" max="3" width="13.625" customWidth="1"/>
  </cols>
  <sheetData>
    <row r="1" spans="1:17">
      <c r="A1" s="151"/>
      <c r="B1" s="189" t="s">
        <v>95</v>
      </c>
      <c r="C1" s="104" t="s">
        <v>84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30"/>
      <c r="Q1" s="118">
        <f>SUM(D1:P1)</f>
        <v>0</v>
      </c>
    </row>
    <row r="2" spans="1:17">
      <c r="A2" s="152"/>
      <c r="B2" s="190"/>
      <c r="C2" s="105" t="s">
        <v>85</v>
      </c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28"/>
      <c r="Q2" s="116">
        <f t="shared" ref="Q2:Q18" si="0">SUM(D2:P2)</f>
        <v>0</v>
      </c>
    </row>
    <row r="3" spans="1:17">
      <c r="A3" s="152"/>
      <c r="B3" s="190"/>
      <c r="C3" s="106" t="s">
        <v>86</v>
      </c>
      <c r="D3" s="89">
        <f t="shared" ref="D3:O3" si="1">D1*D2</f>
        <v>0</v>
      </c>
      <c r="E3" s="89">
        <f t="shared" si="1"/>
        <v>0</v>
      </c>
      <c r="F3" s="89">
        <f t="shared" si="1"/>
        <v>0</v>
      </c>
      <c r="G3" s="89">
        <f t="shared" si="1"/>
        <v>0</v>
      </c>
      <c r="H3" s="89">
        <f t="shared" si="1"/>
        <v>0</v>
      </c>
      <c r="I3" s="89">
        <f t="shared" si="1"/>
        <v>0</v>
      </c>
      <c r="J3" s="89">
        <f t="shared" si="1"/>
        <v>0</v>
      </c>
      <c r="K3" s="89">
        <f t="shared" si="1"/>
        <v>0</v>
      </c>
      <c r="L3" s="89">
        <f t="shared" si="1"/>
        <v>0</v>
      </c>
      <c r="M3" s="89">
        <f t="shared" si="1"/>
        <v>0</v>
      </c>
      <c r="N3" s="89">
        <f t="shared" si="1"/>
        <v>0</v>
      </c>
      <c r="O3" s="89">
        <f t="shared" si="1"/>
        <v>0</v>
      </c>
      <c r="P3" s="32"/>
      <c r="Q3" s="116">
        <f t="shared" si="0"/>
        <v>0</v>
      </c>
    </row>
    <row r="4" spans="1:17">
      <c r="A4" s="152"/>
      <c r="B4" s="190"/>
      <c r="C4" s="107" t="s">
        <v>9</v>
      </c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32"/>
      <c r="Q4" s="116">
        <f t="shared" si="0"/>
        <v>0</v>
      </c>
    </row>
    <row r="5" spans="1:17">
      <c r="A5" s="152"/>
      <c r="B5" s="190"/>
      <c r="C5" s="107" t="s">
        <v>38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28"/>
      <c r="Q5" s="116">
        <f>SUM(D5:P5)</f>
        <v>0</v>
      </c>
    </row>
    <row r="6" spans="1:17">
      <c r="A6" s="152"/>
      <c r="B6" s="190"/>
      <c r="C6" s="107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32"/>
      <c r="Q6" s="116">
        <f>SUM(D6:P6)</f>
        <v>0</v>
      </c>
    </row>
    <row r="7" spans="1:17">
      <c r="A7" s="152"/>
      <c r="B7" s="190"/>
      <c r="C7" s="62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32"/>
      <c r="Q7" s="116">
        <f>SUM(D7:P7)</f>
        <v>0</v>
      </c>
    </row>
    <row r="8" spans="1:17">
      <c r="A8" s="152"/>
      <c r="B8" s="187"/>
      <c r="C8" s="6" t="s">
        <v>42</v>
      </c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33"/>
      <c r="Q8" s="119">
        <f t="shared" si="0"/>
        <v>0</v>
      </c>
    </row>
    <row r="9" spans="1:17">
      <c r="A9" s="152"/>
      <c r="B9" s="191" t="s">
        <v>11</v>
      </c>
      <c r="C9" s="5" t="s">
        <v>7</v>
      </c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27"/>
      <c r="Q9" s="120">
        <f t="shared" si="0"/>
        <v>0</v>
      </c>
    </row>
    <row r="10" spans="1:17">
      <c r="A10" s="152"/>
      <c r="B10" s="190"/>
      <c r="C10" s="6" t="s">
        <v>4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32"/>
      <c r="Q10" s="116">
        <f t="shared" si="0"/>
        <v>0</v>
      </c>
    </row>
    <row r="11" spans="1:17">
      <c r="A11" s="152"/>
      <c r="B11" s="190"/>
      <c r="C11" s="6" t="s">
        <v>17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32"/>
      <c r="Q11" s="116">
        <f t="shared" si="0"/>
        <v>0</v>
      </c>
    </row>
    <row r="12" spans="1:17">
      <c r="A12" s="152"/>
      <c r="B12" s="190"/>
      <c r="C12" s="6" t="s">
        <v>18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32"/>
      <c r="Q12" s="116">
        <f t="shared" si="0"/>
        <v>0</v>
      </c>
    </row>
    <row r="13" spans="1:17">
      <c r="A13" s="152"/>
      <c r="B13" s="190"/>
      <c r="C13" s="6" t="s">
        <v>60</v>
      </c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32"/>
      <c r="Q13" s="119">
        <f t="shared" si="0"/>
        <v>0</v>
      </c>
    </row>
    <row r="14" spans="1:17">
      <c r="A14" s="152"/>
      <c r="B14" s="191" t="s">
        <v>13</v>
      </c>
      <c r="C14" s="5" t="s">
        <v>10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27"/>
      <c r="Q14" s="115">
        <f t="shared" si="0"/>
        <v>0</v>
      </c>
    </row>
    <row r="15" spans="1:17">
      <c r="A15" s="152"/>
      <c r="B15" s="190"/>
      <c r="C15" s="106" t="s">
        <v>55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28"/>
      <c r="Q15" s="116">
        <f t="shared" si="0"/>
        <v>0</v>
      </c>
    </row>
    <row r="16" spans="1:17">
      <c r="A16" s="152"/>
      <c r="B16" s="190"/>
      <c r="C16" s="8" t="s">
        <v>56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28"/>
      <c r="Q16" s="116">
        <f t="shared" si="0"/>
        <v>0</v>
      </c>
    </row>
    <row r="17" spans="1:17" ht="14.25" thickBot="1">
      <c r="A17" s="152"/>
      <c r="B17" s="187"/>
      <c r="C17" s="4" t="s">
        <v>61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33"/>
      <c r="Q17" s="117">
        <f t="shared" si="0"/>
        <v>0</v>
      </c>
    </row>
    <row r="18" spans="1:17" ht="14.25" thickBot="1">
      <c r="A18" s="152"/>
      <c r="B18" s="158" t="s">
        <v>54</v>
      </c>
      <c r="C18" s="159"/>
      <c r="D18" s="56">
        <f>SUM(D3:D8)-SUM(D12:D13)</f>
        <v>0</v>
      </c>
      <c r="E18" s="56">
        <f t="shared" ref="E18:O18" si="2">SUM(E3:E8)-SUM(E12:E13)</f>
        <v>0</v>
      </c>
      <c r="F18" s="56">
        <f t="shared" si="2"/>
        <v>0</v>
      </c>
      <c r="G18" s="56">
        <f t="shared" si="2"/>
        <v>0</v>
      </c>
      <c r="H18" s="56">
        <f t="shared" si="2"/>
        <v>0</v>
      </c>
      <c r="I18" s="56">
        <f t="shared" si="2"/>
        <v>0</v>
      </c>
      <c r="J18" s="56">
        <f t="shared" si="2"/>
        <v>0</v>
      </c>
      <c r="K18" s="56">
        <f t="shared" si="2"/>
        <v>0</v>
      </c>
      <c r="L18" s="56">
        <f t="shared" si="2"/>
        <v>0</v>
      </c>
      <c r="M18" s="56">
        <f t="shared" si="2"/>
        <v>0</v>
      </c>
      <c r="N18" s="56">
        <f t="shared" si="2"/>
        <v>0</v>
      </c>
      <c r="O18" s="56">
        <f t="shared" si="2"/>
        <v>0</v>
      </c>
      <c r="P18" s="58">
        <f>SUM(P1:P8)-SUM(P12:P13)</f>
        <v>0</v>
      </c>
      <c r="Q18" s="114">
        <f t="shared" si="0"/>
        <v>0</v>
      </c>
    </row>
    <row r="19" spans="1:17" ht="14.25" thickBot="1">
      <c r="A19" s="153"/>
      <c r="B19" s="149" t="s">
        <v>5</v>
      </c>
      <c r="C19" s="150"/>
      <c r="D19" s="42">
        <f>SUM(D3:D8)-SUM(D9:D13)+SUM(D14:D17)</f>
        <v>0</v>
      </c>
      <c r="E19" s="42">
        <f t="shared" ref="E19:O19" si="3">SUM(E3:E8)-SUM(E9:E13)+SUM(E14:E17)</f>
        <v>0</v>
      </c>
      <c r="F19" s="42">
        <f t="shared" si="3"/>
        <v>0</v>
      </c>
      <c r="G19" s="42">
        <f t="shared" si="3"/>
        <v>0</v>
      </c>
      <c r="H19" s="42">
        <f t="shared" si="3"/>
        <v>0</v>
      </c>
      <c r="I19" s="42">
        <f t="shared" si="3"/>
        <v>0</v>
      </c>
      <c r="J19" s="42">
        <f t="shared" si="3"/>
        <v>0</v>
      </c>
      <c r="K19" s="42">
        <f t="shared" si="3"/>
        <v>0</v>
      </c>
      <c r="L19" s="42">
        <f t="shared" si="3"/>
        <v>0</v>
      </c>
      <c r="M19" s="42">
        <f t="shared" si="3"/>
        <v>0</v>
      </c>
      <c r="N19" s="42">
        <f t="shared" si="3"/>
        <v>0</v>
      </c>
      <c r="O19" s="42">
        <f t="shared" si="3"/>
        <v>0</v>
      </c>
      <c r="P19" s="44">
        <f>SUM(P1:P8)-SUM(P9:P13)+SUM(P14:P17)</f>
        <v>0</v>
      </c>
      <c r="Q19" s="46">
        <f>SUM(D19:P19)</f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■2017年度　社員給与詳細 (雛形)</vt:lpstr>
      <vt:lpstr>■2017年度　社員給与詳細</vt:lpstr>
      <vt:lpstr>■振込額一覧</vt:lpstr>
      <vt:lpstr>EmployeeData</vt:lpstr>
      <vt:lpstr>PartData</vt:lpstr>
      <vt:lpstr>'■2017年度　社員給与詳細'!Print_Area</vt:lpstr>
      <vt:lpstr>'■2017年度　社員給与詳細 (雛形)'!Print_Area</vt:lpstr>
      <vt:lpstr>'■2017年度　社員給与詳細'!Print_Titles</vt:lpstr>
      <vt:lpstr>'■2017年度　社員給与詳細 (雛形)'!Print_Titles</vt:lpstr>
    </vt:vector>
  </TitlesOfParts>
  <Company>Freelance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Y.Tanaka</dc:creator>
  <cp:lastModifiedBy>守屋 照誉</cp:lastModifiedBy>
  <cp:lastPrinted>2016-11-08T10:52:50Z</cp:lastPrinted>
  <dcterms:created xsi:type="dcterms:W3CDTF">2002-06-24T23:40:45Z</dcterms:created>
  <dcterms:modified xsi:type="dcterms:W3CDTF">2017-08-16T08:32:27Z</dcterms:modified>
</cp:coreProperties>
</file>