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Data" sheetId="12" r:id="rId4"/>
  </sheets>
  <definedNames>
    <definedName name="_xlnm.Print_Area" localSheetId="1">'■2017年度　社員給与詳細'!$A$1:$P$59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18" i="6"/>
  <c r="E18"/>
  <c r="F18"/>
  <c r="G18"/>
  <c r="H18"/>
  <c r="I18"/>
  <c r="J18"/>
  <c r="K18"/>
  <c r="L18"/>
  <c r="M18"/>
  <c r="N18"/>
  <c r="C18"/>
  <c r="B13"/>
  <c r="P50" i="13"/>
  <c r="P49"/>
  <c r="Q48"/>
  <c r="Q47"/>
  <c r="Q46"/>
  <c r="Q45"/>
  <c r="Q44"/>
  <c r="Q43"/>
  <c r="Q42"/>
  <c r="Q41"/>
  <c r="Q40"/>
  <c r="Q39"/>
  <c r="Q38"/>
  <c r="Q37"/>
  <c r="Q36"/>
  <c r="O35"/>
  <c r="O49" s="1"/>
  <c r="N35"/>
  <c r="N50" s="1"/>
  <c r="M13" i="6" s="1"/>
  <c r="M35" i="13"/>
  <c r="M50" s="1"/>
  <c r="L13" i="6" s="1"/>
  <c r="L35" i="13"/>
  <c r="L49" s="1"/>
  <c r="K35"/>
  <c r="K50" s="1"/>
  <c r="J13" i="6" s="1"/>
  <c r="J35" i="13"/>
  <c r="J50" s="1"/>
  <c r="I13" i="6" s="1"/>
  <c r="I35" i="13"/>
  <c r="I50" s="1"/>
  <c r="H13" i="6" s="1"/>
  <c r="H35" i="13"/>
  <c r="H49" s="1"/>
  <c r="G35"/>
  <c r="G50" s="1"/>
  <c r="F13" i="6" s="1"/>
  <c r="F35" i="13"/>
  <c r="F50" s="1"/>
  <c r="E13" i="6" s="1"/>
  <c r="E35" i="13"/>
  <c r="E50" s="1"/>
  <c r="D13" i="6" s="1"/>
  <c r="D35" i="13"/>
  <c r="D49" s="1"/>
  <c r="Q34"/>
  <c r="Q33"/>
  <c r="D25" i="6"/>
  <c r="F24"/>
  <c r="D24"/>
  <c r="F26"/>
  <c r="F25"/>
  <c r="I49" i="13" l="1"/>
  <c r="F49"/>
  <c r="N49"/>
  <c r="E49"/>
  <c r="M49"/>
  <c r="J49"/>
  <c r="O50"/>
  <c r="N13" i="6" s="1"/>
  <c r="G49" i="13"/>
  <c r="K49"/>
  <c r="Q35"/>
  <c r="D50"/>
  <c r="H50"/>
  <c r="G13" i="6" s="1"/>
  <c r="L50" i="13"/>
  <c r="K13" i="6" s="1"/>
  <c r="D26"/>
  <c r="Q50" i="13" l="1"/>
  <c r="C13" i="6"/>
  <c r="Q49" i="13"/>
  <c r="O13" i="6" l="1"/>
  <c r="D31" i="13" l="1"/>
  <c r="D32"/>
  <c r="C8" i="6" s="1"/>
  <c r="C17" s="1"/>
  <c r="E62" i="13"/>
  <c r="F62"/>
  <c r="G62"/>
  <c r="H62"/>
  <c r="I62"/>
  <c r="J62"/>
  <c r="K62"/>
  <c r="L62"/>
  <c r="M62"/>
  <c r="N62"/>
  <c r="O62"/>
  <c r="E63" l="1"/>
  <c r="G63"/>
  <c r="I63"/>
  <c r="K63"/>
  <c r="M63"/>
  <c r="F63"/>
  <c r="N63"/>
  <c r="O63"/>
  <c r="J63"/>
  <c r="L63"/>
  <c r="H63"/>
  <c r="D62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P37"/>
  <c r="P36"/>
  <c r="Q35"/>
  <c r="Q34"/>
  <c r="Q33"/>
  <c r="Q32"/>
  <c r="Q31"/>
  <c r="Q30"/>
  <c r="Q29"/>
  <c r="Q28"/>
  <c r="Q27"/>
  <c r="Q26"/>
  <c r="Q25"/>
  <c r="Q24"/>
  <c r="Q23"/>
  <c r="O22"/>
  <c r="O37" s="1"/>
  <c r="N22"/>
  <c r="N37" s="1"/>
  <c r="M22"/>
  <c r="M37" s="1"/>
  <c r="L22"/>
  <c r="L36" s="1"/>
  <c r="K22"/>
  <c r="K36" s="1"/>
  <c r="J22"/>
  <c r="J37" s="1"/>
  <c r="I22"/>
  <c r="I37" s="1"/>
  <c r="H22"/>
  <c r="H36" s="1"/>
  <c r="G22"/>
  <c r="G36" s="1"/>
  <c r="F22"/>
  <c r="F37" s="1"/>
  <c r="E22"/>
  <c r="E37" s="1"/>
  <c r="D22"/>
  <c r="D36" s="1"/>
  <c r="Q21"/>
  <c r="Q20"/>
  <c r="E25" i="6" l="1"/>
  <c r="F36" i="12"/>
  <c r="M36"/>
  <c r="J36"/>
  <c r="N36"/>
  <c r="E36"/>
  <c r="I36"/>
  <c r="Q18"/>
  <c r="Q19"/>
  <c r="G37"/>
  <c r="K37"/>
  <c r="O36"/>
  <c r="Q22"/>
  <c r="D37"/>
  <c r="H37"/>
  <c r="L37"/>
  <c r="C25" i="6" l="1"/>
  <c r="Q36" i="12"/>
  <c r="Q37"/>
  <c r="G11" i="6" l="1"/>
  <c r="Q30" i="13"/>
  <c r="Q4"/>
  <c r="Q4" i="9"/>
  <c r="B8" i="6"/>
  <c r="B7"/>
  <c r="J59" i="13" l="1"/>
  <c r="J58"/>
  <c r="J57"/>
  <c r="J56"/>
  <c r="J55"/>
  <c r="J54"/>
  <c r="D59" l="1"/>
  <c r="D54"/>
  <c r="E32"/>
  <c r="D8" i="6" s="1"/>
  <c r="D17" s="1"/>
  <c r="D63" i="9"/>
  <c r="D52"/>
  <c r="E59" i="13" l="1"/>
  <c r="F59"/>
  <c r="G59"/>
  <c r="H59"/>
  <c r="I59"/>
  <c r="K59"/>
  <c r="L59"/>
  <c r="M59"/>
  <c r="N59"/>
  <c r="O59"/>
  <c r="P59"/>
  <c r="Q59" s="1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E54"/>
  <c r="F54"/>
  <c r="G54"/>
  <c r="H54"/>
  <c r="I54"/>
  <c r="K54"/>
  <c r="L54"/>
  <c r="M54"/>
  <c r="N54"/>
  <c r="O54"/>
  <c r="P54"/>
  <c r="P52"/>
  <c r="Q52" s="1"/>
  <c r="D58"/>
  <c r="D57"/>
  <c r="D56"/>
  <c r="D55"/>
  <c r="P51"/>
  <c r="Q51" s="1"/>
  <c r="E51"/>
  <c r="F51"/>
  <c r="G51"/>
  <c r="H51"/>
  <c r="I51"/>
  <c r="K51"/>
  <c r="L51"/>
  <c r="M51"/>
  <c r="N51"/>
  <c r="O51"/>
  <c r="Q14"/>
  <c r="D63" l="1"/>
  <c r="D52"/>
  <c r="D51"/>
  <c r="Q58"/>
  <c r="Q57"/>
  <c r="Q56"/>
  <c r="Q55"/>
  <c r="Q54"/>
  <c r="O52"/>
  <c r="N52"/>
  <c r="M52"/>
  <c r="L52"/>
  <c r="I52"/>
  <c r="H52"/>
  <c r="G52"/>
  <c r="E52"/>
  <c r="P32"/>
  <c r="P53" s="1"/>
  <c r="O32"/>
  <c r="N8" i="6" s="1"/>
  <c r="N17" s="1"/>
  <c r="N32" i="13"/>
  <c r="M8" i="6" s="1"/>
  <c r="M17" s="1"/>
  <c r="M32" i="13"/>
  <c r="L8" i="6" s="1"/>
  <c r="L17" s="1"/>
  <c r="L32" i="13"/>
  <c r="K8" i="6" s="1"/>
  <c r="K17" s="1"/>
  <c r="K32" i="13"/>
  <c r="J8" i="6" s="1"/>
  <c r="J17" s="1"/>
  <c r="J32" i="13"/>
  <c r="I8" i="6" s="1"/>
  <c r="I17" s="1"/>
  <c r="I32" i="13"/>
  <c r="H8" i="6" s="1"/>
  <c r="H17" s="1"/>
  <c r="H32" i="13"/>
  <c r="G8" i="6" s="1"/>
  <c r="G17" s="1"/>
  <c r="G32" i="13"/>
  <c r="F8" i="6" s="1"/>
  <c r="F17" s="1"/>
  <c r="F32" i="13"/>
  <c r="E8" i="6" s="1"/>
  <c r="E17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6" s="1"/>
  <c r="N13" i="13"/>
  <c r="M7" i="6" s="1"/>
  <c r="M13" i="13"/>
  <c r="L7" i="6" s="1"/>
  <c r="L13" i="13"/>
  <c r="K7" i="6" s="1"/>
  <c r="K1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16" s="1"/>
  <c r="D13" i="13"/>
  <c r="C7" i="6" s="1"/>
  <c r="Q12" i="13"/>
  <c r="Q11"/>
  <c r="Q10"/>
  <c r="Q9"/>
  <c r="Q8"/>
  <c r="Q7"/>
  <c r="Q6"/>
  <c r="Q5"/>
  <c r="C24" i="6" l="1"/>
  <c r="C26" s="1"/>
  <c r="E24"/>
  <c r="E26" s="1"/>
  <c r="O8"/>
  <c r="O7"/>
  <c r="C16"/>
  <c r="C19" s="1"/>
  <c r="F52" i="13"/>
  <c r="J51"/>
  <c r="J52"/>
  <c r="O53"/>
  <c r="Q32"/>
  <c r="Q8" i="6" s="1"/>
  <c r="K53" i="13"/>
  <c r="K52"/>
  <c r="D53"/>
  <c r="I53"/>
  <c r="H53"/>
  <c r="G53"/>
  <c r="M53"/>
  <c r="L53"/>
  <c r="Q31"/>
  <c r="E53"/>
  <c r="Q13"/>
  <c r="Q7" i="6" s="1"/>
  <c r="F53" i="13"/>
  <c r="J53"/>
  <c r="N53"/>
  <c r="O17" i="6" l="1"/>
  <c r="Q53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6" i="6" l="1"/>
  <c r="J16" l="1"/>
  <c r="L16"/>
  <c r="I16"/>
  <c r="H16"/>
  <c r="F16"/>
  <c r="G16"/>
  <c r="E16"/>
  <c r="O16" l="1"/>
  <c r="O18"/>
  <c r="L19"/>
  <c r="I19" l="1"/>
  <c r="F19"/>
  <c r="K19"/>
  <c r="N19"/>
  <c r="J19"/>
  <c r="D19"/>
  <c r="G19"/>
  <c r="E19"/>
  <c r="M19"/>
  <c r="H19" l="1"/>
  <c r="O19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<sst xmlns="http://schemas.openxmlformats.org/spreadsheetml/2006/main" count="275" uniqueCount="95">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</sst>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86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45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0" borderId="0" xfId="0" applyFont="1" applyFill="1"/>
    <xf numFmtId="0" fontId="0" fillId="14" borderId="8" xfId="0" applyFill="1" applyBorder="1" applyAlignment="1">
      <alignment horizontal="center" vertical="center"/>
    </xf>
    <xf numFmtId="0" fontId="2" fillId="14" borderId="30" xfId="0" applyFont="1" applyFill="1" applyBorder="1" applyAlignment="1">
      <alignment horizontal="center" vertical="center"/>
    </xf>
    <xf numFmtId="0" fontId="2" fillId="14" borderId="61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24" xfId="0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40" xfId="0" applyFont="1" applyFill="1" applyBorder="1" applyAlignment="1">
      <alignment horizontal="center" vertical="center"/>
    </xf>
    <xf numFmtId="14" fontId="4" fillId="0" borderId="0" xfId="0" applyNumberFormat="1" applyFont="1" applyFill="1"/>
    <xf numFmtId="0" fontId="5" fillId="15" borderId="0" xfId="0" applyFont="1" applyFill="1"/>
    <xf numFmtId="0" fontId="2" fillId="15" borderId="0" xfId="0" applyFont="1" applyFill="1"/>
    <xf numFmtId="0" fontId="2" fillId="15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27" t="s">
        <v>1</v>
      </c>
      <c r="C3" s="128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29" t="s">
        <v>83</v>
      </c>
      <c r="B4" s="105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30"/>
      <c r="B5" s="132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30"/>
      <c r="B6" s="132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30"/>
      <c r="B7" s="132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30"/>
      <c r="B8" s="132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30"/>
      <c r="B9" s="132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30"/>
      <c r="B10" s="133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30"/>
      <c r="B11" s="134"/>
      <c r="C11" s="99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30"/>
      <c r="B12" s="135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31"/>
      <c r="B13" s="136" t="s">
        <v>5</v>
      </c>
      <c r="C13" s="137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29"/>
      <c r="B14" s="147" t="s">
        <v>12</v>
      </c>
      <c r="C14" s="7" t="s">
        <v>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0</v>
      </c>
    </row>
    <row r="15" spans="1:17">
      <c r="A15" s="130"/>
      <c r="B15" s="143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30"/>
      <c r="B16" s="132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0"/>
      <c r="B17" s="132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30"/>
      <c r="B18" s="132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30"/>
      <c r="B19" s="132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30"/>
      <c r="B20" s="132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30"/>
      <c r="B21" s="132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30"/>
      <c r="B22" s="132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30"/>
      <c r="B23" s="132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30"/>
      <c r="B24" s="132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30"/>
      <c r="B25" s="132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30"/>
      <c r="B26" s="132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30"/>
      <c r="B27" s="132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30"/>
      <c r="B28" s="132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30"/>
      <c r="B29" s="132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30"/>
      <c r="B30" s="132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30"/>
      <c r="B31" s="145" t="s">
        <v>54</v>
      </c>
      <c r="C31" s="146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31"/>
      <c r="B32" s="136" t="s">
        <v>5</v>
      </c>
      <c r="C32" s="137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38"/>
      <c r="B33" s="141" t="s">
        <v>12</v>
      </c>
      <c r="C33" s="106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39"/>
      <c r="B34" s="142"/>
      <c r="C34" s="107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39"/>
      <c r="B35" s="142"/>
      <c r="C35" s="108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39"/>
      <c r="B36" s="142"/>
      <c r="C36" s="109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39"/>
      <c r="B37" s="142"/>
      <c r="C37" s="109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39"/>
      <c r="B38" s="142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39"/>
      <c r="B39" s="142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39"/>
      <c r="B40" s="143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39"/>
      <c r="B41" s="144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39"/>
      <c r="B42" s="142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39"/>
      <c r="B43" s="142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39"/>
      <c r="B44" s="142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39"/>
      <c r="B45" s="142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39"/>
      <c r="B46" s="144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39"/>
      <c r="B47" s="142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39"/>
      <c r="B48" s="142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39"/>
      <c r="B49" s="143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39"/>
      <c r="B50" s="145" t="s">
        <v>54</v>
      </c>
      <c r="C50" s="146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40"/>
      <c r="B51" s="136" t="s">
        <v>5</v>
      </c>
      <c r="C51" s="137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52" t="s">
        <v>40</v>
      </c>
      <c r="B52" s="153"/>
      <c r="C52" s="153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54" t="s">
        <v>41</v>
      </c>
      <c r="B53" s="155"/>
      <c r="C53" s="156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54" t="s">
        <v>31</v>
      </c>
      <c r="B54" s="155"/>
      <c r="C54" s="156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8" t="s">
        <v>20</v>
      </c>
      <c r="B55" s="149"/>
      <c r="C55" s="149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8" t="s">
        <v>43</v>
      </c>
      <c r="B56" s="149"/>
      <c r="C56" s="149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8" t="s">
        <v>53</v>
      </c>
      <c r="B57" s="149"/>
      <c r="C57" s="149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8" t="s">
        <v>22</v>
      </c>
      <c r="B58" s="149"/>
      <c r="C58" s="149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8" t="s">
        <v>21</v>
      </c>
      <c r="B59" s="149"/>
      <c r="C59" s="149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50" t="s">
        <v>57</v>
      </c>
      <c r="B60" s="151"/>
      <c r="C60" s="151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4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4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64"/>
  <sheetViews>
    <sheetView tabSelected="1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65" customFormat="1" ht="117" customHeight="1">
      <c r="A1" s="174" t="s">
        <v>78</v>
      </c>
      <c r="B1" s="175"/>
      <c r="C1" s="176"/>
      <c r="D1" s="34"/>
      <c r="E1" s="34"/>
      <c r="F1" s="34"/>
      <c r="G1" s="82"/>
      <c r="H1" s="34"/>
      <c r="I1" s="34"/>
      <c r="J1" s="34"/>
      <c r="K1" s="34"/>
      <c r="L1" s="173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27" t="s">
        <v>1</v>
      </c>
      <c r="C3" s="128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29"/>
      <c r="B4" s="166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30"/>
      <c r="B5" s="167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30"/>
      <c r="B6" s="167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30"/>
      <c r="B7" s="167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30"/>
      <c r="B8" s="167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30"/>
      <c r="B9" s="167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30"/>
      <c r="B10" s="168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30"/>
      <c r="B11" s="169"/>
      <c r="C11" s="110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30"/>
      <c r="B12" s="170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31"/>
      <c r="B13" s="136" t="s">
        <v>5</v>
      </c>
      <c r="C13" s="137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57"/>
      <c r="B14" s="171" t="s">
        <v>12</v>
      </c>
      <c r="C14" s="106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30"/>
      <c r="B15" s="172"/>
      <c r="C15" s="107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30"/>
      <c r="B16" s="167"/>
      <c r="C16" s="108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0"/>
      <c r="B17" s="167"/>
      <c r="C17" s="109" t="s">
        <v>90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30"/>
      <c r="B18" s="167"/>
      <c r="C18" s="109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30"/>
      <c r="B19" s="167"/>
      <c r="C19" s="109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30"/>
      <c r="B20" s="167"/>
      <c r="C20" s="108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30"/>
      <c r="B21" s="167"/>
      <c r="C21" s="110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30"/>
      <c r="B22" s="167" t="s">
        <v>11</v>
      </c>
      <c r="C22" s="111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30"/>
      <c r="B23" s="167"/>
      <c r="C23" s="109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30"/>
      <c r="B24" s="167"/>
      <c r="C24" s="109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30"/>
      <c r="B25" s="167"/>
      <c r="C25" s="109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30"/>
      <c r="B26" s="167"/>
      <c r="C26" s="112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30"/>
      <c r="B27" s="167" t="s">
        <v>13</v>
      </c>
      <c r="C27" s="111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30"/>
      <c r="B28" s="167"/>
      <c r="C28" s="10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30"/>
      <c r="B29" s="167"/>
      <c r="C29" s="10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30"/>
      <c r="B30" s="167"/>
      <c r="C30" s="112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30"/>
      <c r="B31" s="145" t="s">
        <v>54</v>
      </c>
      <c r="C31" s="146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31"/>
      <c r="B32" s="136" t="s">
        <v>5</v>
      </c>
      <c r="C32" s="137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38"/>
      <c r="B33" s="159" t="s">
        <v>12</v>
      </c>
      <c r="C33" s="106" t="s">
        <v>84</v>
      </c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20">
        <f>SUM(D33:P33)</f>
        <v>0</v>
      </c>
    </row>
    <row r="34" spans="1:17">
      <c r="A34" s="139"/>
      <c r="B34" s="160"/>
      <c r="C34" s="107" t="s">
        <v>85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118">
        <f t="shared" ref="Q34:Q49" si="4">SUM(D34:P34)</f>
        <v>0</v>
      </c>
    </row>
    <row r="35" spans="1:17">
      <c r="A35" s="139"/>
      <c r="B35" s="160"/>
      <c r="C35" s="108" t="s">
        <v>86</v>
      </c>
      <c r="D35" s="91">
        <f t="shared" ref="D35:O35" si="5">D33*D34</f>
        <v>0</v>
      </c>
      <c r="E35" s="91">
        <f t="shared" si="5"/>
        <v>0</v>
      </c>
      <c r="F35" s="91">
        <f t="shared" si="5"/>
        <v>0</v>
      </c>
      <c r="G35" s="91">
        <f t="shared" si="5"/>
        <v>0</v>
      </c>
      <c r="H35" s="91">
        <f t="shared" si="5"/>
        <v>0</v>
      </c>
      <c r="I35" s="91">
        <f t="shared" si="5"/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118">
        <f t="shared" si="4"/>
        <v>0</v>
      </c>
    </row>
    <row r="36" spans="1:17">
      <c r="A36" s="139"/>
      <c r="B36" s="160"/>
      <c r="C36" s="109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118">
        <f t="shared" si="4"/>
        <v>0</v>
      </c>
    </row>
    <row r="37" spans="1:17">
      <c r="A37" s="139"/>
      <c r="B37" s="160"/>
      <c r="C37" s="109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118">
        <f t="shared" si="4"/>
        <v>0</v>
      </c>
    </row>
    <row r="38" spans="1:17">
      <c r="A38" s="139"/>
      <c r="B38" s="160"/>
      <c r="C38" s="62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118">
        <f t="shared" si="4"/>
        <v>0</v>
      </c>
    </row>
    <row r="39" spans="1:17">
      <c r="A39" s="139"/>
      <c r="B39" s="161"/>
      <c r="C39" s="6" t="s">
        <v>42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33"/>
      <c r="Q39" s="121">
        <f t="shared" si="4"/>
        <v>0</v>
      </c>
    </row>
    <row r="40" spans="1:17">
      <c r="A40" s="139"/>
      <c r="B40" s="162" t="s">
        <v>11</v>
      </c>
      <c r="C40" s="5" t="s">
        <v>7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27"/>
      <c r="Q40" s="122">
        <f t="shared" si="4"/>
        <v>0</v>
      </c>
    </row>
    <row r="41" spans="1:17">
      <c r="A41" s="139"/>
      <c r="B41" s="160"/>
      <c r="C41" s="6" t="s">
        <v>4</v>
      </c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32"/>
      <c r="Q41" s="118">
        <f t="shared" si="4"/>
        <v>0</v>
      </c>
    </row>
    <row r="42" spans="1:17">
      <c r="A42" s="139"/>
      <c r="B42" s="160"/>
      <c r="C42" s="6" t="s">
        <v>17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118">
        <f t="shared" si="4"/>
        <v>0</v>
      </c>
    </row>
    <row r="43" spans="1:17">
      <c r="A43" s="139"/>
      <c r="B43" s="160"/>
      <c r="C43" s="6" t="s">
        <v>18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118">
        <f t="shared" si="4"/>
        <v>0</v>
      </c>
    </row>
    <row r="44" spans="1:17">
      <c r="A44" s="139"/>
      <c r="B44" s="160"/>
      <c r="C44" s="6" t="s">
        <v>60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121">
        <f t="shared" si="4"/>
        <v>0</v>
      </c>
    </row>
    <row r="45" spans="1:17">
      <c r="A45" s="139"/>
      <c r="B45" s="162" t="s">
        <v>13</v>
      </c>
      <c r="C45" s="5" t="s">
        <v>10</v>
      </c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27"/>
      <c r="Q45" s="117">
        <f t="shared" si="4"/>
        <v>0</v>
      </c>
    </row>
    <row r="46" spans="1:17">
      <c r="A46" s="139"/>
      <c r="B46" s="160"/>
      <c r="C46" s="108" t="s">
        <v>55</v>
      </c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28"/>
      <c r="Q46" s="118">
        <f t="shared" si="4"/>
        <v>0</v>
      </c>
    </row>
    <row r="47" spans="1:17">
      <c r="A47" s="139"/>
      <c r="B47" s="160"/>
      <c r="C47" s="8" t="s">
        <v>56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118">
        <f t="shared" si="4"/>
        <v>0</v>
      </c>
    </row>
    <row r="48" spans="1:17" ht="14.25" thickBot="1">
      <c r="A48" s="139"/>
      <c r="B48" s="161"/>
      <c r="C48" s="4" t="s">
        <v>61</v>
      </c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33"/>
      <c r="Q48" s="119">
        <f t="shared" si="4"/>
        <v>0</v>
      </c>
    </row>
    <row r="49" spans="1:17" ht="14.25" thickBot="1">
      <c r="A49" s="139"/>
      <c r="B49" s="145" t="s">
        <v>54</v>
      </c>
      <c r="C49" s="146"/>
      <c r="D49" s="56">
        <f>SUM(D35:D39)-SUM(D43:D44)</f>
        <v>0</v>
      </c>
      <c r="E49" s="56">
        <f t="shared" ref="E49:O49" si="6">SUM(E35:E39)-SUM(E43:E44)</f>
        <v>0</v>
      </c>
      <c r="F49" s="56">
        <f t="shared" si="6"/>
        <v>0</v>
      </c>
      <c r="G49" s="56">
        <f t="shared" si="6"/>
        <v>0</v>
      </c>
      <c r="H49" s="56">
        <f t="shared" si="6"/>
        <v>0</v>
      </c>
      <c r="I49" s="56">
        <f t="shared" si="6"/>
        <v>0</v>
      </c>
      <c r="J49" s="56">
        <f t="shared" si="6"/>
        <v>0</v>
      </c>
      <c r="K49" s="56">
        <f t="shared" si="6"/>
        <v>0</v>
      </c>
      <c r="L49" s="56">
        <f t="shared" si="6"/>
        <v>0</v>
      </c>
      <c r="M49" s="56">
        <f t="shared" si="6"/>
        <v>0</v>
      </c>
      <c r="N49" s="56">
        <f t="shared" si="6"/>
        <v>0</v>
      </c>
      <c r="O49" s="56">
        <f t="shared" si="6"/>
        <v>0</v>
      </c>
      <c r="P49" s="58">
        <f>SUM(P33:P39)-SUM(P43:P44)</f>
        <v>0</v>
      </c>
      <c r="Q49" s="116">
        <f t="shared" si="4"/>
        <v>0</v>
      </c>
    </row>
    <row r="50" spans="1:17" ht="14.25" thickBot="1">
      <c r="A50" s="140"/>
      <c r="B50" s="136" t="s">
        <v>5</v>
      </c>
      <c r="C50" s="137"/>
      <c r="D50" s="42">
        <f>SUM(D35:D39)-SUM(D40:D44)+SUM(D45:D48)</f>
        <v>0</v>
      </c>
      <c r="E50" s="42">
        <f t="shared" ref="E50:O50" si="7">SUM(E35:E39)-SUM(E40:E44)+SUM(E45:E48)</f>
        <v>0</v>
      </c>
      <c r="F50" s="42">
        <f t="shared" si="7"/>
        <v>0</v>
      </c>
      <c r="G50" s="42">
        <f t="shared" si="7"/>
        <v>0</v>
      </c>
      <c r="H50" s="42">
        <f t="shared" si="7"/>
        <v>0</v>
      </c>
      <c r="I50" s="42">
        <f t="shared" si="7"/>
        <v>0</v>
      </c>
      <c r="J50" s="42">
        <f t="shared" si="7"/>
        <v>0</v>
      </c>
      <c r="K50" s="42">
        <f t="shared" si="7"/>
        <v>0</v>
      </c>
      <c r="L50" s="42">
        <f t="shared" si="7"/>
        <v>0</v>
      </c>
      <c r="M50" s="42">
        <f t="shared" si="7"/>
        <v>0</v>
      </c>
      <c r="N50" s="42">
        <f t="shared" si="7"/>
        <v>0</v>
      </c>
      <c r="O50" s="42">
        <f t="shared" si="7"/>
        <v>0</v>
      </c>
      <c r="P50" s="44">
        <f>SUM(P33:P39)-SUM(P40:P44)+SUM(P45:P48)</f>
        <v>0</v>
      </c>
      <c r="Q50" s="46">
        <f>SUM(D50:P50)</f>
        <v>0</v>
      </c>
    </row>
    <row r="51" spans="1:17">
      <c r="A51" s="152" t="s">
        <v>40</v>
      </c>
      <c r="B51" s="153"/>
      <c r="C51" s="153"/>
      <c r="D51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1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1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1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1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1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1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1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1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51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51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51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51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51" s="49">
        <f ca="1">SUM(P51:P51)</f>
        <v>0</v>
      </c>
    </row>
    <row r="52" spans="1:17">
      <c r="A52" s="154" t="s">
        <v>41</v>
      </c>
      <c r="B52" s="155"/>
      <c r="C52" s="156"/>
      <c r="D52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2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2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2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2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2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2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2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2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52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52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52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52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52" s="52">
        <f ca="1">SUM(P52:P52)</f>
        <v>0</v>
      </c>
    </row>
    <row r="53" spans="1:17">
      <c r="A53" s="154" t="s">
        <v>31</v>
      </c>
      <c r="B53" s="155"/>
      <c r="C53" s="156"/>
      <c r="D53" s="50">
        <f>SUMIF($B:$B,"計",D:D)</f>
        <v>0</v>
      </c>
      <c r="E53" s="50">
        <f>SUMIF($B:$B,"計",E:E)</f>
        <v>0</v>
      </c>
      <c r="F53" s="50">
        <f>SUMIF($B:$B,"計",F:F)</f>
        <v>0</v>
      </c>
      <c r="G53" s="50">
        <f>SUMIF($B:$B,"計",G:G)</f>
        <v>0</v>
      </c>
      <c r="H53" s="50">
        <f>SUMIF($B:$B,"計",H:H)</f>
        <v>0</v>
      </c>
      <c r="I53" s="50">
        <f>SUMIF($B:$B,"計",I:I)</f>
        <v>0</v>
      </c>
      <c r="J53" s="50">
        <f>SUMIF($B:$B,"計",J:J)</f>
        <v>0</v>
      </c>
      <c r="K53" s="50">
        <f>SUMIF($B:$B,"計",K:K)</f>
        <v>0</v>
      </c>
      <c r="L53" s="50">
        <f>SUMIF($B:$B,"計",L:L)</f>
        <v>0</v>
      </c>
      <c r="M53" s="50">
        <f>SUMIF($B:$B,"計",M:M)</f>
        <v>0</v>
      </c>
      <c r="N53" s="50">
        <f>SUMIF($B:$B,"計",N:N)</f>
        <v>0</v>
      </c>
      <c r="O53" s="50">
        <f>SUMIF($B:$B,"計",O:O)</f>
        <v>0</v>
      </c>
      <c r="P53" s="50">
        <f>SUMIF($B:$B,"計",P:P)</f>
        <v>0</v>
      </c>
      <c r="Q53" s="52">
        <f t="shared" ref="Q53:Q58" si="8">SUM(P53:P53)</f>
        <v>0</v>
      </c>
    </row>
    <row r="54" spans="1:17">
      <c r="A54" s="148" t="s">
        <v>20</v>
      </c>
      <c r="B54" s="149"/>
      <c r="C54" s="149"/>
      <c r="D54" s="53">
        <f>SUMIF($C:$C,"所得税",D:D)</f>
        <v>0</v>
      </c>
      <c r="E54" s="53">
        <f>SUMIF($C:$C,"所得税",E:E)</f>
        <v>0</v>
      </c>
      <c r="F54" s="53">
        <f>SUMIF($C:$C,"所得税",F:F)</f>
        <v>0</v>
      </c>
      <c r="G54" s="53">
        <f>SUMIF($C:$C,"所得税",G:G)</f>
        <v>0</v>
      </c>
      <c r="H54" s="53">
        <f>SUMIF($C:$C,"所得税",H:H)</f>
        <v>0</v>
      </c>
      <c r="I54" s="53">
        <f>SUMIF($C:$C,"所得税",I:I)</f>
        <v>0</v>
      </c>
      <c r="J54" s="53">
        <f>SUMIF($C:$C,"所得税",J:J)</f>
        <v>0</v>
      </c>
      <c r="K54" s="53">
        <f>SUMIF($C:$C,"所得税",K:K)</f>
        <v>0</v>
      </c>
      <c r="L54" s="53">
        <f>SUMIF($C:$C,"所得税",L:L)</f>
        <v>0</v>
      </c>
      <c r="M54" s="53">
        <f>SUMIF($C:$C,"所得税",M:M)</f>
        <v>0</v>
      </c>
      <c r="N54" s="53">
        <f>SUMIF($C:$C,"所得税",N:N)</f>
        <v>0</v>
      </c>
      <c r="O54" s="53">
        <f>SUMIF($C:$C,"所得税",O:O)</f>
        <v>0</v>
      </c>
      <c r="P54" s="53">
        <f>SUMIF($C:$C,"所得税",P:P)</f>
        <v>0</v>
      </c>
      <c r="Q54" s="52">
        <f t="shared" si="8"/>
        <v>0</v>
      </c>
    </row>
    <row r="55" spans="1:17">
      <c r="A55" s="148" t="s">
        <v>43</v>
      </c>
      <c r="B55" s="149"/>
      <c r="C55" s="149"/>
      <c r="D55" s="53">
        <f>SUMIF($C:$C,"住民税",D:D)</f>
        <v>0</v>
      </c>
      <c r="E55" s="53">
        <f>SUMIF($C:$C,"住民税",E:E)</f>
        <v>0</v>
      </c>
      <c r="F55" s="53">
        <f>SUMIF($C:$C,"住民税",F:F)</f>
        <v>0</v>
      </c>
      <c r="G55" s="53">
        <f>SUMIF($C:$C,"住民税",G:G)</f>
        <v>0</v>
      </c>
      <c r="H55" s="53">
        <f>SUMIF($C:$C,"住民税",H:H)</f>
        <v>0</v>
      </c>
      <c r="I55" s="53">
        <f>SUMIF($C:$C,"住民税",I:I)</f>
        <v>0</v>
      </c>
      <c r="J55" s="53">
        <f>SUMIF($C:$C,"住民税",J:J)</f>
        <v>0</v>
      </c>
      <c r="K55" s="53">
        <f>SUMIF($C:$C,"住民税",K:K)</f>
        <v>0</v>
      </c>
      <c r="L55" s="53">
        <f>SUMIF($C:$C,"住民税",L:L)</f>
        <v>0</v>
      </c>
      <c r="M55" s="53">
        <f>SUMIF($C:$C,"住民税",M:M)</f>
        <v>0</v>
      </c>
      <c r="N55" s="53">
        <f>SUMIF($C:$C,"住民税",N:N)</f>
        <v>0</v>
      </c>
      <c r="O55" s="53">
        <f>SUMIF($C:$C,"住民税",O:O)</f>
        <v>0</v>
      </c>
      <c r="P55" s="53">
        <f>SUMIF($C:$C,"住民税",P:P)</f>
        <v>0</v>
      </c>
      <c r="Q55" s="52">
        <f t="shared" si="8"/>
        <v>0</v>
      </c>
    </row>
    <row r="56" spans="1:17">
      <c r="A56" s="148" t="s">
        <v>53</v>
      </c>
      <c r="B56" s="149"/>
      <c r="C56" s="149"/>
      <c r="D56" s="53">
        <f>SUMIF($C:$C,"健康保険料",D:D)+SUMIF($C:$C,"厚生年金",D:D)</f>
        <v>0</v>
      </c>
      <c r="E56" s="53">
        <f>SUMIF($C:$C,"健康保険料",E:E)+SUMIF($C:$C,"厚生年金",E:E)</f>
        <v>0</v>
      </c>
      <c r="F56" s="53">
        <f>SUMIF($C:$C,"健康保険料",F:F)+SUMIF($C:$C,"厚生年金",F:F)</f>
        <v>0</v>
      </c>
      <c r="G56" s="53">
        <f>SUMIF($C:$C,"健康保険料",G:G)+SUMIF($C:$C,"厚生年金",G:G)</f>
        <v>0</v>
      </c>
      <c r="H56" s="53">
        <f>SUMIF($C:$C,"健康保険料",H:H)+SUMIF($C:$C,"厚生年金",H:H)</f>
        <v>0</v>
      </c>
      <c r="I56" s="53">
        <f>SUMIF($C:$C,"健康保険料",I:I)+SUMIF($C:$C,"厚生年金",I:I)</f>
        <v>0</v>
      </c>
      <c r="J56" s="53">
        <f>SUMIF($C:$C,"健康保険料",J:J)+SUMIF($C:$C,"厚生年金",J:J)</f>
        <v>0</v>
      </c>
      <c r="K56" s="53">
        <f>SUMIF($C:$C,"健康保険料",K:K)+SUMIF($C:$C,"厚生年金",K:K)</f>
        <v>0</v>
      </c>
      <c r="L56" s="53">
        <f>SUMIF($C:$C,"健康保険料",L:L)+SUMIF($C:$C,"厚生年金",L:L)</f>
        <v>0</v>
      </c>
      <c r="M56" s="53">
        <f>SUMIF($C:$C,"健康保険料",M:M)+SUMIF($C:$C,"厚生年金",M:M)</f>
        <v>0</v>
      </c>
      <c r="N56" s="53">
        <f>SUMIF($C:$C,"健康保険料",N:N)+SUMIF($C:$C,"厚生年金",N:N)</f>
        <v>0</v>
      </c>
      <c r="O56" s="53">
        <f>SUMIF($C:$C,"健康保険料",O:O)+SUMIF($C:$C,"厚生年金",O:O)</f>
        <v>0</v>
      </c>
      <c r="P56" s="53">
        <f>SUMIF($C:$C,"健康保険料",P:P)+SUMIF($C:$C,"厚生年金",P:P)</f>
        <v>0</v>
      </c>
      <c r="Q56" s="52">
        <f t="shared" si="8"/>
        <v>0</v>
      </c>
    </row>
    <row r="57" spans="1:17">
      <c r="A57" s="148" t="s">
        <v>22</v>
      </c>
      <c r="B57" s="149"/>
      <c r="C57" s="149"/>
      <c r="D57" s="53">
        <f>SUMIF($C:$C,"雇用保険",D:D)</f>
        <v>0</v>
      </c>
      <c r="E57" s="53">
        <f>SUMIF($C:$C,"雇用保険",E:E)</f>
        <v>0</v>
      </c>
      <c r="F57" s="53">
        <f>SUMIF($C:$C,"雇用保険",F:F)</f>
        <v>0</v>
      </c>
      <c r="G57" s="53">
        <f>SUMIF($C:$C,"雇用保険",G:G)</f>
        <v>0</v>
      </c>
      <c r="H57" s="53">
        <f>SUMIF($C:$C,"雇用保険",H:H)</f>
        <v>0</v>
      </c>
      <c r="I57" s="53">
        <f>SUMIF($C:$C,"雇用保険",I:I)</f>
        <v>0</v>
      </c>
      <c r="J57" s="53">
        <f>SUMIF($C:$C,"雇用保険",J:J)</f>
        <v>0</v>
      </c>
      <c r="K57" s="53">
        <f>SUMIF($C:$C,"雇用保険",K:K)</f>
        <v>0</v>
      </c>
      <c r="L57" s="53">
        <f>SUMIF($C:$C,"雇用保険",L:L)</f>
        <v>0</v>
      </c>
      <c r="M57" s="53">
        <f>SUMIF($C:$C,"雇用保険",M:M)</f>
        <v>0</v>
      </c>
      <c r="N57" s="53">
        <f>SUMIF($C:$C,"雇用保険",N:N)</f>
        <v>0</v>
      </c>
      <c r="O57" s="53">
        <f>SUMIF($C:$C,"雇用保険",O:O)</f>
        <v>0</v>
      </c>
      <c r="P57" s="53">
        <f>SUMIF($C:$C,"雇用保険",P:P)</f>
        <v>0</v>
      </c>
      <c r="Q57" s="52">
        <f t="shared" si="8"/>
        <v>0</v>
      </c>
    </row>
    <row r="58" spans="1:17">
      <c r="A58" s="148" t="s">
        <v>21</v>
      </c>
      <c r="B58" s="149"/>
      <c r="C58" s="149"/>
      <c r="D58" s="53">
        <f>SUMIF($C:$C,"交通費",D:D)</f>
        <v>0</v>
      </c>
      <c r="E58" s="53">
        <f>SUMIF($C:$C,"交通費",E:E)</f>
        <v>0</v>
      </c>
      <c r="F58" s="53">
        <f>SUMIF($C:$C,"交通費",F:F)</f>
        <v>0</v>
      </c>
      <c r="G58" s="53">
        <f>SUMIF($C:$C,"交通費",G:G)</f>
        <v>0</v>
      </c>
      <c r="H58" s="53">
        <f>SUMIF($C:$C,"交通費",H:H)</f>
        <v>0</v>
      </c>
      <c r="I58" s="53">
        <f>SUMIF($C:$C,"交通費",I:I)</f>
        <v>0</v>
      </c>
      <c r="J58" s="53">
        <f>SUMIF($C:$C,"交通費",J:J)</f>
        <v>0</v>
      </c>
      <c r="K58" s="53">
        <f>SUMIF($C:$C,"交通費",K:K)</f>
        <v>0</v>
      </c>
      <c r="L58" s="53">
        <f>SUMIF($C:$C,"交通費",L:L)</f>
        <v>0</v>
      </c>
      <c r="M58" s="53">
        <f>SUMIF($C:$C,"交通費",M:M)</f>
        <v>0</v>
      </c>
      <c r="N58" s="53">
        <f>SUMIF($C:$C,"交通費",N:N)</f>
        <v>0</v>
      </c>
      <c r="O58" s="53">
        <f>SUMIF($C:$C,"交通費",O:O)</f>
        <v>0</v>
      </c>
      <c r="P58" s="53">
        <f>SUMIF($C:$C,"交通費",P:P)</f>
        <v>0</v>
      </c>
      <c r="Q58" s="52">
        <f t="shared" si="8"/>
        <v>0</v>
      </c>
    </row>
    <row r="59" spans="1:17" ht="14.25" thickBot="1">
      <c r="A59" s="150" t="s">
        <v>57</v>
      </c>
      <c r="B59" s="151"/>
      <c r="C59" s="151"/>
      <c r="D59" s="55">
        <f>SUMIF($C:$C,"*精算分*",D:D)</f>
        <v>0</v>
      </c>
      <c r="E59" s="55">
        <f>SUMIF($C:$C,"*精算分*",E:E)</f>
        <v>0</v>
      </c>
      <c r="F59" s="55">
        <f>SUMIF($C:$C,"*精算分*",F:F)</f>
        <v>0</v>
      </c>
      <c r="G59" s="55">
        <f>SUMIF($C:$C,"*精算分*",G:G)</f>
        <v>0</v>
      </c>
      <c r="H59" s="55">
        <f>SUMIF($C:$C,"*精算分*",H:H)</f>
        <v>0</v>
      </c>
      <c r="I59" s="55">
        <f>SUMIF($C:$C,"*精算分*",I:I)</f>
        <v>0</v>
      </c>
      <c r="J59" s="55">
        <f>SUMIF($C:$C,"*精算分*",J:J)</f>
        <v>0</v>
      </c>
      <c r="K59" s="55">
        <f>SUMIF($C:$C,"*精算分*",K:K)</f>
        <v>0</v>
      </c>
      <c r="L59" s="55">
        <f>SUMIF($C:$C,"*精算分*",L:L)</f>
        <v>0</v>
      </c>
      <c r="M59" s="55">
        <f>SUMIF($C:$C,"*精算分*",M:M)</f>
        <v>0</v>
      </c>
      <c r="N59" s="55">
        <f>SUMIF($C:$C,"*精算分*",N:N)</f>
        <v>0</v>
      </c>
      <c r="O59" s="55">
        <f>SUMIF($C:$C,"*精算分*",O:O)</f>
        <v>0</v>
      </c>
      <c r="P59" s="55">
        <f>SUMIF($C:$C,"*精算分*",P:P)</f>
        <v>0</v>
      </c>
      <c r="Q59" s="45">
        <f>SUM(P59:P59)</f>
        <v>0</v>
      </c>
    </row>
    <row r="60" spans="1:17">
      <c r="A60" s="26"/>
      <c r="B60" s="26"/>
      <c r="C60" s="26"/>
      <c r="D60" s="24"/>
      <c r="E60" s="24"/>
      <c r="F60" s="24"/>
      <c r="G60" s="24"/>
      <c r="H60" s="24"/>
      <c r="I60" s="37"/>
      <c r="J60" s="37"/>
      <c r="K60" s="37"/>
      <c r="L60" s="24"/>
      <c r="M60" s="24"/>
      <c r="N60" s="24"/>
      <c r="O60" s="24"/>
      <c r="P60" s="24"/>
      <c r="Q60" s="25"/>
    </row>
    <row r="62" spans="1:17">
      <c r="A62" s="10"/>
      <c r="C62" s="104" t="s">
        <v>81</v>
      </c>
      <c r="D62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0</v>
      </c>
      <c r="E62" s="1">
        <f>SUMIF($C:$C,"基本給 ",E:E)
+SUMIF($C:$C,"役職手当 ",E:E)
+SUMIF($C:$C,"営業手当 ",E:E)
+SUMIF($C:$C,"管理手当 ",E:E)
+SUMIF($C:$C,"在宅手当 ",E:E)
+SUMIF($C:$C,"特別手当 ",E:E)
+SUMIF($C:$C,"扶養家族手当 ",E:E)
+SUMIF($C:$C,"調整金 ",E:E)</f>
        <v>0</v>
      </c>
      <c r="F62" s="1">
        <f>SUMIF($C:$C,"基本給 ",F:F)
+SUMIF($C:$C,"役職手当 ",F:F)
+SUMIF($C:$C,"営業手当 ",F:F)
+SUMIF($C:$C,"管理手当 ",F:F)
+SUMIF($C:$C,"在宅手当 ",F:F)
+SUMIF($C:$C,"特別手当 ",F:F)
+SUMIF($C:$C,"扶養家族手当 ",F:F)
+SUMIF($C:$C,"調整金 ",F:F)</f>
        <v>0</v>
      </c>
      <c r="G62" s="1">
        <f>SUMIF($C:$C,"基本給 ",G:G)
+SUMIF($C:$C,"役職手当 ",G:G)
+SUMIF($C:$C,"営業手当 ",G:G)
+SUMIF($C:$C,"管理手当 ",G:G)
+SUMIF($C:$C,"在宅手当 ",G:G)
+SUMIF($C:$C,"特別手当 ",G:G)
+SUMIF($C:$C,"扶養家族手当 ",G:G)
+SUMIF($C:$C,"調整金 ",G:G)</f>
        <v>0</v>
      </c>
      <c r="H62" s="1">
        <f>SUMIF($C:$C,"基本給 ",H:H)
+SUMIF($C:$C,"役職手当 ",H:H)
+SUMIF($C:$C,"営業手当 ",H:H)
+SUMIF($C:$C,"管理手当 ",H:H)
+SUMIF($C:$C,"在宅手当 ",H:H)
+SUMIF($C:$C,"特別手当 ",H:H)
+SUMIF($C:$C,"扶養家族手当 ",H:H)
+SUMIF($C:$C,"調整金 ",H:H)</f>
        <v>0</v>
      </c>
      <c r="I62" s="1">
        <f>SUMIF($C:$C,"基本給 ",I:I)
+SUMIF($C:$C,"役職手当 ",I:I)
+SUMIF($C:$C,"営業手当 ",I:I)
+SUMIF($C:$C,"管理手当 ",I:I)
+SUMIF($C:$C,"在宅手当 ",I:I)
+SUMIF($C:$C,"特別手当 ",I:I)
+SUMIF($C:$C,"扶養家族手当 ",I:I)
+SUMIF($C:$C,"調整金 ",I:I)</f>
        <v>0</v>
      </c>
      <c r="J62" s="1">
        <f>SUMIF($C:$C,"基本給 ",J:J)
+SUMIF($C:$C,"役職手当 ",J:J)
+SUMIF($C:$C,"営業手当 ",J:J)
+SUMIF($C:$C,"管理手当 ",J:J)
+SUMIF($C:$C,"在宅手当 ",J:J)
+SUMIF($C:$C,"特別手当 ",J:J)
+SUMIF($C:$C,"扶養家族手当 ",J:J)
+SUMIF($C:$C,"調整金 ",J:J)</f>
        <v>0</v>
      </c>
      <c r="K62" s="1">
        <f>SUMIF($C:$C,"基本給 ",K:K)
+SUMIF($C:$C,"役職手当 ",K:K)
+SUMIF($C:$C,"営業手当 ",K:K)
+SUMIF($C:$C,"管理手当 ",K:K)
+SUMIF($C:$C,"在宅手当 ",K:K)
+SUMIF($C:$C,"特別手当 ",K:K)
+SUMIF($C:$C,"扶養家族手当 ",K:K)
+SUMIF($C:$C,"調整金 ",K:K)</f>
        <v>0</v>
      </c>
      <c r="L62" s="1">
        <f>SUMIF($C:$C,"基本給 ",L:L)
+SUMIF($C:$C,"役職手当 ",L:L)
+SUMIF($C:$C,"営業手当 ",L:L)
+SUMIF($C:$C,"管理手当 ",L:L)
+SUMIF($C:$C,"在宅手当 ",L:L)
+SUMIF($C:$C,"特別手当 ",L:L)
+SUMIF($C:$C,"扶養家族手当 ",L:L)
+SUMIF($C:$C,"調整金 ",L:L)</f>
        <v>0</v>
      </c>
      <c r="M62" s="1">
        <f>SUMIF($C:$C,"基本給 ",M:M)
+SUMIF($C:$C,"役職手当 ",M:M)
+SUMIF($C:$C,"営業手当 ",M:M)
+SUMIF($C:$C,"管理手当 ",M:M)
+SUMIF($C:$C,"在宅手当 ",M:M)
+SUMIF($C:$C,"特別手当 ",M:M)
+SUMIF($C:$C,"扶養家族手当 ",M:M)
+SUMIF($C:$C,"調整金 ",M:M)</f>
        <v>0</v>
      </c>
      <c r="N62" s="1">
        <f>SUMIF($C:$C,"基本給 ",N:N)
+SUMIF($C:$C,"役職手当 ",N:N)
+SUMIF($C:$C,"営業手当 ",N:N)
+SUMIF($C:$C,"管理手当 ",N:N)
+SUMIF($C:$C,"在宅手当 ",N:N)
+SUMIF($C:$C,"特別手当 ",N:N)
+SUMIF($C:$C,"扶養家族手当 ",N:N)
+SUMIF($C:$C,"調整金 ",N:N)</f>
        <v>0</v>
      </c>
      <c r="O62" s="1">
        <f>SUMIF($C:$C,"基本給 ",O:O)
+SUMIF($C:$C,"役職手当 ",O:O)
+SUMIF($C:$C,"営業手当 ",O:O)
+SUMIF($C:$C,"管理手当 ",O:O)
+SUMIF($C:$C,"在宅手当 ",O:O)
+SUMIF($C:$C,"特別手当 ",O:O)
+SUMIF($C:$C,"扶養家族手当 ",O:O)
+SUMIF($C:$C,"調整金 ",O:O)</f>
        <v>0</v>
      </c>
    </row>
    <row r="63" spans="1:17">
      <c r="A63" s="10"/>
      <c r="C63" s="104" t="s">
        <v>82</v>
      </c>
      <c r="D63" s="36">
        <f ca="1">SUMIF($C:$C,"小計",D:D)
+SUMIF($C:$C,"営業手当",D:D)
+SUMIF($C:$C,"管理手当",D:D)
+SUMIF($C:$C,"在宅手当",D:D)
+SUMIF($C:$C,"特別手当",D:D)
+SUMIF($C:$C,"特別手当",INDEX(D:D,2,1))
+SUMIF($C:$C,"調整金",D:D)</f>
        <v>0</v>
      </c>
      <c r="E63" s="36">
        <f ca="1">SUMIF($C:$C,"小計",E:E)
+SUMIF($C:$C,"営業手当",E:E)
+SUMIF($C:$C,"管理手当",E:E)
+SUMIF($C:$C,"在宅手当",E:E)
+SUMIF($C:$C,"特別手当",E:E)
+SUMIF($C:$C,"特別手当",INDEX(E:E,2,1))
+SUMIF($C:$C,"調整金",E:E)</f>
        <v>0</v>
      </c>
      <c r="F63" s="36">
        <f ca="1">SUMIF($C:$C,"小計",F:F)
+SUMIF($C:$C,"営業手当",F:F)
+SUMIF($C:$C,"管理手当",F:F)
+SUMIF($C:$C,"在宅手当",F:F)
+SUMIF($C:$C,"特別手当",F:F)
+SUMIF($C:$C,"特別手当",INDEX(F:F,2,1))
+SUMIF($C:$C,"調整金",F:F)</f>
        <v>0</v>
      </c>
      <c r="G63" s="36">
        <f ca="1">SUMIF($C:$C,"小計",G:G)
+SUMIF($C:$C,"営業手当",G:G)
+SUMIF($C:$C,"管理手当",G:G)
+SUMIF($C:$C,"在宅手当",G:G)
+SUMIF($C:$C,"特別手当",G:G)
+SUMIF($C:$C,"特別手当",INDEX(G:G,2,1))
+SUMIF($C:$C,"調整金",G:G)</f>
        <v>0</v>
      </c>
      <c r="H63" s="36">
        <f ca="1">SUMIF($C:$C,"小計",H:H)
+SUMIF($C:$C,"営業手当",H:H)
+SUMIF($C:$C,"管理手当",H:H)
+SUMIF($C:$C,"在宅手当",H:H)
+SUMIF($C:$C,"特別手当",H:H)
+SUMIF($C:$C,"特別手当",INDEX(H:H,2,1))
+SUMIF($C:$C,"調整金",H:H)</f>
        <v>0</v>
      </c>
      <c r="I63" s="36">
        <f ca="1">SUMIF($C:$C,"小計",I:I)
+SUMIF($C:$C,"営業手当",I:I)
+SUMIF($C:$C,"管理手当",I:I)
+SUMIF($C:$C,"在宅手当",I:I)
+SUMIF($C:$C,"特別手当",I:I)
+SUMIF($C:$C,"特別手当",INDEX(I:I,2,1))
+SUMIF($C:$C,"調整金",I:I)</f>
        <v>0</v>
      </c>
      <c r="J63" s="36">
        <f ca="1">SUMIF($C:$C,"小計",J:J)
+SUMIF($C:$C,"営業手当",J:J)
+SUMIF($C:$C,"管理手当",J:J)
+SUMIF($C:$C,"在宅手当",J:J)
+SUMIF($C:$C,"特別手当",J:J)
+SUMIF($C:$C,"特別手当",INDEX(J:J,2,1))
+SUMIF($C:$C,"調整金",J:J)</f>
        <v>0</v>
      </c>
      <c r="K63" s="36">
        <f ca="1">SUMIF($C:$C,"小計",K:K)
+SUMIF($C:$C,"営業手当",K:K)
+SUMIF($C:$C,"管理手当",K:K)
+SUMIF($C:$C,"在宅手当",K:K)
+SUMIF($C:$C,"特別手当",K:K)
+SUMIF($C:$C,"特別手当",INDEX(K:K,2,1))
+SUMIF($C:$C,"調整金",K:K)</f>
        <v>0</v>
      </c>
      <c r="L63" s="36">
        <f ca="1">SUMIF($C:$C,"小計",L:L)
+SUMIF($C:$C,"営業手当",L:L)
+SUMIF($C:$C,"管理手当",L:L)
+SUMIF($C:$C,"在宅手当",L:L)
+SUMIF($C:$C,"特別手当",L:L)
+SUMIF($C:$C,"特別手当",INDEX(L:L,2,1))
+SUMIF($C:$C,"調整金",L:L)</f>
        <v>0</v>
      </c>
      <c r="M63" s="36">
        <f ca="1">SUMIF($C:$C,"小計",M:M)
+SUMIF($C:$C,"営業手当",M:M)
+SUMIF($C:$C,"管理手当",M:M)
+SUMIF($C:$C,"在宅手当",M:M)
+SUMIF($C:$C,"特別手当",M:M)
+SUMIF($C:$C,"特別手当",INDEX(M:M,2,1))
+SUMIF($C:$C,"調整金",M:M)</f>
        <v>0</v>
      </c>
      <c r="N63" s="36">
        <f ca="1">SUMIF($C:$C,"小計",N:N)
+SUMIF($C:$C,"営業手当",N:N)
+SUMIF($C:$C,"管理手当",N:N)
+SUMIF($C:$C,"在宅手当",N:N)
+SUMIF($C:$C,"特別手当",N:N)
+SUMIF($C:$C,"特別手当",INDEX(N:N,2,1))
+SUMIF($C:$C,"調整金",N:N)</f>
        <v>0</v>
      </c>
      <c r="O63" s="36">
        <f ca="1">SUMIF($C:$C,"小計",O:O)
+SUMIF($C:$C,"営業手当",O:O)
+SUMIF($C:$C,"管理手当",O:O)
+SUMIF($C:$C,"在宅手当",O:O)
+SUMIF($C:$C,"特別手当",O:O)
+SUMIF($C:$C,"特別手当",INDEX(O:O,2,1))
+SUMIF($C:$C,"調整金",O:O)</f>
        <v>0</v>
      </c>
    </row>
    <row r="64" spans="1:17">
      <c r="A64" s="10"/>
      <c r="B64" s="11"/>
    </row>
  </sheetData>
  <mergeCells count="26">
    <mergeCell ref="B50:C50"/>
    <mergeCell ref="A57:C57"/>
    <mergeCell ref="A58:C58"/>
    <mergeCell ref="A59:C59"/>
    <mergeCell ref="A51:C51"/>
    <mergeCell ref="A52:C52"/>
    <mergeCell ref="A53:C53"/>
    <mergeCell ref="A54:C54"/>
    <mergeCell ref="A55:C55"/>
    <mergeCell ref="A56:C56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  <mergeCell ref="A33:A50"/>
    <mergeCell ref="B33:B39"/>
    <mergeCell ref="B40:B44"/>
    <mergeCell ref="B45:B48"/>
    <mergeCell ref="B49:C49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7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4" sqref="A14:XFD1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58" t="s">
        <v>0</v>
      </c>
      <c r="B4" s="158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>
        <f>'■2017年度　社員給与詳細'!A4</f>
        <v>0</v>
      </c>
      <c r="C7" s="82">
        <f>'■2017年度　社員給与詳細'!D13</f>
        <v>0</v>
      </c>
      <c r="D7" s="82">
        <f>'■2017年度　社員給与詳細'!E13</f>
        <v>0</v>
      </c>
      <c r="E7" s="82">
        <f>'■2017年度　社員給与詳細'!F13</f>
        <v>0</v>
      </c>
      <c r="F7" s="82">
        <f>'■2017年度　社員給与詳細'!G13</f>
        <v>0</v>
      </c>
      <c r="G7" s="82">
        <f>'■2017年度　社員給与詳細'!H13</f>
        <v>0</v>
      </c>
      <c r="H7" s="82">
        <f>'■2017年度　社員給与詳細'!I13</f>
        <v>0</v>
      </c>
      <c r="I7" s="82">
        <f>'■2017年度　社員給与詳細'!J13</f>
        <v>0</v>
      </c>
      <c r="J7" s="82">
        <f>'■2017年度　社員給与詳細'!K13</f>
        <v>0</v>
      </c>
      <c r="K7" s="82">
        <f>'■2017年度　社員給与詳細'!L13</f>
        <v>0</v>
      </c>
      <c r="L7" s="82">
        <f>'■2017年度　社員給与詳細'!M13</f>
        <v>0</v>
      </c>
      <c r="M7" s="82">
        <f>'■2017年度　社員給与詳細'!N13</f>
        <v>0</v>
      </c>
      <c r="N7" s="82">
        <f>'■2017年度　社員給与詳細'!O13</f>
        <v>0</v>
      </c>
      <c r="O7" s="70">
        <f>SUM(C7:N7)</f>
        <v>0</v>
      </c>
      <c r="Q7" s="70">
        <f>'■2017年度　社員給与詳細'!Q13</f>
        <v>0</v>
      </c>
    </row>
    <row r="8" spans="1:17">
      <c r="B8">
        <f>'■2017年度　社員給与詳細'!A14</f>
        <v>0</v>
      </c>
      <c r="C8" s="82">
        <f>'■2017年度　社員給与詳細'!D32</f>
        <v>0</v>
      </c>
      <c r="D8" s="82">
        <f>'■2017年度　社員給与詳細'!E32</f>
        <v>0</v>
      </c>
      <c r="E8" s="82">
        <f>'■2017年度　社員給与詳細'!F32</f>
        <v>0</v>
      </c>
      <c r="F8" s="82">
        <f>'■2017年度　社員給与詳細'!G32</f>
        <v>0</v>
      </c>
      <c r="G8" s="82">
        <f>'■2017年度　社員給与詳細'!H32</f>
        <v>0</v>
      </c>
      <c r="H8" s="82">
        <f>'■2017年度　社員給与詳細'!I32</f>
        <v>0</v>
      </c>
      <c r="I8" s="82">
        <f>'■2017年度　社員給与詳細'!J32</f>
        <v>0</v>
      </c>
      <c r="J8" s="82">
        <f>'■2017年度　社員給与詳細'!K32</f>
        <v>0</v>
      </c>
      <c r="K8" s="82">
        <f>'■2017年度　社員給与詳細'!L32</f>
        <v>0</v>
      </c>
      <c r="L8" s="82">
        <f>'■2017年度　社員給与詳細'!M32</f>
        <v>0</v>
      </c>
      <c r="M8" s="82">
        <f>'■2017年度　社員給与詳細'!N32</f>
        <v>0</v>
      </c>
      <c r="N8" s="82">
        <f>'■2017年度　社員給与詳細'!O32</f>
        <v>0</v>
      </c>
      <c r="O8" s="70">
        <f>SUM(C8:N8)</f>
        <v>0</v>
      </c>
      <c r="Q8" s="70">
        <f>'■2017年度　社員給与詳細'!Q32</f>
        <v>0</v>
      </c>
    </row>
    <row r="9" spans="1:17"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70"/>
      <c r="Q9" s="70"/>
    </row>
    <row r="10" spans="1:17"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70"/>
      <c r="Q10" s="70"/>
    </row>
    <row r="11" spans="1:17">
      <c r="C11" s="102"/>
      <c r="D11" s="102"/>
      <c r="E11" s="102"/>
      <c r="F11" s="102"/>
      <c r="G11" s="102">
        <f>SUM(C12:G12)</f>
        <v>8</v>
      </c>
      <c r="H11" s="102"/>
      <c r="I11" s="102"/>
      <c r="J11" s="102"/>
      <c r="K11" s="102"/>
      <c r="L11" s="83"/>
      <c r="M11" s="83"/>
      <c r="N11" s="83"/>
      <c r="O11" s="69"/>
    </row>
    <row r="12" spans="1:17">
      <c r="A12" s="73" t="s">
        <v>63</v>
      </c>
      <c r="B12" s="74"/>
      <c r="C12" s="83">
        <v>1</v>
      </c>
      <c r="D12" s="83">
        <v>2</v>
      </c>
      <c r="E12" s="83">
        <v>2</v>
      </c>
      <c r="F12" s="83">
        <v>2</v>
      </c>
      <c r="G12" s="83">
        <v>1</v>
      </c>
      <c r="H12" s="83">
        <v>4</v>
      </c>
      <c r="I12" s="83">
        <v>2</v>
      </c>
      <c r="J12" s="83"/>
      <c r="K12" s="83"/>
      <c r="L12" s="83"/>
      <c r="M12" s="83"/>
      <c r="N12" s="83"/>
      <c r="O12" s="69"/>
    </row>
    <row r="13" spans="1:17" s="115" customFormat="1">
      <c r="A13"/>
      <c r="B13" s="123">
        <f>'■2017年度　社員給与詳細'!A33</f>
        <v>0</v>
      </c>
      <c r="C13" s="82">
        <f>'■2017年度　社員給与詳細'!D50</f>
        <v>0</v>
      </c>
      <c r="D13" s="82">
        <f>'■2017年度　社員給与詳細'!E50</f>
        <v>0</v>
      </c>
      <c r="E13" s="82">
        <f>'■2017年度　社員給与詳細'!F50</f>
        <v>0</v>
      </c>
      <c r="F13" s="82">
        <f>'■2017年度　社員給与詳細'!G50</f>
        <v>0</v>
      </c>
      <c r="G13" s="82">
        <f>'■2017年度　社員給与詳細'!H50</f>
        <v>0</v>
      </c>
      <c r="H13" s="82">
        <f>'■2017年度　社員給与詳細'!I50</f>
        <v>0</v>
      </c>
      <c r="I13" s="82">
        <f>'■2017年度　社員給与詳細'!J50</f>
        <v>0</v>
      </c>
      <c r="J13" s="82">
        <f>'■2017年度　社員給与詳細'!K50</f>
        <v>0</v>
      </c>
      <c r="K13" s="82">
        <f>'■2017年度　社員給与詳細'!L50</f>
        <v>0</v>
      </c>
      <c r="L13" s="82">
        <f>'■2017年度　社員給与詳細'!M50</f>
        <v>0</v>
      </c>
      <c r="M13" s="82">
        <f>'■2017年度　社員給与詳細'!N50</f>
        <v>0</v>
      </c>
      <c r="N13" s="82">
        <f>'■2017年度　社員給与詳細'!O50</f>
        <v>0</v>
      </c>
      <c r="O13" s="70">
        <f>SUM(C13:N13)</f>
        <v>0</v>
      </c>
    </row>
    <row r="14" spans="1:17" s="115" customFormat="1">
      <c r="A14"/>
      <c r="B14" s="123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70"/>
    </row>
    <row r="15" spans="1:17" s="115" customFormat="1">
      <c r="A15"/>
      <c r="B15" s="123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70"/>
    </row>
    <row r="16" spans="1:17" s="115" customFormat="1">
      <c r="A16" s="77" t="s">
        <v>72</v>
      </c>
      <c r="B16"/>
      <c r="C16" s="1">
        <f>C7</f>
        <v>0</v>
      </c>
      <c r="D16" s="1">
        <f>D7</f>
        <v>0</v>
      </c>
      <c r="E16" s="1">
        <f t="shared" ref="E16:M16" si="0">E7</f>
        <v>0</v>
      </c>
      <c r="F16" s="1">
        <f t="shared" si="0"/>
        <v>0</v>
      </c>
      <c r="G16" s="1">
        <f t="shared" si="0"/>
        <v>0</v>
      </c>
      <c r="H16" s="1">
        <f t="shared" si="0"/>
        <v>0</v>
      </c>
      <c r="I16" s="1">
        <f t="shared" si="0"/>
        <v>0</v>
      </c>
      <c r="J16" s="1">
        <f t="shared" si="0"/>
        <v>0</v>
      </c>
      <c r="K16" s="1">
        <f>K7</f>
        <v>0</v>
      </c>
      <c r="L16" s="1">
        <f t="shared" si="0"/>
        <v>0</v>
      </c>
      <c r="M16" s="1">
        <f t="shared" si="0"/>
        <v>0</v>
      </c>
      <c r="N16" s="1">
        <f>N7</f>
        <v>0</v>
      </c>
      <c r="O16" s="71">
        <f>SUM(C16:N16)</f>
        <v>0</v>
      </c>
    </row>
    <row r="17" spans="1:15" s="115" customFormat="1">
      <c r="A17" s="77" t="s">
        <v>65</v>
      </c>
      <c r="B17" s="77"/>
      <c r="C17" s="113">
        <f>SUM(C8)</f>
        <v>0</v>
      </c>
      <c r="D17" s="113">
        <f t="shared" ref="D17:N17" si="1">SUM(D8)</f>
        <v>0</v>
      </c>
      <c r="E17" s="113">
        <f t="shared" si="1"/>
        <v>0</v>
      </c>
      <c r="F17" s="113">
        <f t="shared" si="1"/>
        <v>0</v>
      </c>
      <c r="G17" s="113">
        <f t="shared" si="1"/>
        <v>0</v>
      </c>
      <c r="H17" s="113">
        <f t="shared" si="1"/>
        <v>0</v>
      </c>
      <c r="I17" s="113">
        <f t="shared" si="1"/>
        <v>0</v>
      </c>
      <c r="J17" s="113">
        <f t="shared" si="1"/>
        <v>0</v>
      </c>
      <c r="K17" s="113">
        <f t="shared" si="1"/>
        <v>0</v>
      </c>
      <c r="L17" s="113">
        <f t="shared" si="1"/>
        <v>0</v>
      </c>
      <c r="M17" s="113">
        <f t="shared" si="1"/>
        <v>0</v>
      </c>
      <c r="N17" s="113">
        <f t="shared" si="1"/>
        <v>0</v>
      </c>
      <c r="O17" s="71">
        <f>SUM(C17:N17)</f>
        <v>0</v>
      </c>
    </row>
    <row r="18" spans="1:15">
      <c r="A18" s="114" t="s">
        <v>66</v>
      </c>
      <c r="B18" s="77"/>
      <c r="C18" s="1">
        <f>SUM(C13)</f>
        <v>0</v>
      </c>
      <c r="D18" s="1">
        <f t="shared" ref="D18:N18" si="2">SUM(D13)</f>
        <v>0</v>
      </c>
      <c r="E18" s="1">
        <f t="shared" si="2"/>
        <v>0</v>
      </c>
      <c r="F18" s="1">
        <f t="shared" si="2"/>
        <v>0</v>
      </c>
      <c r="G18" s="1">
        <f t="shared" si="2"/>
        <v>0</v>
      </c>
      <c r="H18" s="1">
        <f t="shared" si="2"/>
        <v>0</v>
      </c>
      <c r="I18" s="1">
        <f t="shared" si="2"/>
        <v>0</v>
      </c>
      <c r="J18" s="1">
        <f t="shared" si="2"/>
        <v>0</v>
      </c>
      <c r="K18" s="1">
        <f t="shared" si="2"/>
        <v>0</v>
      </c>
      <c r="L18" s="1">
        <f t="shared" si="2"/>
        <v>0</v>
      </c>
      <c r="M18" s="1">
        <f t="shared" si="2"/>
        <v>0</v>
      </c>
      <c r="N18" s="1">
        <f t="shared" si="2"/>
        <v>0</v>
      </c>
      <c r="O18" s="71">
        <f>SUM(C18:N18)</f>
        <v>0</v>
      </c>
    </row>
    <row r="19" spans="1:15">
      <c r="A19" s="77" t="s">
        <v>67</v>
      </c>
      <c r="B19" s="77"/>
      <c r="C19" s="1">
        <f>SUM(C16:C18)</f>
        <v>0</v>
      </c>
      <c r="D19" s="1">
        <f t="shared" ref="D19:N19" si="3">SUM(D16:D18)</f>
        <v>0</v>
      </c>
      <c r="E19" s="1">
        <f t="shared" si="3"/>
        <v>0</v>
      </c>
      <c r="F19" s="1">
        <f t="shared" si="3"/>
        <v>0</v>
      </c>
      <c r="G19" s="1">
        <f t="shared" si="3"/>
        <v>0</v>
      </c>
      <c r="H19" s="1">
        <f t="shared" si="3"/>
        <v>0</v>
      </c>
      <c r="I19" s="1">
        <f>SUM(I16:I18)</f>
        <v>0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O19" s="71">
        <f>SUM(C19:N19)</f>
        <v>0</v>
      </c>
    </row>
    <row r="20" spans="1:15">
      <c r="B20" s="77"/>
    </row>
    <row r="22" spans="1:15">
      <c r="C22" t="s">
        <v>79</v>
      </c>
    </row>
    <row r="23" spans="1:15">
      <c r="C23" s="177" t="s">
        <v>73</v>
      </c>
      <c r="D23" s="177"/>
      <c r="E23" s="178" t="s">
        <v>74</v>
      </c>
      <c r="F23" s="178"/>
    </row>
    <row r="24" spans="1:15">
      <c r="B24" s="124" t="s">
        <v>75</v>
      </c>
      <c r="C24" s="100">
        <f>SUM(C17:G17)</f>
        <v>0</v>
      </c>
      <c r="D24" s="179">
        <f>SUM(C6:G6)</f>
        <v>30</v>
      </c>
      <c r="E24" s="100">
        <f>SUM(H17:N17)</f>
        <v>0</v>
      </c>
      <c r="F24" s="179">
        <f>SUM(H6:N6)</f>
        <v>45</v>
      </c>
    </row>
    <row r="25" spans="1:15" ht="14.25" thickBot="1">
      <c r="B25" s="125" t="s">
        <v>76</v>
      </c>
      <c r="C25" s="180">
        <f>SUM(C18:G18)</f>
        <v>0</v>
      </c>
      <c r="D25" s="181">
        <f>SUM(C12:G12)</f>
        <v>8</v>
      </c>
      <c r="E25" s="182">
        <f>SUM(H18:N18)</f>
        <v>0</v>
      </c>
      <c r="F25" s="179">
        <f>SUM(H12:N12)</f>
        <v>6</v>
      </c>
    </row>
    <row r="26" spans="1:15" ht="14.25" thickTop="1">
      <c r="B26" s="126" t="s">
        <v>77</v>
      </c>
      <c r="C26" s="183">
        <f>SUM(C24:C25)</f>
        <v>0</v>
      </c>
      <c r="D26" s="184">
        <f>SUM(D24:D25)</f>
        <v>38</v>
      </c>
      <c r="E26" s="100">
        <f>SUM(E24:E25)</f>
        <v>0</v>
      </c>
      <c r="F26" s="184">
        <f>SUM(F24:F25)</f>
        <v>51</v>
      </c>
    </row>
    <row r="27" spans="1:15">
      <c r="C27" s="180"/>
      <c r="D27" s="185"/>
      <c r="E27" s="180"/>
      <c r="F27" s="185"/>
    </row>
    <row r="28" spans="1:15">
      <c r="C28" s="103"/>
      <c r="F28" s="100"/>
    </row>
    <row r="29" spans="1:15">
      <c r="C29" s="103"/>
      <c r="F29" s="100"/>
    </row>
    <row r="30" spans="1:15">
      <c r="C30" s="103"/>
      <c r="F30" s="100"/>
    </row>
    <row r="47" ht="18" customHeight="1"/>
  </sheetData>
  <mergeCells count="3">
    <mergeCell ref="A4:B4"/>
    <mergeCell ref="E23:F23"/>
    <mergeCell ref="C23:D23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37"/>
  <sheetViews>
    <sheetView workbookViewId="0">
      <selection activeCell="C47" sqref="C47"/>
    </sheetView>
  </sheetViews>
  <sheetFormatPr defaultRowHeight="13.5"/>
  <cols>
    <col min="3" max="3" width="13.25" customWidth="1"/>
  </cols>
  <sheetData>
    <row r="1" spans="1:17">
      <c r="A1" s="129"/>
      <c r="B1" s="163" t="s">
        <v>12</v>
      </c>
      <c r="C1" s="106" t="s">
        <v>87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30"/>
      <c r="B2" s="161"/>
      <c r="C2" s="107" t="s">
        <v>89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19" si="0">SUM(D2:P2)</f>
        <v>0</v>
      </c>
    </row>
    <row r="3" spans="1:17">
      <c r="A3" s="130"/>
      <c r="B3" s="164"/>
      <c r="C3" s="108" t="s">
        <v>88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30"/>
      <c r="B4" s="164"/>
      <c r="C4" s="109" t="s">
        <v>90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30"/>
      <c r="B5" s="164"/>
      <c r="C5" s="109" t="s">
        <v>91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30"/>
      <c r="B6" s="164"/>
      <c r="C6" s="109" t="s">
        <v>92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>SUM(D6:P6)</f>
        <v>0</v>
      </c>
    </row>
    <row r="7" spans="1:17">
      <c r="A7" s="130"/>
      <c r="B7" s="164"/>
      <c r="C7" s="108" t="s">
        <v>93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30"/>
      <c r="B8" s="164"/>
      <c r="C8" s="110" t="s">
        <v>94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30"/>
      <c r="B9" s="164" t="s">
        <v>11</v>
      </c>
      <c r="C9" s="111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30"/>
      <c r="B10" s="164"/>
      <c r="C10" s="109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30"/>
      <c r="B11" s="164"/>
      <c r="C11" s="109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30"/>
      <c r="B12" s="164"/>
      <c r="C12" s="109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30"/>
      <c r="B13" s="164"/>
      <c r="C13" s="112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30"/>
      <c r="B14" s="164" t="s">
        <v>13</v>
      </c>
      <c r="C14" s="111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30"/>
      <c r="B15" s="164"/>
      <c r="C15" s="108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30"/>
      <c r="B16" s="164"/>
      <c r="C16" s="108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0"/>
      <c r="B17" s="164"/>
      <c r="C17" s="112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30"/>
      <c r="B18" s="145" t="s">
        <v>54</v>
      </c>
      <c r="C18" s="146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31"/>
      <c r="B19" s="136" t="s">
        <v>5</v>
      </c>
      <c r="C19" s="137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  <row r="20" spans="1:17">
      <c r="A20" s="138"/>
      <c r="B20" s="159" t="s">
        <v>12</v>
      </c>
      <c r="C20" s="106" t="s">
        <v>84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30"/>
      <c r="Q20" s="120">
        <f>SUM(D20:P20)</f>
        <v>0</v>
      </c>
    </row>
    <row r="21" spans="1:17">
      <c r="A21" s="139"/>
      <c r="B21" s="160"/>
      <c r="C21" s="107" t="s">
        <v>85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28"/>
      <c r="Q21" s="118">
        <f t="shared" ref="Q21:Q36" si="3">SUM(D21:P21)</f>
        <v>0</v>
      </c>
    </row>
    <row r="22" spans="1:17">
      <c r="A22" s="139"/>
      <c r="B22" s="160"/>
      <c r="C22" s="108" t="s">
        <v>86</v>
      </c>
      <c r="D22" s="91">
        <f t="shared" ref="D22:O22" si="4">D20*D21</f>
        <v>0</v>
      </c>
      <c r="E22" s="91">
        <f t="shared" si="4"/>
        <v>0</v>
      </c>
      <c r="F22" s="91">
        <f t="shared" si="4"/>
        <v>0</v>
      </c>
      <c r="G22" s="91">
        <f t="shared" si="4"/>
        <v>0</v>
      </c>
      <c r="H22" s="91">
        <f t="shared" si="4"/>
        <v>0</v>
      </c>
      <c r="I22" s="91">
        <f t="shared" si="4"/>
        <v>0</v>
      </c>
      <c r="J22" s="91">
        <f t="shared" si="4"/>
        <v>0</v>
      </c>
      <c r="K22" s="91">
        <f t="shared" si="4"/>
        <v>0</v>
      </c>
      <c r="L22" s="91">
        <f t="shared" si="4"/>
        <v>0</v>
      </c>
      <c r="M22" s="91">
        <f t="shared" si="4"/>
        <v>0</v>
      </c>
      <c r="N22" s="91">
        <f t="shared" si="4"/>
        <v>0</v>
      </c>
      <c r="O22" s="91">
        <f t="shared" si="4"/>
        <v>0</v>
      </c>
      <c r="P22" s="32"/>
      <c r="Q22" s="118">
        <f t="shared" si="3"/>
        <v>0</v>
      </c>
    </row>
    <row r="23" spans="1:17">
      <c r="A23" s="139"/>
      <c r="B23" s="160"/>
      <c r="C23" s="109" t="s">
        <v>9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32"/>
      <c r="Q23" s="118">
        <f t="shared" si="3"/>
        <v>0</v>
      </c>
    </row>
    <row r="24" spans="1:17">
      <c r="A24" s="139"/>
      <c r="B24" s="160"/>
      <c r="C24" s="109" t="s">
        <v>38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28"/>
      <c r="Q24" s="118">
        <f t="shared" si="3"/>
        <v>0</v>
      </c>
    </row>
    <row r="25" spans="1:17">
      <c r="A25" s="139"/>
      <c r="B25" s="160"/>
      <c r="C25" s="62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32"/>
      <c r="Q25" s="118">
        <f t="shared" si="3"/>
        <v>0</v>
      </c>
    </row>
    <row r="26" spans="1:17">
      <c r="A26" s="139"/>
      <c r="B26" s="161"/>
      <c r="C26" s="6" t="s">
        <v>42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33"/>
      <c r="Q26" s="121">
        <f t="shared" si="3"/>
        <v>0</v>
      </c>
    </row>
    <row r="27" spans="1:17">
      <c r="A27" s="139"/>
      <c r="B27" s="162" t="s">
        <v>11</v>
      </c>
      <c r="C27" s="5" t="s">
        <v>7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27"/>
      <c r="Q27" s="122">
        <f t="shared" si="3"/>
        <v>0</v>
      </c>
    </row>
    <row r="28" spans="1:17">
      <c r="A28" s="139"/>
      <c r="B28" s="160"/>
      <c r="C28" s="6" t="s">
        <v>4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32"/>
      <c r="Q28" s="118">
        <f t="shared" si="3"/>
        <v>0</v>
      </c>
    </row>
    <row r="29" spans="1:17">
      <c r="A29" s="139"/>
      <c r="B29" s="160"/>
      <c r="C29" s="6" t="s">
        <v>17</v>
      </c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32"/>
      <c r="Q29" s="118">
        <f t="shared" si="3"/>
        <v>0</v>
      </c>
    </row>
    <row r="30" spans="1:17">
      <c r="A30" s="139"/>
      <c r="B30" s="160"/>
      <c r="C30" s="6" t="s">
        <v>18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32"/>
      <c r="Q30" s="118">
        <f t="shared" si="3"/>
        <v>0</v>
      </c>
    </row>
    <row r="31" spans="1:17">
      <c r="A31" s="139"/>
      <c r="B31" s="160"/>
      <c r="C31" s="6" t="s">
        <v>60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32"/>
      <c r="Q31" s="121">
        <f t="shared" si="3"/>
        <v>0</v>
      </c>
    </row>
    <row r="32" spans="1:17">
      <c r="A32" s="139"/>
      <c r="B32" s="162" t="s">
        <v>13</v>
      </c>
      <c r="C32" s="5" t="s">
        <v>10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27"/>
      <c r="Q32" s="117">
        <f t="shared" si="3"/>
        <v>0</v>
      </c>
    </row>
    <row r="33" spans="1:17">
      <c r="A33" s="139"/>
      <c r="B33" s="160"/>
      <c r="C33" s="108" t="s">
        <v>55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28"/>
      <c r="Q33" s="118">
        <f t="shared" si="3"/>
        <v>0</v>
      </c>
    </row>
    <row r="34" spans="1:17">
      <c r="A34" s="139"/>
      <c r="B34" s="160"/>
      <c r="C34" s="8" t="s">
        <v>56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28"/>
      <c r="Q34" s="118">
        <f t="shared" si="3"/>
        <v>0</v>
      </c>
    </row>
    <row r="35" spans="1:17" ht="14.25" thickBot="1">
      <c r="A35" s="139"/>
      <c r="B35" s="161"/>
      <c r="C35" s="4" t="s">
        <v>61</v>
      </c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33"/>
      <c r="Q35" s="119">
        <f t="shared" si="3"/>
        <v>0</v>
      </c>
    </row>
    <row r="36" spans="1:17" ht="14.25" thickBot="1">
      <c r="A36" s="139"/>
      <c r="B36" s="145" t="s">
        <v>54</v>
      </c>
      <c r="C36" s="146"/>
      <c r="D36" s="56">
        <f>SUM(D22:D26)-SUM(D30:D31)</f>
        <v>0</v>
      </c>
      <c r="E36" s="56">
        <f t="shared" ref="E36:O36" si="5">SUM(E22:E26)-SUM(E30:E31)</f>
        <v>0</v>
      </c>
      <c r="F36" s="56">
        <f t="shared" si="5"/>
        <v>0</v>
      </c>
      <c r="G36" s="56">
        <f t="shared" si="5"/>
        <v>0</v>
      </c>
      <c r="H36" s="56">
        <f t="shared" si="5"/>
        <v>0</v>
      </c>
      <c r="I36" s="56">
        <f t="shared" si="5"/>
        <v>0</v>
      </c>
      <c r="J36" s="56">
        <f t="shared" si="5"/>
        <v>0</v>
      </c>
      <c r="K36" s="56">
        <f t="shared" si="5"/>
        <v>0</v>
      </c>
      <c r="L36" s="56">
        <f t="shared" si="5"/>
        <v>0</v>
      </c>
      <c r="M36" s="56">
        <f t="shared" si="5"/>
        <v>0</v>
      </c>
      <c r="N36" s="56">
        <f t="shared" si="5"/>
        <v>0</v>
      </c>
      <c r="O36" s="56">
        <f t="shared" si="5"/>
        <v>0</v>
      </c>
      <c r="P36" s="58">
        <f>SUM(P20:P26)-SUM(P30:P31)</f>
        <v>0</v>
      </c>
      <c r="Q36" s="116">
        <f t="shared" si="3"/>
        <v>0</v>
      </c>
    </row>
    <row r="37" spans="1:17" ht="14.25" thickBot="1">
      <c r="A37" s="140"/>
      <c r="B37" s="136" t="s">
        <v>5</v>
      </c>
      <c r="C37" s="137"/>
      <c r="D37" s="42">
        <f>SUM(D22:D26)-SUM(D27:D31)+SUM(D32:D35)</f>
        <v>0</v>
      </c>
      <c r="E37" s="42">
        <f t="shared" ref="E37:O37" si="6">SUM(E22:E26)-SUM(E27:E31)+SUM(E32:E35)</f>
        <v>0</v>
      </c>
      <c r="F37" s="42">
        <f t="shared" si="6"/>
        <v>0</v>
      </c>
      <c r="G37" s="42">
        <f t="shared" si="6"/>
        <v>0</v>
      </c>
      <c r="H37" s="42">
        <f t="shared" si="6"/>
        <v>0</v>
      </c>
      <c r="I37" s="42">
        <f t="shared" si="6"/>
        <v>0</v>
      </c>
      <c r="J37" s="42">
        <f t="shared" si="6"/>
        <v>0</v>
      </c>
      <c r="K37" s="42">
        <f t="shared" si="6"/>
        <v>0</v>
      </c>
      <c r="L37" s="42">
        <f t="shared" si="6"/>
        <v>0</v>
      </c>
      <c r="M37" s="42">
        <f t="shared" si="6"/>
        <v>0</v>
      </c>
      <c r="N37" s="42">
        <f t="shared" si="6"/>
        <v>0</v>
      </c>
      <c r="O37" s="42">
        <f t="shared" si="6"/>
        <v>0</v>
      </c>
      <c r="P37" s="44">
        <f>SUM(P20:P26)-SUM(P27:P31)+SUM(P32:P35)</f>
        <v>0</v>
      </c>
      <c r="Q37" s="46">
        <f>SUM(D37:P37)</f>
        <v>0</v>
      </c>
    </row>
  </sheetData>
  <mergeCells count="12">
    <mergeCell ref="A1:A19"/>
    <mergeCell ref="B1:B8"/>
    <mergeCell ref="B9:B13"/>
    <mergeCell ref="B14:B17"/>
    <mergeCell ref="B18:C18"/>
    <mergeCell ref="B19:C19"/>
    <mergeCell ref="A20:A37"/>
    <mergeCell ref="B20:B26"/>
    <mergeCell ref="B27:B31"/>
    <mergeCell ref="B32:B35"/>
    <mergeCell ref="B36:C36"/>
    <mergeCell ref="B37:C37"/>
  </mergeCells>
  <phoneticPr fontId="3"/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■2017年度　社員給与詳細 (雛形)</vt:lpstr>
      <vt:lpstr>■2017年度　社員給与詳細</vt:lpstr>
      <vt:lpstr>■振込額一覧</vt:lpstr>
      <vt:lpstr>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2017-07-18T10:10:20Z</dcterms:modified>
</cp:coreProperties>
</file>