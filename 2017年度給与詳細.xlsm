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1"/>
  </bookViews>
  <sheets>
    <sheet name="■2017年度　社員給与詳細 (雛形)" sheetId="9" r:id="rId1"/>
    <sheet name="■2017年度　社員給与詳細" sheetId="13" r:id="rId2"/>
    <sheet name="■振込額一覧" sheetId="6" r:id="rId3"/>
    <sheet name="EmployeeData" sheetId="12" r:id="rId4"/>
    <sheet name="PartData" sheetId="14" r:id="rId5"/>
  </sheets>
  <definedNames>
    <definedName name="_xlnm.Print_Area" localSheetId="1">'■2017年度　社員給与詳細'!$A$1:$P$41</definedName>
    <definedName name="_xlnm.Print_Area" localSheetId="0">'■2017年度　社員給与詳細 (雛形)'!$A$1:$P$60</definedName>
    <definedName name="_xlnm.Print_Titles" localSheetId="1">'■2017年度　社員給与詳細'!$1:$3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D17" i="6"/>
  <c r="E17"/>
  <c r="F17"/>
  <c r="G17"/>
  <c r="H17"/>
  <c r="I17"/>
  <c r="J17"/>
  <c r="K17"/>
  <c r="L17"/>
  <c r="M17"/>
  <c r="N17"/>
  <c r="C17"/>
  <c r="H44" i="13"/>
  <c r="D13"/>
  <c r="C7" i="6" s="1"/>
  <c r="D32" i="13"/>
  <c r="B7" i="6"/>
  <c r="B8"/>
  <c r="D44" i="13"/>
  <c r="F44"/>
  <c r="G44"/>
  <c r="I44"/>
  <c r="J44"/>
  <c r="K44"/>
  <c r="L44"/>
  <c r="M44"/>
  <c r="N44"/>
  <c r="O44"/>
  <c r="E44"/>
  <c r="D31"/>
  <c r="D36"/>
  <c r="D19" i="14"/>
  <c r="D18"/>
  <c r="Q6"/>
  <c r="Q7"/>
  <c r="Q5"/>
  <c r="P19"/>
  <c r="P18"/>
  <c r="N18"/>
  <c r="M18"/>
  <c r="J18"/>
  <c r="I18"/>
  <c r="F18"/>
  <c r="E18"/>
  <c r="Q17"/>
  <c r="Q16"/>
  <c r="Q15"/>
  <c r="Q14"/>
  <c r="Q13"/>
  <c r="Q12"/>
  <c r="Q11"/>
  <c r="Q10"/>
  <c r="Q9"/>
  <c r="Q8"/>
  <c r="Q4"/>
  <c r="O3"/>
  <c r="O18" s="1"/>
  <c r="N3"/>
  <c r="N19" s="1"/>
  <c r="M3"/>
  <c r="M19" s="1"/>
  <c r="L3"/>
  <c r="L18" s="1"/>
  <c r="K3"/>
  <c r="K19" s="1"/>
  <c r="J3"/>
  <c r="J19" s="1"/>
  <c r="I3"/>
  <c r="I19" s="1"/>
  <c r="H3"/>
  <c r="H18" s="1"/>
  <c r="G3"/>
  <c r="G19" s="1"/>
  <c r="F3"/>
  <c r="F19" s="1"/>
  <c r="E3"/>
  <c r="E19" s="1"/>
  <c r="D3"/>
  <c r="Q2"/>
  <c r="Q1"/>
  <c r="D33" i="13" l="1"/>
  <c r="F45"/>
  <c r="N45"/>
  <c r="H45"/>
  <c r="L45"/>
  <c r="M45"/>
  <c r="I45"/>
  <c r="E45"/>
  <c r="O45"/>
  <c r="K45"/>
  <c r="G45"/>
  <c r="J45"/>
  <c r="D45"/>
  <c r="D34"/>
  <c r="Q18" i="14"/>
  <c r="H19"/>
  <c r="L19"/>
  <c r="O19"/>
  <c r="G18"/>
  <c r="K18"/>
  <c r="Q3"/>
  <c r="Q19" l="1"/>
  <c r="D24" i="6" l="1"/>
  <c r="C24"/>
  <c r="F24"/>
  <c r="C8"/>
  <c r="C16" s="1"/>
  <c r="C6" l="1"/>
  <c r="G10"/>
  <c r="Q6" i="12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D18"/>
  <c r="Q17"/>
  <c r="Q16"/>
  <c r="Q15"/>
  <c r="Q14"/>
  <c r="Q13"/>
  <c r="Q12"/>
  <c r="Q11"/>
  <c r="Q10"/>
  <c r="Q9"/>
  <c r="Q8"/>
  <c r="Q7"/>
  <c r="Q5"/>
  <c r="Q4"/>
  <c r="Q3"/>
  <c r="Q2"/>
  <c r="Q1"/>
  <c r="E24" i="6" l="1"/>
  <c r="Q18" i="12"/>
  <c r="Q19"/>
  <c r="Q30" i="13" l="1"/>
  <c r="Q4"/>
  <c r="Q4" i="9"/>
  <c r="J41" i="13" l="1"/>
  <c r="J40"/>
  <c r="J39"/>
  <c r="J38"/>
  <c r="J37"/>
  <c r="J36"/>
  <c r="D41" l="1"/>
  <c r="E32"/>
  <c r="D63" i="9"/>
  <c r="D52"/>
  <c r="D8" i="6" l="1"/>
  <c r="D16" s="1"/>
  <c r="E41" i="13"/>
  <c r="F41"/>
  <c r="G41"/>
  <c r="H41"/>
  <c r="I41"/>
  <c r="K41"/>
  <c r="L41"/>
  <c r="M41"/>
  <c r="N41"/>
  <c r="O41"/>
  <c r="P41"/>
  <c r="Q41" s="1"/>
  <c r="E40"/>
  <c r="F40"/>
  <c r="G40"/>
  <c r="H40"/>
  <c r="I40"/>
  <c r="K40"/>
  <c r="L40"/>
  <c r="M40"/>
  <c r="N40"/>
  <c r="O40"/>
  <c r="P40"/>
  <c r="E39"/>
  <c r="F39"/>
  <c r="G39"/>
  <c r="H39"/>
  <c r="I39"/>
  <c r="K39"/>
  <c r="L39"/>
  <c r="M39"/>
  <c r="N39"/>
  <c r="O39"/>
  <c r="P39"/>
  <c r="E38"/>
  <c r="F38"/>
  <c r="G38"/>
  <c r="H38"/>
  <c r="I38"/>
  <c r="K38"/>
  <c r="L38"/>
  <c r="M38"/>
  <c r="N38"/>
  <c r="O38"/>
  <c r="P38"/>
  <c r="E37"/>
  <c r="F37"/>
  <c r="G37"/>
  <c r="H37"/>
  <c r="I37"/>
  <c r="K37"/>
  <c r="L37"/>
  <c r="M37"/>
  <c r="N37"/>
  <c r="O37"/>
  <c r="P37"/>
  <c r="E36"/>
  <c r="F36"/>
  <c r="G36"/>
  <c r="H36"/>
  <c r="I36"/>
  <c r="K36"/>
  <c r="L36"/>
  <c r="M36"/>
  <c r="N36"/>
  <c r="O36"/>
  <c r="P36"/>
  <c r="P34"/>
  <c r="Q34" s="1"/>
  <c r="D40"/>
  <c r="D39"/>
  <c r="D38"/>
  <c r="D37"/>
  <c r="P33"/>
  <c r="Q33" s="1"/>
  <c r="E33"/>
  <c r="F33"/>
  <c r="G33"/>
  <c r="H33"/>
  <c r="I33"/>
  <c r="K33"/>
  <c r="L33"/>
  <c r="M33"/>
  <c r="N33"/>
  <c r="O33"/>
  <c r="Q14"/>
  <c r="Q40" l="1"/>
  <c r="Q39"/>
  <c r="Q38"/>
  <c r="Q37"/>
  <c r="Q36"/>
  <c r="O34"/>
  <c r="N34"/>
  <c r="M34"/>
  <c r="L34"/>
  <c r="I34"/>
  <c r="H34"/>
  <c r="G34"/>
  <c r="E34"/>
  <c r="P32"/>
  <c r="P35" s="1"/>
  <c r="O32"/>
  <c r="N8" i="6" s="1"/>
  <c r="N16" s="1"/>
  <c r="N32" i="13"/>
  <c r="M8" i="6" s="1"/>
  <c r="M16" s="1"/>
  <c r="M32" i="13"/>
  <c r="L8" i="6" s="1"/>
  <c r="L16" s="1"/>
  <c r="L32" i="13"/>
  <c r="K8" i="6" s="1"/>
  <c r="K16" s="1"/>
  <c r="K32" i="13"/>
  <c r="J8" i="6" s="1"/>
  <c r="J16" s="1"/>
  <c r="J32" i="13"/>
  <c r="I8" i="6" s="1"/>
  <c r="I16" s="1"/>
  <c r="I32" i="13"/>
  <c r="H8" i="6" s="1"/>
  <c r="H16" s="1"/>
  <c r="H32" i="13"/>
  <c r="G8" i="6" s="1"/>
  <c r="G16" s="1"/>
  <c r="G32" i="13"/>
  <c r="F8" i="6" s="1"/>
  <c r="F16" s="1"/>
  <c r="F32" i="13"/>
  <c r="E8" i="6" s="1"/>
  <c r="E16" s="1"/>
  <c r="P31" i="13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7" i="6" s="1"/>
  <c r="N13" i="13"/>
  <c r="M7" i="6" s="1"/>
  <c r="M13" i="13"/>
  <c r="L7" i="6" s="1"/>
  <c r="L13" i="13"/>
  <c r="K7" i="6" s="1"/>
  <c r="K13" i="13"/>
  <c r="J7" i="6" s="1"/>
  <c r="J13" i="13"/>
  <c r="I7" i="6" s="1"/>
  <c r="I13" i="13"/>
  <c r="H7" i="6" s="1"/>
  <c r="H13" i="13"/>
  <c r="G7" i="6" s="1"/>
  <c r="G13" i="13"/>
  <c r="F7" i="6" s="1"/>
  <c r="F13" i="13"/>
  <c r="E7" i="6" s="1"/>
  <c r="E13" i="13"/>
  <c r="D7" i="6" s="1"/>
  <c r="D6" s="1"/>
  <c r="Q12" i="13"/>
  <c r="Q11"/>
  <c r="Q10"/>
  <c r="Q9"/>
  <c r="Q8"/>
  <c r="Q7"/>
  <c r="Q6"/>
  <c r="Q5"/>
  <c r="E6" i="6" l="1"/>
  <c r="I6"/>
  <c r="M6"/>
  <c r="F6"/>
  <c r="J6"/>
  <c r="N6"/>
  <c r="H6"/>
  <c r="G6"/>
  <c r="K6"/>
  <c r="L6"/>
  <c r="N15"/>
  <c r="D15"/>
  <c r="D18" s="1"/>
  <c r="K15"/>
  <c r="C15"/>
  <c r="D35" i="13"/>
  <c r="O8" i="6"/>
  <c r="F34" i="13"/>
  <c r="J33"/>
  <c r="J34"/>
  <c r="O35"/>
  <c r="Q32"/>
  <c r="Q8" i="6" s="1"/>
  <c r="K35" i="13"/>
  <c r="K34"/>
  <c r="I35"/>
  <c r="H35"/>
  <c r="G35"/>
  <c r="M35"/>
  <c r="L35"/>
  <c r="Q31"/>
  <c r="E35"/>
  <c r="Q13"/>
  <c r="Q7" i="6" s="1"/>
  <c r="F35" i="13"/>
  <c r="J35"/>
  <c r="N35"/>
  <c r="D23" i="6" l="1"/>
  <c r="D25" s="1"/>
  <c r="F23"/>
  <c r="F25" s="1"/>
  <c r="C23"/>
  <c r="C25" s="1"/>
  <c r="E23"/>
  <c r="E25" s="1"/>
  <c r="C18"/>
  <c r="O7"/>
  <c r="O16"/>
  <c r="Q35" i="13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5" i="6" l="1"/>
  <c r="J15" l="1"/>
  <c r="L15"/>
  <c r="I15"/>
  <c r="H15"/>
  <c r="F15"/>
  <c r="G15"/>
  <c r="E15"/>
  <c r="O15" l="1"/>
  <c r="O17"/>
  <c r="L18"/>
  <c r="I18" l="1"/>
  <c r="F18"/>
  <c r="K18"/>
  <c r="N18"/>
  <c r="J18"/>
  <c r="G18"/>
  <c r="E18"/>
  <c r="M18"/>
  <c r="H18" l="1"/>
  <c r="O18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<sst xmlns="http://schemas.openxmlformats.org/spreadsheetml/2006/main" count="257" uniqueCount="98">
  <si>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</si>
  <si>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</si>
  <si>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</si>
  <si>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</si>
  <si>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</si>
  <si>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</si>
  <si>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</si>
  <si>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</si>
  <si>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</si>
  <si>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</si>
  <si>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</si>
  <si>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</si>
  <si>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</si>
  <si>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</si>
  <si>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</si>
  <si>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</si>
  <si>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</si>
  <si>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</si>
  <si>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</si>
  <si>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</si>
  <si>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</si>
  <si>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</si>
  <si>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</si>
  <si>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</si>
  <si>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</si>
  <si>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</si>
  <si>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</si>
  <si>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</si>
  <si>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</si>
  <si>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</si>
  <si>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</si>
  <si>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</si>
  <si>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</si>
  <si>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</si>
  <si>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</si>
  <si>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</si>
  <si>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</si>
  <si>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</si>
  <si>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</si>
  <si>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</si>
  <si>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</si>
  <si>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</si>
  <si>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</si>
  <si>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</si>
  <si>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</si>
  <si>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</si>
  <si>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</si>
  <si>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</si>
  <si>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</si>
  <si>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</si>
  <si>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</si>
  <si>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</si>
  <si>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</si>
  <si>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</si>
  <si>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</si>
  <si>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</si>
  <si>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</si>
  <si>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</si>
  <si>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</si>
  <si>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</si>
  <si>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</si>
  <si>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</si>
  <si>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</si>
  <si>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</si>
  <si>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</si>
  <si>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</si>
  <si>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</si>
  <si>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</si>
  <si>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</si>
  <si>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</si>
  <si>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</si>
  <si>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</si>
  <si>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</si>
  <si>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</si>
  <si>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</si>
  <si>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</si>
  <si>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</si>
  <si>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</si>
  <si>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</si>
  <si>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</si>
  <si>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</si>
  <si>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</si>
  <si>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</si>
  <si>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</si>
  <si>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</si>
  <si>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</si>
  <si>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</si>
  <si>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</si>
  <si>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</si>
  <si>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</si>
  <si>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</si>
  <si>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</si>
  <si>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</si>
  <si>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</si>
  <si>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</si>
  <si>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 xml:space="preserve">支給 </t>
    <rPh sb="0" eb="2">
      <t>シキュウ</t>
    </rPh>
    <phoneticPr fontId="3"/>
  </si>
  <si>
    <t>金田</t>
    <rPh sb="0" eb="2">
      <t>カネダ</t>
    </rPh>
    <phoneticPr fontId="3"/>
  </si>
  <si>
    <t>上代</t>
    <rPh sb="0" eb="2">
      <t>カミシロ</t>
    </rPh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</si>
</sst>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671F8"/>
        <bgColor indexed="64"/>
      </patternFill>
    </fill>
    <fill>
      <patternFill patternType="solid">
        <fgColor theme="7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92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 applyFill="1"/>
    <xf numFmtId="0" fontId="0" fillId="13" borderId="8" xfId="0" applyFill="1" applyBorder="1" applyAlignment="1">
      <alignment horizontal="center" vertical="center"/>
    </xf>
    <xf numFmtId="14" fontId="4" fillId="0" borderId="0" xfId="0" applyNumberFormat="1" applyFont="1" applyFill="1"/>
    <xf numFmtId="0" fontId="5" fillId="14" borderId="0" xfId="0" applyFont="1" applyFill="1"/>
    <xf numFmtId="0" fontId="2" fillId="14" borderId="0" xfId="0" applyFont="1" applyFill="1"/>
    <xf numFmtId="0" fontId="2" fillId="14" borderId="0" xfId="0" applyFont="1" applyFill="1" applyAlignment="1">
      <alignment horizontal="center"/>
    </xf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0" fontId="0" fillId="0" borderId="0" xfId="0" applyNumberFormat="1" applyBorder="1"/>
    <xf numFmtId="0" fontId="13" fillId="14" borderId="0" xfId="0" applyFont="1" applyFill="1"/>
    <xf numFmtId="0" fontId="14" fillId="14" borderId="0" xfId="0" applyFont="1" applyFill="1"/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 vertical="center"/>
    </xf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0" fillId="12" borderId="49" xfId="0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" fillId="13" borderId="30" xfId="0" applyFont="1" applyFill="1" applyBorder="1" applyAlignment="1">
      <alignment horizontal="center" vertical="center"/>
    </xf>
    <xf numFmtId="0" fontId="2" fillId="13" borderId="61" xfId="0" applyFont="1" applyFill="1" applyBorder="1" applyAlignment="1">
      <alignment horizontal="center" vertical="center"/>
    </xf>
    <xf numFmtId="0" fontId="2" fillId="13" borderId="62" xfId="0" applyFont="1" applyFill="1" applyBorder="1" applyAlignment="1">
      <alignment horizontal="center" vertical="center"/>
    </xf>
    <xf numFmtId="0" fontId="2" fillId="13" borderId="24" xfId="0" applyFont="1" applyFill="1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" fillId="13" borderId="40" xfId="0" applyFont="1" applyFill="1" applyBorder="1" applyAlignment="1">
      <alignment horizontal="center" vertical="center"/>
    </xf>
    <xf numFmtId="0" fontId="2" fillId="6" borderId="67" xfId="0" applyFont="1" applyFill="1" applyBorder="1" applyAlignment="1">
      <alignment horizontal="center"/>
    </xf>
    <xf numFmtId="0" fontId="2" fillId="6" borderId="68" xfId="0" applyFont="1" applyFill="1" applyBorder="1" applyAlignment="1">
      <alignment horizontal="center"/>
    </xf>
    <xf numFmtId="0" fontId="2" fillId="6" borderId="69" xfId="0" applyFont="1" applyFill="1" applyBorder="1" applyAlignment="1">
      <alignment horizontal="center"/>
    </xf>
    <xf numFmtId="0" fontId="2" fillId="6" borderId="70" xfId="0" applyFont="1" applyFill="1" applyBorder="1" applyAlignment="1">
      <alignment horizontal="center"/>
    </xf>
    <xf numFmtId="0" fontId="2" fillId="6" borderId="71" xfId="0" applyFont="1" applyFill="1" applyBorder="1" applyAlignment="1">
      <alignment horizontal="center"/>
    </xf>
    <xf numFmtId="0" fontId="2" fillId="6" borderId="72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2" fillId="12" borderId="8" xfId="0" applyFont="1" applyFill="1" applyBorder="1" applyAlignment="1">
      <alignment horizontal="center" vertical="center"/>
    </xf>
    <xf numFmtId="0" fontId="2" fillId="12" borderId="30" xfId="0" applyFont="1" applyFill="1" applyBorder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colors>
    <mruColors>
      <color rgb="FF5671F8"/>
      <color rgb="FF4E8FF8"/>
      <color rgb="FF76BBFA"/>
      <color rgb="FF000066"/>
      <color rgb="FF0827C4"/>
      <color rgb="FFC1E3FF"/>
      <color rgb="FF9ACBF8"/>
      <color rgb="FF6FDFF5"/>
      <color rgb="FFF7FAF4"/>
      <color rgb="FFF2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76249</xdr:colOff>
      <xdr:row>0</xdr:row>
      <xdr:rowOff>931333</xdr:rowOff>
    </xdr:from>
    <xdr:ext cx="1003251" cy="456331"/>
    <xdr:sp macro="[0]!employeeAddButton" textlink="">
      <xdr:nvSpPr>
        <xdr:cNvPr id="2" name="角丸四角形 1"/>
        <xdr:cNvSpPr/>
      </xdr:nvSpPr>
      <xdr:spPr bwMode="auto">
        <a:xfrm>
          <a:off x="2965499" y="931333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社員追加</a:t>
          </a:r>
        </a:p>
      </xdr:txBody>
    </xdr:sp>
    <xdr:clientData/>
  </xdr:oneCellAnchor>
  <xdr:oneCellAnchor>
    <xdr:from>
      <xdr:col>4</xdr:col>
      <xdr:colOff>228652</xdr:colOff>
      <xdr:row>0</xdr:row>
      <xdr:rowOff>935564</xdr:rowOff>
    </xdr:from>
    <xdr:ext cx="1003251" cy="456331"/>
    <xdr:sp macro="[0]!employeeDeleteButton" textlink="">
      <xdr:nvSpPr>
        <xdr:cNvPr id="3" name="角丸四角形 2"/>
        <xdr:cNvSpPr/>
      </xdr:nvSpPr>
      <xdr:spPr bwMode="auto">
        <a:xfrm>
          <a:off x="4017485" y="935564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社員削除</a:t>
          </a:r>
        </a:p>
      </xdr:txBody>
    </xdr:sp>
    <xdr:clientData/>
  </xdr:oneCellAnchor>
  <xdr:oneCellAnchor>
    <xdr:from>
      <xdr:col>6</xdr:col>
      <xdr:colOff>565199</xdr:colOff>
      <xdr:row>0</xdr:row>
      <xdr:rowOff>944032</xdr:rowOff>
    </xdr:from>
    <xdr:ext cx="1003251" cy="456331"/>
    <xdr:sp macro="[0]!partTimeDeleteButton" textlink="">
      <xdr:nvSpPr>
        <xdr:cNvPr id="5" name="角丸四角形 4"/>
        <xdr:cNvSpPr/>
      </xdr:nvSpPr>
      <xdr:spPr bwMode="auto">
        <a:xfrm>
          <a:off x="6153199" y="94403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バイト削除</a:t>
          </a:r>
        </a:p>
      </xdr:txBody>
    </xdr:sp>
    <xdr:clientData/>
  </xdr:oneCellAnchor>
  <xdr:oneCellAnchor>
    <xdr:from>
      <xdr:col>5</xdr:col>
      <xdr:colOff>389516</xdr:colOff>
      <xdr:row>0</xdr:row>
      <xdr:rowOff>937682</xdr:rowOff>
    </xdr:from>
    <xdr:ext cx="1003251" cy="456331"/>
    <xdr:sp macro="[0]!partTimeAddButton" textlink="">
      <xdr:nvSpPr>
        <xdr:cNvPr id="6" name="角丸四角形 5"/>
        <xdr:cNvSpPr/>
      </xdr:nvSpPr>
      <xdr:spPr bwMode="auto">
        <a:xfrm>
          <a:off x="5077933" y="93768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バイト追加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M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40" t="s">
        <v>1</v>
      </c>
      <c r="C3" s="141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42" t="s">
        <v>83</v>
      </c>
      <c r="B4" s="103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43"/>
      <c r="B5" s="145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2" si="0">SUM(D5:P5)</f>
        <v>0</v>
      </c>
    </row>
    <row r="6" spans="1:17">
      <c r="A6" s="143"/>
      <c r="B6" s="145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43"/>
      <c r="B7" s="145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43"/>
      <c r="B8" s="145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43"/>
      <c r="B9" s="145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43"/>
      <c r="B10" s="146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43"/>
      <c r="B11" s="147"/>
      <c r="C11" s="97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43"/>
      <c r="B12" s="148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44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42"/>
      <c r="B14" s="160" t="s">
        <v>12</v>
      </c>
      <c r="C14" s="7" t="s">
        <v>8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 t="shared" si="0"/>
        <v>0</v>
      </c>
    </row>
    <row r="15" spans="1:17">
      <c r="A15" s="143"/>
      <c r="B15" s="156"/>
      <c r="C15" s="3" t="s">
        <v>14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43"/>
      <c r="B16" s="145"/>
      <c r="C16" s="8" t="s">
        <v>9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43"/>
      <c r="B17" s="145"/>
      <c r="C17" s="6" t="s">
        <v>52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43"/>
      <c r="B18" s="145"/>
      <c r="C18" s="6" t="s">
        <v>16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43"/>
      <c r="B19" s="145"/>
      <c r="C19" s="6" t="s">
        <v>38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43"/>
      <c r="B20" s="145"/>
      <c r="C20" s="8" t="s">
        <v>15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43"/>
      <c r="B21" s="145"/>
      <c r="C21" s="15" t="s">
        <v>42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43"/>
      <c r="B22" s="145" t="s">
        <v>11</v>
      </c>
      <c r="C22" s="5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43"/>
      <c r="B23" s="145"/>
      <c r="C23" s="6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43"/>
      <c r="B24" s="145"/>
      <c r="C24" s="6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43"/>
      <c r="B25" s="145"/>
      <c r="C25" s="6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43"/>
      <c r="B26" s="145"/>
      <c r="C26" s="4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43"/>
      <c r="B27" s="145" t="s">
        <v>13</v>
      </c>
      <c r="C27" s="5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43"/>
      <c r="B28" s="145"/>
      <c r="C28" s="8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43"/>
      <c r="B29" s="145"/>
      <c r="C29" s="8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43"/>
      <c r="B30" s="145"/>
      <c r="C30" s="61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 t="shared" si="0"/>
        <v>0</v>
      </c>
    </row>
    <row r="31" spans="1:17">
      <c r="A31" s="143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44"/>
      <c r="B32" s="149" t="s">
        <v>5</v>
      </c>
      <c r="C32" s="150"/>
      <c r="D32" s="42">
        <f t="shared" ref="D32:O32" si="3">SUM(D14:D21)-SUM(D22:D26)+SUM(D27:D30)</f>
        <v>0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51"/>
      <c r="B33" s="154" t="s">
        <v>12</v>
      </c>
      <c r="C33" s="104" t="s">
        <v>84</v>
      </c>
      <c r="D33" s="85">
        <v>950</v>
      </c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30"/>
      <c r="Q33" s="19">
        <f t="shared" ref="Q33:Q51" si="4">SUM(D33:P33)</f>
        <v>950</v>
      </c>
    </row>
    <row r="34" spans="1:17">
      <c r="A34" s="152"/>
      <c r="B34" s="155"/>
      <c r="C34" s="105" t="s">
        <v>85</v>
      </c>
      <c r="D34" s="95">
        <v>10</v>
      </c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28"/>
      <c r="Q34" s="20">
        <f t="shared" si="4"/>
        <v>10</v>
      </c>
    </row>
    <row r="35" spans="1:17">
      <c r="A35" s="152"/>
      <c r="B35" s="155"/>
      <c r="C35" s="106" t="s">
        <v>86</v>
      </c>
      <c r="D35" s="89">
        <f>D33*D34</f>
        <v>9500</v>
      </c>
      <c r="E35" s="89">
        <f>E33*E34</f>
        <v>0</v>
      </c>
      <c r="F35" s="89">
        <f>F33*F34</f>
        <v>0</v>
      </c>
      <c r="G35" s="89">
        <f>G33*G34</f>
        <v>0</v>
      </c>
      <c r="H35" s="89">
        <f>H33*H34</f>
        <v>0</v>
      </c>
      <c r="I35" s="89">
        <f t="shared" ref="I35:O35" si="5">I33*I34</f>
        <v>0</v>
      </c>
      <c r="J35" s="89">
        <f t="shared" si="5"/>
        <v>0</v>
      </c>
      <c r="K35" s="89">
        <f t="shared" si="5"/>
        <v>0</v>
      </c>
      <c r="L35" s="89">
        <f t="shared" si="5"/>
        <v>0</v>
      </c>
      <c r="M35" s="89">
        <f t="shared" si="5"/>
        <v>0</v>
      </c>
      <c r="N35" s="89">
        <f t="shared" si="5"/>
        <v>0</v>
      </c>
      <c r="O35" s="89">
        <f t="shared" si="5"/>
        <v>0</v>
      </c>
      <c r="P35" s="32"/>
      <c r="Q35" s="20">
        <f t="shared" si="4"/>
        <v>9500</v>
      </c>
    </row>
    <row r="36" spans="1:17">
      <c r="A36" s="152"/>
      <c r="B36" s="155"/>
      <c r="C36" s="107" t="s">
        <v>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32"/>
      <c r="Q36" s="20">
        <f t="shared" si="4"/>
        <v>0</v>
      </c>
    </row>
    <row r="37" spans="1:17">
      <c r="A37" s="152"/>
      <c r="B37" s="155"/>
      <c r="C37" s="107" t="s">
        <v>38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28"/>
      <c r="Q37" s="20">
        <f t="shared" si="4"/>
        <v>0</v>
      </c>
    </row>
    <row r="38" spans="1:17">
      <c r="A38" s="152"/>
      <c r="B38" s="155"/>
      <c r="C38" s="62" t="s">
        <v>38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32"/>
      <c r="Q38" s="20">
        <f t="shared" si="4"/>
        <v>0</v>
      </c>
    </row>
    <row r="39" spans="1:17">
      <c r="A39" s="152"/>
      <c r="B39" s="155"/>
      <c r="C39" s="63" t="s">
        <v>15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32"/>
      <c r="Q39" s="20">
        <f t="shared" si="4"/>
        <v>0</v>
      </c>
    </row>
    <row r="40" spans="1:17">
      <c r="A40" s="152"/>
      <c r="B40" s="156"/>
      <c r="C40" s="6" t="s">
        <v>42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33"/>
      <c r="Q40" s="22">
        <f t="shared" si="4"/>
        <v>0</v>
      </c>
    </row>
    <row r="41" spans="1:17">
      <c r="A41" s="152"/>
      <c r="B41" s="157" t="s">
        <v>11</v>
      </c>
      <c r="C41" s="5" t="s">
        <v>7</v>
      </c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27"/>
      <c r="Q41" s="21">
        <f t="shared" si="4"/>
        <v>0</v>
      </c>
    </row>
    <row r="42" spans="1:17">
      <c r="A42" s="152"/>
      <c r="B42" s="155"/>
      <c r="C42" s="6" t="s">
        <v>4</v>
      </c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32"/>
      <c r="Q42" s="20">
        <f t="shared" si="4"/>
        <v>0</v>
      </c>
    </row>
    <row r="43" spans="1:17">
      <c r="A43" s="152"/>
      <c r="B43" s="155"/>
      <c r="C43" s="6" t="s">
        <v>17</v>
      </c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32"/>
      <c r="Q43" s="20">
        <f t="shared" si="4"/>
        <v>0</v>
      </c>
    </row>
    <row r="44" spans="1:17">
      <c r="A44" s="152"/>
      <c r="B44" s="155"/>
      <c r="C44" s="6" t="s">
        <v>18</v>
      </c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32"/>
      <c r="Q44" s="20">
        <f t="shared" si="4"/>
        <v>0</v>
      </c>
    </row>
    <row r="45" spans="1:17">
      <c r="A45" s="152"/>
      <c r="B45" s="155"/>
      <c r="C45" s="6" t="s">
        <v>60</v>
      </c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32"/>
      <c r="Q45" s="20">
        <f t="shared" si="4"/>
        <v>0</v>
      </c>
    </row>
    <row r="46" spans="1:17">
      <c r="A46" s="152"/>
      <c r="B46" s="157" t="s">
        <v>13</v>
      </c>
      <c r="C46" s="5" t="s">
        <v>10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27"/>
      <c r="Q46" s="21">
        <f t="shared" si="4"/>
        <v>0</v>
      </c>
    </row>
    <row r="47" spans="1:17">
      <c r="A47" s="152"/>
      <c r="B47" s="155"/>
      <c r="C47" s="8" t="s">
        <v>55</v>
      </c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28"/>
      <c r="Q47" s="20">
        <f t="shared" si="4"/>
        <v>0</v>
      </c>
    </row>
    <row r="48" spans="1:17">
      <c r="A48" s="152"/>
      <c r="B48" s="155"/>
      <c r="C48" s="8" t="s">
        <v>56</v>
      </c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28"/>
      <c r="Q48" s="20">
        <f t="shared" si="4"/>
        <v>0</v>
      </c>
    </row>
    <row r="49" spans="1:18">
      <c r="A49" s="152"/>
      <c r="B49" s="156"/>
      <c r="C49" s="4" t="s">
        <v>61</v>
      </c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33"/>
      <c r="Q49" s="22">
        <f t="shared" si="4"/>
        <v>0</v>
      </c>
    </row>
    <row r="50" spans="1:18">
      <c r="A50" s="152"/>
      <c r="B50" s="158" t="s">
        <v>54</v>
      </c>
      <c r="C50" s="159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53"/>
      <c r="B51" s="149" t="s">
        <v>5</v>
      </c>
      <c r="C51" s="150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65" t="s">
        <v>40</v>
      </c>
      <c r="B52" s="166"/>
      <c r="C52" s="166"/>
      <c r="D52" s="47">
        <f>D4+SUM(D14:D21)+SUM(D127:D132)</f>
        <v>0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67" t="s">
        <v>41</v>
      </c>
      <c r="B53" s="168"/>
      <c r="C53" s="169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67" t="s">
        <v>31</v>
      </c>
      <c r="B54" s="168"/>
      <c r="C54" s="169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61" t="s">
        <v>20</v>
      </c>
      <c r="B55" s="162"/>
      <c r="C55" s="162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61" t="s">
        <v>43</v>
      </c>
      <c r="B56" s="162"/>
      <c r="C56" s="162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61" t="s">
        <v>53</v>
      </c>
      <c r="B57" s="162"/>
      <c r="C57" s="162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61" t="s">
        <v>22</v>
      </c>
      <c r="B58" s="162"/>
      <c r="C58" s="162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61" t="s">
        <v>21</v>
      </c>
      <c r="B59" s="162"/>
      <c r="C59" s="162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63" t="s">
        <v>57</v>
      </c>
      <c r="B60" s="164"/>
      <c r="C60" s="164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02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02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tabColor rgb="FF76BBFA"/>
  </sheetPr>
  <dimension ref="A1:Q46"/>
  <sheetViews>
    <sheetView tabSelected="1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6" sqref="F26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s="125" customFormat="1" ht="117" customHeight="1">
      <c r="A1" s="128" t="s">
        <v>78</v>
      </c>
      <c r="B1" s="129"/>
      <c r="C1" s="130"/>
      <c r="D1" s="34"/>
      <c r="E1" s="34"/>
      <c r="F1" s="34"/>
      <c r="G1" s="80"/>
      <c r="H1" s="34"/>
      <c r="I1" s="34"/>
      <c r="J1" s="34"/>
      <c r="K1" s="34"/>
      <c r="L1" s="127"/>
      <c r="M1" s="34"/>
      <c r="N1" s="34"/>
      <c r="O1" s="34"/>
      <c r="P1" s="34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40" t="s">
        <v>1</v>
      </c>
      <c r="C3" s="141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74" t="s">
        <v>97</v>
      </c>
      <c r="B4" s="126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43"/>
      <c r="B5" s="175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1" si="0">SUM(D5:P5)</f>
        <v>0</v>
      </c>
    </row>
    <row r="6" spans="1:17">
      <c r="A6" s="143"/>
      <c r="B6" s="175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43"/>
      <c r="B7" s="175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43"/>
      <c r="B8" s="175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43"/>
      <c r="B9" s="175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43"/>
      <c r="B10" s="176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43"/>
      <c r="B11" s="177"/>
      <c r="C11" s="108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43"/>
      <c r="B12" s="178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44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74" t="s">
        <v>96</v>
      </c>
      <c r="B14" s="179" t="s">
        <v>12</v>
      </c>
      <c r="C14" s="104" t="s">
        <v>87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>SUM(D14:P14)</f>
        <v>0</v>
      </c>
    </row>
    <row r="15" spans="1:17">
      <c r="A15" s="143"/>
      <c r="B15" s="180"/>
      <c r="C15" s="105" t="s">
        <v>89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43"/>
      <c r="B16" s="175"/>
      <c r="C16" s="106" t="s">
        <v>88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43"/>
      <c r="B17" s="175"/>
      <c r="C17" s="107" t="s">
        <v>90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43"/>
      <c r="B18" s="175"/>
      <c r="C18" s="107" t="s">
        <v>91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43"/>
      <c r="B19" s="175"/>
      <c r="C19" s="107" t="s">
        <v>92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43"/>
      <c r="B20" s="175"/>
      <c r="C20" s="106" t="s">
        <v>93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43"/>
      <c r="B21" s="175"/>
      <c r="C21" s="108" t="s">
        <v>94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43"/>
      <c r="B22" s="175" t="s">
        <v>11</v>
      </c>
      <c r="C22" s="109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43"/>
      <c r="B23" s="175"/>
      <c r="C23" s="107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43"/>
      <c r="B24" s="175"/>
      <c r="C24" s="107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43"/>
      <c r="B25" s="175"/>
      <c r="C25" s="107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43"/>
      <c r="B26" s="175"/>
      <c r="C26" s="110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43"/>
      <c r="B27" s="175" t="s">
        <v>13</v>
      </c>
      <c r="C27" s="109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43"/>
      <c r="B28" s="175"/>
      <c r="C28" s="106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43"/>
      <c r="B29" s="175"/>
      <c r="C29" s="106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43"/>
      <c r="B30" s="175"/>
      <c r="C30" s="110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>SUM(D30:P30)</f>
        <v>0</v>
      </c>
    </row>
    <row r="31" spans="1:17">
      <c r="A31" s="143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44"/>
      <c r="B32" s="149" t="s">
        <v>5</v>
      </c>
      <c r="C32" s="150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84" t="s">
        <v>40</v>
      </c>
      <c r="B33" s="185"/>
      <c r="C33" s="186"/>
      <c r="D33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33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33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33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33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33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33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33" s="47">
        <f ca="1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33" s="47">
        <f ca="1">SUMIF($C:$C,"役員手当",L:L)
+SUMIF($C:$C,"基本給",L:L)
+SUMIF($C:$C,"役職手当",L:L)
+SUMIF($C:$C,"営業手当",L:L)
+SUMIF($C:$C,"管理手当",L:L)
+SUMIF($C:$C,"在宅手当",L:L)
+SUMIF($C:$C,"特別手当",L:L)
+SUMIF($C:$C,"扶養家族手当",L:L)
+SUMIF($C:$C,"調整金",L:L)
+SUMIF($C:$C,"特別手当",INDEX(L:L,2,1))</f>
        <v>0</v>
      </c>
      <c r="M33" s="47">
        <f ca="1">SUMIF($C:$C,"役員手当",M:M)
+SUMIF($C:$C,"基本給",M:M)
+SUMIF($C:$C,"役職手当",M:M)
+SUMIF($C:$C,"営業手当",M:M)
+SUMIF($C:$C,"管理手当",M:M)
+SUMIF($C:$C,"在宅手当",M:M)
+SUMIF($C:$C,"特別手当",M:M)
+SUMIF($C:$C,"扶養家族手当",M:M)
+SUMIF($C:$C,"調整金",M:M)
+SUMIF($C:$C,"特別手当",INDEX(M:M,2,1))</f>
        <v>0</v>
      </c>
      <c r="N33" s="47">
        <f ca="1">SUMIF($C:$C,"役員手当",N:N)
+SUMIF($C:$C,"基本給",N:N)
+SUMIF($C:$C,"役職手当",N:N)
+SUMIF($C:$C,"営業手当",N:N)
+SUMIF($C:$C,"管理手当",N:N)
+SUMIF($C:$C,"在宅手当",N:N)
+SUMIF($C:$C,"特別手当",N:N)
+SUMIF($C:$C,"扶養家族手当",N:N)
+SUMIF($C:$C,"調整金",N:N)
+SUMIF($C:$C,"特別手当",INDEX(N:N,2,1))</f>
        <v>0</v>
      </c>
      <c r="O33" s="47">
        <f ca="1">SUMIF($C:$C,"役員手当",O:O)
+SUMIF($C:$C,"基本給",O:O)
+SUMIF($C:$C,"役職手当",O:O)
+SUMIF($C:$C,"営業手当",O:O)
+SUMIF($C:$C,"管理手当",O:O)
+SUMIF($C:$C,"在宅手当",O:O)
+SUMIF($C:$C,"特別手当",O:O)
+SUMIF($C:$C,"扶養家族手当",O:O)
+SUMIF($C:$C,"調整金",O:O)
+SUMIF($C:$C,"特別手当",INDEX(O:O,2,1))</f>
        <v>0</v>
      </c>
      <c r="P33" s="47">
        <f ca="1">SUMIF($C:$C,"役員手当",P:P)
+SUMIF($C:$C,"基本給",P:P)
+SUMIF($C:$C,"役職手当",P:P)
+SUMIF($C:$C,"営業手当",P:P)
+SUMIF($C:$C,"管理手当",P:P)
+SUMIF($C:$C,"在宅手当",P:P)
+SUMIF($C:$C,"特別手当",P:P)
+SUMIF($C:$C,"扶養家族手当",P:P)
+SUMIF($C:$C,"調整金",P:P)
+SUMIF($C:$C,"特別手当",INDEX(P:P,2,1))</f>
        <v>0</v>
      </c>
      <c r="Q33" s="49">
        <f ca="1">SUM(P33:P33)</f>
        <v>0</v>
      </c>
    </row>
    <row r="34" spans="1:17">
      <c r="A34" s="167" t="s">
        <v>41</v>
      </c>
      <c r="B34" s="168"/>
      <c r="C34" s="169"/>
      <c r="D34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34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34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34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34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34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34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34" s="50">
        <f ca="1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34" s="50">
        <f ca="1">SUMIF($C:$C,"基本給",L:L)
+SUMIF($C:$C,"役職手当",L:L)
+SUMIF($C:$C,"営業手当",L:L)
+SUMIF($C:$C,"管理手当",L:L)
+SUMIF($C:$C,"在宅手当",L:L)
+SUMIF($C:$C,"特別手当",L:L)
+SUMIF($C:$C,"扶養家族手当",L:L)
+SUMIF($C:$C,"調整金",L:L)
+SUMIF($C:$C,"小計",L:L)
+SUMIF($C:$C,"特別手当",INDEX(L:L,2,1))</f>
        <v>0</v>
      </c>
      <c r="M34" s="50">
        <f ca="1">SUMIF($C:$C,"基本給",M:M)
+SUMIF($C:$C,"役職手当",M:M)
+SUMIF($C:$C,"営業手当",M:M)
+SUMIF($C:$C,"管理手当",M:M)
+SUMIF($C:$C,"在宅手当",M:M)
+SUMIF($C:$C,"特別手当",M:M)
+SUMIF($C:$C,"扶養家族手当",M:M)
+SUMIF($C:$C,"調整金",M:M)
+SUMIF($C:$C,"小計",M:M)
+SUMIF($C:$C,"特別手当",INDEX(M:M,2,1))</f>
        <v>0</v>
      </c>
      <c r="N34" s="50">
        <f ca="1">SUMIF($C:$C,"基本給",N:N)
+SUMIF($C:$C,"役職手当",N:N)
+SUMIF($C:$C,"営業手当",N:N)
+SUMIF($C:$C,"管理手当",N:N)
+SUMIF($C:$C,"在宅手当",N:N)
+SUMIF($C:$C,"特別手当",N:N)
+SUMIF($C:$C,"扶養家族手当",N:N)
+SUMIF($C:$C,"調整金",N:N)
+SUMIF($C:$C,"小計",N:N)
+SUMIF($C:$C,"特別手当",INDEX(N:N,2,1))</f>
        <v>0</v>
      </c>
      <c r="O34" s="50">
        <f ca="1">SUMIF($C:$C,"基本給",O:O)
+SUMIF($C:$C,"役職手当",O:O)
+SUMIF($C:$C,"営業手当",O:O)
+SUMIF($C:$C,"管理手当",O:O)
+SUMIF($C:$C,"在宅手当",O:O)
+SUMIF($C:$C,"特別手当",O:O)
+SUMIF($C:$C,"扶養家族手当",O:O)
+SUMIF($C:$C,"調整金",O:O)
+SUMIF($C:$C,"小計",O:O)
+SUMIF($C:$C,"特別手当",INDEX(O:O,2,1))</f>
        <v>0</v>
      </c>
      <c r="P34" s="50">
        <f ca="1">SUMIF($C:$C,"基本給",P:P)
+SUMIF($C:$C,"役職手当",P:P)
+SUMIF($C:$C,"営業手当",P:P)
+SUMIF($C:$C,"管理手当",P:P)
+SUMIF($C:$C,"在宅手当",P:P)
+SUMIF($C:$C,"特別手当",P:P)
+SUMIF($C:$C,"扶養家族手当",P:P)
+SUMIF($C:$C,"調整金",P:P)
+SUMIF($C:$C,"小計",P:P)
+SUMIF($C:$C,"特別手当",INDEX(P:P,2,1))</f>
        <v>0</v>
      </c>
      <c r="Q34" s="52">
        <f ca="1">SUM(P34:P34)</f>
        <v>0</v>
      </c>
    </row>
    <row r="35" spans="1:17">
      <c r="A35" s="167" t="s">
        <v>31</v>
      </c>
      <c r="B35" s="168"/>
      <c r="C35" s="169"/>
      <c r="D35" s="50">
        <f>SUMIF($B:$B,"計",D:D)</f>
        <v>0</v>
      </c>
      <c r="E35" s="50">
        <f>SUMIF($B:$B,"計",E:E)</f>
        <v>0</v>
      </c>
      <c r="F35" s="50">
        <f>SUMIF($B:$B,"計",F:F)</f>
        <v>0</v>
      </c>
      <c r="G35" s="50">
        <f>SUMIF($B:$B,"計",G:G)</f>
        <v>0</v>
      </c>
      <c r="H35" s="50">
        <f>SUMIF($B:$B,"計",H:H)</f>
        <v>0</v>
      </c>
      <c r="I35" s="50">
        <f>SUMIF($B:$B,"計",I:I)</f>
        <v>0</v>
      </c>
      <c r="J35" s="50">
        <f>SUMIF($B:$B,"計",J:J)</f>
        <v>0</v>
      </c>
      <c r="K35" s="50">
        <f>SUMIF($B:$B,"計",K:K)</f>
        <v>0</v>
      </c>
      <c r="L35" s="50">
        <f>SUMIF($B:$B,"計",L:L)</f>
        <v>0</v>
      </c>
      <c r="M35" s="50">
        <f>SUMIF($B:$B,"計",M:M)</f>
        <v>0</v>
      </c>
      <c r="N35" s="50">
        <f>SUMIF($B:$B,"計",N:N)</f>
        <v>0</v>
      </c>
      <c r="O35" s="50">
        <f>SUMIF($B:$B,"計",O:O)</f>
        <v>0</v>
      </c>
      <c r="P35" s="50">
        <f>SUMIF($B:$B,"計",P:P)</f>
        <v>0</v>
      </c>
      <c r="Q35" s="52">
        <f t="shared" ref="Q35:Q40" si="4">SUM(P35:P35)</f>
        <v>0</v>
      </c>
    </row>
    <row r="36" spans="1:17">
      <c r="A36" s="167" t="s">
        <v>20</v>
      </c>
      <c r="B36" s="168"/>
      <c r="C36" s="169"/>
      <c r="D36" s="53">
        <f>SUMIF($C:$C,"所得税",D:D)</f>
        <v>0</v>
      </c>
      <c r="E36" s="53">
        <f>SUMIF($C:$C,"所得税",E:E)</f>
        <v>0</v>
      </c>
      <c r="F36" s="53">
        <f>SUMIF($C:$C,"所得税",F:F)</f>
        <v>0</v>
      </c>
      <c r="G36" s="53">
        <f>SUMIF($C:$C,"所得税",G:G)</f>
        <v>0</v>
      </c>
      <c r="H36" s="53">
        <f>SUMIF($C:$C,"所得税",H:H)</f>
        <v>0</v>
      </c>
      <c r="I36" s="53">
        <f>SUMIF($C:$C,"所得税",I:I)</f>
        <v>0</v>
      </c>
      <c r="J36" s="53">
        <f>SUMIF($C:$C,"所得税",J:J)</f>
        <v>0</v>
      </c>
      <c r="K36" s="53">
        <f>SUMIF($C:$C,"所得税",K:K)</f>
        <v>0</v>
      </c>
      <c r="L36" s="53">
        <f>SUMIF($C:$C,"所得税",L:L)</f>
        <v>0</v>
      </c>
      <c r="M36" s="53">
        <f>SUMIF($C:$C,"所得税",M:M)</f>
        <v>0</v>
      </c>
      <c r="N36" s="53">
        <f>SUMIF($C:$C,"所得税",N:N)</f>
        <v>0</v>
      </c>
      <c r="O36" s="53">
        <f>SUMIF($C:$C,"所得税",O:O)</f>
        <v>0</v>
      </c>
      <c r="P36" s="53">
        <f>SUMIF($C:$C,"所得税",P:P)</f>
        <v>0</v>
      </c>
      <c r="Q36" s="52">
        <f t="shared" si="4"/>
        <v>0</v>
      </c>
    </row>
    <row r="37" spans="1:17">
      <c r="A37" s="167" t="s">
        <v>43</v>
      </c>
      <c r="B37" s="168"/>
      <c r="C37" s="169"/>
      <c r="D37" s="53">
        <f>SUMIF($C:$C,"住民税",D:D)</f>
        <v>0</v>
      </c>
      <c r="E37" s="53">
        <f>SUMIF($C:$C,"住民税",E:E)</f>
        <v>0</v>
      </c>
      <c r="F37" s="53">
        <f>SUMIF($C:$C,"住民税",F:F)</f>
        <v>0</v>
      </c>
      <c r="G37" s="53">
        <f>SUMIF($C:$C,"住民税",G:G)</f>
        <v>0</v>
      </c>
      <c r="H37" s="53">
        <f>SUMIF($C:$C,"住民税",H:H)</f>
        <v>0</v>
      </c>
      <c r="I37" s="53">
        <f>SUMIF($C:$C,"住民税",I:I)</f>
        <v>0</v>
      </c>
      <c r="J37" s="53">
        <f>SUMIF($C:$C,"住民税",J:J)</f>
        <v>0</v>
      </c>
      <c r="K37" s="53">
        <f>SUMIF($C:$C,"住民税",K:K)</f>
        <v>0</v>
      </c>
      <c r="L37" s="53">
        <f>SUMIF($C:$C,"住民税",L:L)</f>
        <v>0</v>
      </c>
      <c r="M37" s="53">
        <f>SUMIF($C:$C,"住民税",M:M)</f>
        <v>0</v>
      </c>
      <c r="N37" s="53">
        <f>SUMIF($C:$C,"住民税",N:N)</f>
        <v>0</v>
      </c>
      <c r="O37" s="53">
        <f>SUMIF($C:$C,"住民税",O:O)</f>
        <v>0</v>
      </c>
      <c r="P37" s="53">
        <f>SUMIF($C:$C,"住民税",P:P)</f>
        <v>0</v>
      </c>
      <c r="Q37" s="52">
        <f t="shared" si="4"/>
        <v>0</v>
      </c>
    </row>
    <row r="38" spans="1:17">
      <c r="A38" s="167" t="s">
        <v>53</v>
      </c>
      <c r="B38" s="168"/>
      <c r="C38" s="169"/>
      <c r="D38" s="53">
        <f>SUMIF($C:$C,"健康保険料",D:D)+SUMIF($C:$C,"厚生年金",D:D)</f>
        <v>0</v>
      </c>
      <c r="E38" s="53">
        <f>SUMIF($C:$C,"健康保険料",E:E)+SUMIF($C:$C,"厚生年金",E:E)</f>
        <v>0</v>
      </c>
      <c r="F38" s="53">
        <f>SUMIF($C:$C,"健康保険料",F:F)+SUMIF($C:$C,"厚生年金",F:F)</f>
        <v>0</v>
      </c>
      <c r="G38" s="53">
        <f>SUMIF($C:$C,"健康保険料",G:G)+SUMIF($C:$C,"厚生年金",G:G)</f>
        <v>0</v>
      </c>
      <c r="H38" s="53">
        <f>SUMIF($C:$C,"健康保険料",H:H)+SUMIF($C:$C,"厚生年金",H:H)</f>
        <v>0</v>
      </c>
      <c r="I38" s="53">
        <f>SUMIF($C:$C,"健康保険料",I:I)+SUMIF($C:$C,"厚生年金",I:I)</f>
        <v>0</v>
      </c>
      <c r="J38" s="53">
        <f>SUMIF($C:$C,"健康保険料",J:J)+SUMIF($C:$C,"厚生年金",J:J)</f>
        <v>0</v>
      </c>
      <c r="K38" s="53">
        <f>SUMIF($C:$C,"健康保険料",K:K)+SUMIF($C:$C,"厚生年金",K:K)</f>
        <v>0</v>
      </c>
      <c r="L38" s="53">
        <f>SUMIF($C:$C,"健康保険料",L:L)+SUMIF($C:$C,"厚生年金",L:L)</f>
        <v>0</v>
      </c>
      <c r="M38" s="53">
        <f>SUMIF($C:$C,"健康保険料",M:M)+SUMIF($C:$C,"厚生年金",M:M)</f>
        <v>0</v>
      </c>
      <c r="N38" s="53">
        <f>SUMIF($C:$C,"健康保険料",N:N)+SUMIF($C:$C,"厚生年金",N:N)</f>
        <v>0</v>
      </c>
      <c r="O38" s="53">
        <f>SUMIF($C:$C,"健康保険料",O:O)+SUMIF($C:$C,"厚生年金",O:O)</f>
        <v>0</v>
      </c>
      <c r="P38" s="53">
        <f>SUMIF($C:$C,"健康保険料",P:P)+SUMIF($C:$C,"厚生年金",P:P)</f>
        <v>0</v>
      </c>
      <c r="Q38" s="52">
        <f t="shared" si="4"/>
        <v>0</v>
      </c>
    </row>
    <row r="39" spans="1:17">
      <c r="A39" s="167" t="s">
        <v>22</v>
      </c>
      <c r="B39" s="168"/>
      <c r="C39" s="169"/>
      <c r="D39" s="53">
        <f>SUMIF($C:$C,"雇用保険",D:D)</f>
        <v>0</v>
      </c>
      <c r="E39" s="53">
        <f>SUMIF($C:$C,"雇用保険",E:E)</f>
        <v>0</v>
      </c>
      <c r="F39" s="53">
        <f>SUMIF($C:$C,"雇用保険",F:F)</f>
        <v>0</v>
      </c>
      <c r="G39" s="53">
        <f>SUMIF($C:$C,"雇用保険",G:G)</f>
        <v>0</v>
      </c>
      <c r="H39" s="53">
        <f>SUMIF($C:$C,"雇用保険",H:H)</f>
        <v>0</v>
      </c>
      <c r="I39" s="53">
        <f>SUMIF($C:$C,"雇用保険",I:I)</f>
        <v>0</v>
      </c>
      <c r="J39" s="53">
        <f>SUMIF($C:$C,"雇用保険",J:J)</f>
        <v>0</v>
      </c>
      <c r="K39" s="53">
        <f>SUMIF($C:$C,"雇用保険",K:K)</f>
        <v>0</v>
      </c>
      <c r="L39" s="53">
        <f>SUMIF($C:$C,"雇用保険",L:L)</f>
        <v>0</v>
      </c>
      <c r="M39" s="53">
        <f>SUMIF($C:$C,"雇用保険",M:M)</f>
        <v>0</v>
      </c>
      <c r="N39" s="53">
        <f>SUMIF($C:$C,"雇用保険",N:N)</f>
        <v>0</v>
      </c>
      <c r="O39" s="53">
        <f>SUMIF($C:$C,"雇用保険",O:O)</f>
        <v>0</v>
      </c>
      <c r="P39" s="53">
        <f>SUMIF($C:$C,"雇用保険",P:P)</f>
        <v>0</v>
      </c>
      <c r="Q39" s="52">
        <f t="shared" si="4"/>
        <v>0</v>
      </c>
    </row>
    <row r="40" spans="1:17">
      <c r="A40" s="167" t="s">
        <v>21</v>
      </c>
      <c r="B40" s="168"/>
      <c r="C40" s="169"/>
      <c r="D40" s="53">
        <f>SUMIF($C:$C,"交通費",D:D)</f>
        <v>0</v>
      </c>
      <c r="E40" s="53">
        <f>SUMIF($C:$C,"交通費",E:E)</f>
        <v>0</v>
      </c>
      <c r="F40" s="53">
        <f>SUMIF($C:$C,"交通費",F:F)</f>
        <v>0</v>
      </c>
      <c r="G40" s="53">
        <f>SUMIF($C:$C,"交通費",G:G)</f>
        <v>0</v>
      </c>
      <c r="H40" s="53">
        <f>SUMIF($C:$C,"交通費",H:H)</f>
        <v>0</v>
      </c>
      <c r="I40" s="53">
        <f>SUMIF($C:$C,"交通費",I:I)</f>
        <v>0</v>
      </c>
      <c r="J40" s="53">
        <f>SUMIF($C:$C,"交通費",J:J)</f>
        <v>0</v>
      </c>
      <c r="K40" s="53">
        <f>SUMIF($C:$C,"交通費",K:K)</f>
        <v>0</v>
      </c>
      <c r="L40" s="53">
        <f>SUMIF($C:$C,"交通費",L:L)</f>
        <v>0</v>
      </c>
      <c r="M40" s="53">
        <f>SUMIF($C:$C,"交通費",M:M)</f>
        <v>0</v>
      </c>
      <c r="N40" s="53">
        <f>SUMIF($C:$C,"交通費",N:N)</f>
        <v>0</v>
      </c>
      <c r="O40" s="53">
        <f>SUMIF($C:$C,"交通費",O:O)</f>
        <v>0</v>
      </c>
      <c r="P40" s="53">
        <f>SUMIF($C:$C,"交通費",P:P)</f>
        <v>0</v>
      </c>
      <c r="Q40" s="52">
        <f t="shared" si="4"/>
        <v>0</v>
      </c>
    </row>
    <row r="41" spans="1:17" ht="14.25" thickBot="1">
      <c r="A41" s="181" t="s">
        <v>57</v>
      </c>
      <c r="B41" s="182"/>
      <c r="C41" s="183"/>
      <c r="D41" s="55">
        <f>SUMIF($C:$C,"*精算分*",D:D)</f>
        <v>0</v>
      </c>
      <c r="E41" s="55">
        <f>SUMIF($C:$C,"*精算分*",E:E)</f>
        <v>0</v>
      </c>
      <c r="F41" s="55">
        <f>SUMIF($C:$C,"*精算分*",F:F)</f>
        <v>0</v>
      </c>
      <c r="G41" s="55">
        <f>SUMIF($C:$C,"*精算分*",G:G)</f>
        <v>0</v>
      </c>
      <c r="H41" s="55">
        <f>SUMIF($C:$C,"*精算分*",H:H)</f>
        <v>0</v>
      </c>
      <c r="I41" s="55">
        <f>SUMIF($C:$C,"*精算分*",I:I)</f>
        <v>0</v>
      </c>
      <c r="J41" s="55">
        <f>SUMIF($C:$C,"*精算分*",J:J)</f>
        <v>0</v>
      </c>
      <c r="K41" s="55">
        <f>SUMIF($C:$C,"*精算分*",K:K)</f>
        <v>0</v>
      </c>
      <c r="L41" s="55">
        <f>SUMIF($C:$C,"*精算分*",L:L)</f>
        <v>0</v>
      </c>
      <c r="M41" s="55">
        <f>SUMIF($C:$C,"*精算分*",M:M)</f>
        <v>0</v>
      </c>
      <c r="N41" s="55">
        <f>SUMIF($C:$C,"*精算分*",N:N)</f>
        <v>0</v>
      </c>
      <c r="O41" s="55">
        <f>SUMIF($C:$C,"*精算分*",O:O)</f>
        <v>0</v>
      </c>
      <c r="P41" s="55">
        <f>SUMIF($C:$C,"*精算分*",P:P)</f>
        <v>0</v>
      </c>
      <c r="Q41" s="45">
        <f>SUM(P41:P41)</f>
        <v>0</v>
      </c>
    </row>
    <row r="42" spans="1:17">
      <c r="A42" s="26"/>
      <c r="B42" s="26"/>
      <c r="C42" s="26"/>
      <c r="D42" s="24"/>
      <c r="E42" s="24"/>
      <c r="F42" s="24"/>
      <c r="G42" s="24"/>
      <c r="H42" s="24"/>
      <c r="I42" s="37"/>
      <c r="J42" s="37"/>
      <c r="K42" s="37"/>
      <c r="L42" s="24"/>
      <c r="M42" s="24"/>
      <c r="N42" s="24"/>
      <c r="O42" s="24"/>
      <c r="P42" s="24"/>
      <c r="Q42" s="25"/>
    </row>
    <row r="44" spans="1:17">
      <c r="A44" s="10"/>
      <c r="C44" s="102" t="s">
        <v>81</v>
      </c>
      <c r="D44" s="1">
        <f>SUMIF($C:$C,"基本給 ",D:D)
+SUMIF($C:$C,"役職手当 ",D:D)
+SUMIF($C:$C,"営業手当 ",D:D)
+SUMIF($C:$C,"管理手当 ",D:D)
+SUMIF($C:$C,"住宅手当 ",D:D)
+SUMIF($C:$C,"特別手当 ",D:D)
+SUMIF($C:$C,"扶養家族手当 ",D:D)
+SUMIF($C:$C,"調整金 ",D:D)</f>
        <v>0</v>
      </c>
      <c r="E44" s="1">
        <f>SUMIF($C:$C,"基本給 ",E:E)
+SUMIF($C:$C,"役職手当 ",E:E)
+SUMIF($C:$C,"営業手当 ",E:E)
+SUMIF($C:$C,"管理手当 ",E:E)
+SUMIF($C:$C,"住宅手当 ",E:E)
+SUMIF($C:$C,"特別手当 ",E:E)
+SUMIF($C:$C,"扶養家族手当 ",E:E)
+SUMIF($C:$C,"調整金 ",E:E)</f>
        <v>0</v>
      </c>
      <c r="F44" s="1">
        <f>SUMIF($C:$C,"基本給 ",F:F)
+SUMIF($C:$C,"役職手当 ",F:F)
+SUMIF($C:$C,"営業手当 ",F:F)
+SUMIF($C:$C,"管理手当 ",F:F)
+SUMIF($C:$C,"住宅手当 ",F:F)
+SUMIF($C:$C,"特別手当 ",F:F)
+SUMIF($C:$C,"扶養家族手当 ",F:F)
+SUMIF($C:$C,"調整金 ",F:F)</f>
        <v>0</v>
      </c>
      <c r="G44" s="1">
        <f>SUMIF($C:$C,"基本給 ",G:G)
+SUMIF($C:$C,"役職手当 ",G:G)
+SUMIF($C:$C,"営業手当 ",G:G)
+SUMIF($C:$C,"管理手当 ",G:G)
+SUMIF($C:$C,"住宅手当 ",G:G)
+SUMIF($C:$C,"特別手当 ",G:G)
+SUMIF($C:$C,"扶養家族手当 ",G:G)
+SUMIF($C:$C,"調整金 ",G:G)</f>
        <v>0</v>
      </c>
      <c r="H44" s="1">
        <f>SUMIF($C:$C,"基本給 ",H:H)
+SUMIF($C:$C,"役職手当 ",H:H)
+SUMIF($C:$C,"営業手当 ",H:H)
+SUMIF($C:$C,"管理手当 ",H:H)
+SUMIF($C:$C,"住宅手当 ",H:H)
+SUMIF($C:$C,"特別手当 ",H:H)
+SUMIF($C:$C,"扶養家族手当 ",H:H)
+SUMIF($C:$C,"調整金 ",H:H)</f>
        <v>0</v>
      </c>
      <c r="I44" s="1">
        <f>SUMIF($C:$C,"基本給 ",I:I)
+SUMIF($C:$C,"役職手当 ",I:I)
+SUMIF($C:$C,"営業手当 ",I:I)
+SUMIF($C:$C,"管理手当 ",I:I)
+SUMIF($C:$C,"住宅手当 ",I:I)
+SUMIF($C:$C,"特別手当 ",I:I)
+SUMIF($C:$C,"扶養家族手当 ",I:I)
+SUMIF($C:$C,"調整金 ",I:I)</f>
        <v>0</v>
      </c>
      <c r="J44" s="1">
        <f>SUMIF($C:$C,"基本給 ",J:J)
+SUMIF($C:$C,"役職手当 ",J:J)
+SUMIF($C:$C,"営業手当 ",J:J)
+SUMIF($C:$C,"管理手当 ",J:J)
+SUMIF($C:$C,"住宅手当 ",J:J)
+SUMIF($C:$C,"特別手当 ",J:J)
+SUMIF($C:$C,"扶養家族手当 ",J:J)
+SUMIF($C:$C,"調整金 ",J:J)</f>
        <v>0</v>
      </c>
      <c r="K44" s="1">
        <f>SUMIF($C:$C,"基本給 ",K:K)
+SUMIF($C:$C,"役職手当 ",K:K)
+SUMIF($C:$C,"営業手当 ",K:K)
+SUMIF($C:$C,"管理手当 ",K:K)
+SUMIF($C:$C,"住宅手当 ",K:K)
+SUMIF($C:$C,"特別手当 ",K:K)
+SUMIF($C:$C,"扶養家族手当 ",K:K)
+SUMIF($C:$C,"調整金 ",K:K)</f>
        <v>0</v>
      </c>
      <c r="L44" s="1">
        <f>SUMIF($C:$C,"基本給 ",L:L)
+SUMIF($C:$C,"役職手当 ",L:L)
+SUMIF($C:$C,"営業手当 ",L:L)
+SUMIF($C:$C,"管理手当 ",L:L)
+SUMIF($C:$C,"住宅手当 ",L:L)
+SUMIF($C:$C,"特別手当 ",L:L)
+SUMIF($C:$C,"扶養家族手当 ",L:L)
+SUMIF($C:$C,"調整金 ",L:L)</f>
        <v>0</v>
      </c>
      <c r="M44" s="1">
        <f>SUMIF($C:$C,"基本給 ",M:M)
+SUMIF($C:$C,"役職手当 ",M:M)
+SUMIF($C:$C,"営業手当 ",M:M)
+SUMIF($C:$C,"管理手当 ",M:M)
+SUMIF($C:$C,"住宅手当 ",M:M)
+SUMIF($C:$C,"特別手当 ",M:M)
+SUMIF($C:$C,"扶養家族手当 ",M:M)
+SUMIF($C:$C,"調整金 ",M:M)</f>
        <v>0</v>
      </c>
      <c r="N44" s="1">
        <f>SUMIF($C:$C,"基本給 ",N:N)
+SUMIF($C:$C,"役職手当 ",N:N)
+SUMIF($C:$C,"営業手当 ",N:N)
+SUMIF($C:$C,"管理手当 ",N:N)
+SUMIF($C:$C,"住宅手当 ",N:N)
+SUMIF($C:$C,"特別手当 ",N:N)
+SUMIF($C:$C,"扶養家族手当 ",N:N)
+SUMIF($C:$C,"調整金 ",N:N)</f>
        <v>0</v>
      </c>
      <c r="O44" s="1">
        <f>SUMIF($C:$C,"基本給 ",O:O)
+SUMIF($C:$C,"役職手当 ",O:O)
+SUMIF($C:$C,"営業手当 ",O:O)
+SUMIF($C:$C,"管理手当 ",O:O)
+SUMIF($C:$C,"住宅手当 ",O:O)
+SUMIF($C:$C,"特別手当 ",O:O)
+SUMIF($C:$C,"扶養家族手当 ",O:O)
+SUMIF($C:$C,"調整金 ",O:O)</f>
        <v>0</v>
      </c>
    </row>
    <row r="45" spans="1:17">
      <c r="A45" s="10"/>
      <c r="C45" s="102" t="s">
        <v>82</v>
      </c>
      <c r="D45" s="36">
        <f ca="1">SUMIF($C:$C,"小計",D:D)
+SUMIF($C:$C,"営業手当",D:D)
+SUMIF($C:$C,"管理手当",D:D)
+SUMIF($C:$C,"住宅手当",D:D)
+SUMIF($C:$C,"特別手当",D:D)
+SUMIF($C:$C,"特別手当",INDEX(D:D,2,1))
+SUMIF($C:$C,"特別手当",INDEX(D:D,3,1))
+SUMIF($C:$C,"調整金",D:D)</f>
        <v>0</v>
      </c>
      <c r="E45" s="36">
        <f ca="1">SUMIF($C:$C,"小計",E:E)
+SUMIF($C:$C,"営業手当",E:E)
+SUMIF($C:$C,"管理手当",E:E)
+SUMIF($C:$C,"住宅手当",E:E)
+SUMIF($C:$C,"特別手当",E:E)
+SUMIF($C:$C,"特別手当",INDEX(E:E,2,1))
+SUMIF($C:$C,"特別手当",INDEX(E:E,3,1))
+SUMIF($C:$C,"調整金",E:E)</f>
        <v>0</v>
      </c>
      <c r="F45" s="36">
        <f ca="1">SUMIF($C:$C,"小計",F:F)
+SUMIF($C:$C,"営業手当",F:F)
+SUMIF($C:$C,"管理手当",F:F)
+SUMIF($C:$C,"住宅手当",F:F)
+SUMIF($C:$C,"特別手当",F:F)
+SUMIF($C:$C,"特別手当",INDEX(F:F,2,1))
+SUMIF($C:$C,"特別手当",INDEX(F:F,3,1))
+SUMIF($C:$C,"調整金",F:F)</f>
        <v>0</v>
      </c>
      <c r="G45" s="36">
        <f ca="1">SUMIF($C:$C,"小計",G:G)
+SUMIF($C:$C,"営業手当",G:G)
+SUMIF($C:$C,"管理手当",G:G)
+SUMIF($C:$C,"住宅手当",G:G)
+SUMIF($C:$C,"特別手当",G:G)
+SUMIF($C:$C,"特別手当",INDEX(G:G,2,1))
+SUMIF($C:$C,"特別手当",INDEX(G:G,3,1))
+SUMIF($C:$C,"調整金",G:G)</f>
        <v>0</v>
      </c>
      <c r="H45" s="36">
        <f ca="1">SUMIF($C:$C,"小計",H:H)
+SUMIF($C:$C,"営業手当",H:H)
+SUMIF($C:$C,"管理手当",H:H)
+SUMIF($C:$C,"住宅手当",H:H)
+SUMIF($C:$C,"特別手当",H:H)
+SUMIF($C:$C,"特別手当",INDEX(H:H,2,1))
+SUMIF($C:$C,"特別手当",INDEX(H:H,3,1))
+SUMIF($C:$C,"調整金",H:H)</f>
        <v>0</v>
      </c>
      <c r="I45" s="36">
        <f ca="1">SUMIF($C:$C,"小計",I:I)
+SUMIF($C:$C,"営業手当",I:I)
+SUMIF($C:$C,"管理手当",I:I)
+SUMIF($C:$C,"住宅手当",I:I)
+SUMIF($C:$C,"特別手当",I:I)
+SUMIF($C:$C,"特別手当",INDEX(I:I,2,1))
+SUMIF($C:$C,"特別手当",INDEX(I:I,3,1))
+SUMIF($C:$C,"調整金",I:I)</f>
        <v>0</v>
      </c>
      <c r="J45" s="36">
        <f ca="1">SUMIF($C:$C,"小計",J:J)
+SUMIF($C:$C,"営業手当",J:J)
+SUMIF($C:$C,"管理手当",J:J)
+SUMIF($C:$C,"住宅手当",J:J)
+SUMIF($C:$C,"特別手当",J:J)
+SUMIF($C:$C,"特別手当",INDEX(J:J,2,1))
+SUMIF($C:$C,"特別手当",INDEX(J:J,3,1))
+SUMIF($C:$C,"調整金",J:J)</f>
        <v>0</v>
      </c>
      <c r="K45" s="36">
        <f ca="1">SUMIF($C:$C,"小計",K:K)
+SUMIF($C:$C,"営業手当",K:K)
+SUMIF($C:$C,"管理手当",K:K)
+SUMIF($C:$C,"住宅手当",K:K)
+SUMIF($C:$C,"特別手当",K:K)
+SUMIF($C:$C,"特別手当",INDEX(K:K,2,1))
+SUMIF($C:$C,"特別手当",INDEX(K:K,3,1))
+SUMIF($C:$C,"調整金",K:K)</f>
        <v>0</v>
      </c>
      <c r="L45" s="36">
        <f ca="1">SUMIF($C:$C,"小計",L:L)
+SUMIF($C:$C,"営業手当",L:L)
+SUMIF($C:$C,"管理手当",L:L)
+SUMIF($C:$C,"住宅手当",L:L)
+SUMIF($C:$C,"特別手当",L:L)
+SUMIF($C:$C,"特別手当",INDEX(L:L,2,1))
+SUMIF($C:$C,"特別手当",INDEX(L:L,3,1))
+SUMIF($C:$C,"調整金",L:L)</f>
        <v>0</v>
      </c>
      <c r="M45" s="36">
        <f ca="1">SUMIF($C:$C,"小計",M:M)
+SUMIF($C:$C,"営業手当",M:M)
+SUMIF($C:$C,"管理手当",M:M)
+SUMIF($C:$C,"住宅手当",M:M)
+SUMIF($C:$C,"特別手当",M:M)
+SUMIF($C:$C,"特別手当",INDEX(M:M,2,1))
+SUMIF($C:$C,"特別手当",INDEX(M:M,3,1))
+SUMIF($C:$C,"調整金",M:M)</f>
        <v>0</v>
      </c>
      <c r="N45" s="36">
        <f ca="1">SUMIF($C:$C,"小計",N:N)
+SUMIF($C:$C,"営業手当",N:N)
+SUMIF($C:$C,"管理手当",N:N)
+SUMIF($C:$C,"住宅手当",N:N)
+SUMIF($C:$C,"特別手当",N:N)
+SUMIF($C:$C,"特別手当",INDEX(N:N,2,1))
+SUMIF($C:$C,"特別手当",INDEX(N:N,3,1))
+SUMIF($C:$C,"調整金",N:N)</f>
        <v>0</v>
      </c>
      <c r="O45" s="36">
        <f ca="1">SUMIF($C:$C,"小計",O:O)
+SUMIF($C:$C,"営業手当",O:O)
+SUMIF($C:$C,"管理手当",O:O)
+SUMIF($C:$C,"住宅手当",O:O)
+SUMIF($C:$C,"特別手当",O:O)
+SUMIF($C:$C,"特別手当",INDEX(O:O,2,1))
+SUMIF($C:$C,"特別手当",INDEX(O:O,3,1))
+SUMIF($C:$C,"調整金",O:O)</f>
        <v>0</v>
      </c>
    </row>
    <row r="46" spans="1:17">
      <c r="A46" s="10"/>
      <c r="B46" s="11"/>
    </row>
  </sheetData>
  <mergeCells count="20">
    <mergeCell ref="A39:C39"/>
    <mergeCell ref="A40:C40"/>
    <mergeCell ref="A41:C41"/>
    <mergeCell ref="A33:C33"/>
    <mergeCell ref="A34:C34"/>
    <mergeCell ref="A35:C35"/>
    <mergeCell ref="A36:C36"/>
    <mergeCell ref="A37:C37"/>
    <mergeCell ref="A38:C38"/>
    <mergeCell ref="B32:C32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92D050"/>
  </sheetPr>
  <dimension ref="A1:Q46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2" sqref="A12:XFD12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138" t="s">
        <v>80</v>
      </c>
      <c r="B1" s="139"/>
      <c r="C1" s="139"/>
      <c r="D1" s="139"/>
      <c r="E1" s="139"/>
    </row>
    <row r="2" spans="1:17" ht="18.75">
      <c r="A2" s="65"/>
      <c r="G2">
        <f>SUM(C6:G6)</f>
        <v>0</v>
      </c>
    </row>
    <row r="3" spans="1:17">
      <c r="A3" s="64"/>
      <c r="B3" s="64"/>
      <c r="C3" s="73" t="s">
        <v>37</v>
      </c>
      <c r="D3" s="73" t="s">
        <v>28</v>
      </c>
      <c r="E3" s="73" t="s">
        <v>32</v>
      </c>
      <c r="F3" s="73" t="s">
        <v>33</v>
      </c>
      <c r="G3" s="74" t="s">
        <v>34</v>
      </c>
      <c r="H3" s="74" t="s">
        <v>35</v>
      </c>
      <c r="I3" s="74" t="s">
        <v>36</v>
      </c>
      <c r="J3" s="74" t="s">
        <v>24</v>
      </c>
      <c r="K3" s="73" t="s">
        <v>25</v>
      </c>
      <c r="L3" s="73" t="s">
        <v>26</v>
      </c>
      <c r="M3" s="73" t="s">
        <v>23</v>
      </c>
      <c r="N3" s="73" t="s">
        <v>27</v>
      </c>
      <c r="O3" s="70"/>
    </row>
    <row r="4" spans="1:17">
      <c r="A4" s="187" t="s">
        <v>0</v>
      </c>
      <c r="B4" s="187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8"/>
    </row>
    <row r="6" spans="1:17">
      <c r="A6" s="71" t="s">
        <v>62</v>
      </c>
      <c r="B6" s="71"/>
      <c r="C6" s="81">
        <f t="shared" ref="C6:N6" si="0">COUNTIF(C7:C8,"&lt;&gt;0")</f>
        <v>0</v>
      </c>
      <c r="D6" s="81">
        <f t="shared" si="0"/>
        <v>0</v>
      </c>
      <c r="E6" s="81">
        <f t="shared" si="0"/>
        <v>0</v>
      </c>
      <c r="F6" s="81">
        <f t="shared" si="0"/>
        <v>0</v>
      </c>
      <c r="G6" s="81">
        <f t="shared" si="0"/>
        <v>0</v>
      </c>
      <c r="H6" s="81">
        <f t="shared" si="0"/>
        <v>0</v>
      </c>
      <c r="I6" s="81">
        <f t="shared" si="0"/>
        <v>0</v>
      </c>
      <c r="J6" s="81">
        <f t="shared" si="0"/>
        <v>0</v>
      </c>
      <c r="K6" s="81">
        <f t="shared" si="0"/>
        <v>0</v>
      </c>
      <c r="L6" s="81">
        <f t="shared" si="0"/>
        <v>0</v>
      </c>
      <c r="M6" s="81">
        <f t="shared" si="0"/>
        <v>0</v>
      </c>
      <c r="N6" s="81">
        <f t="shared" si="0"/>
        <v>0</v>
      </c>
      <c r="O6" s="67"/>
    </row>
    <row r="7" spans="1:17">
      <c r="B7" t="str">
        <f>IF('■2017年度　社員給与詳細'!A4="","",'■2017年度　社員給与詳細'!A4)</f>
        <v>上代</v>
      </c>
      <c r="C7" s="80">
        <f>'■2017年度　社員給与詳細'!D13</f>
        <v>0</v>
      </c>
      <c r="D7" s="80">
        <f>'■2017年度　社員給与詳細'!E13</f>
        <v>0</v>
      </c>
      <c r="E7" s="80">
        <f>'■2017年度　社員給与詳細'!F13</f>
        <v>0</v>
      </c>
      <c r="F7" s="80">
        <f>'■2017年度　社員給与詳細'!G13</f>
        <v>0</v>
      </c>
      <c r="G7" s="80">
        <f>'■2017年度　社員給与詳細'!H13</f>
        <v>0</v>
      </c>
      <c r="H7" s="80">
        <f>'■2017年度　社員給与詳細'!I13</f>
        <v>0</v>
      </c>
      <c r="I7" s="80">
        <f>'■2017年度　社員給与詳細'!J13</f>
        <v>0</v>
      </c>
      <c r="J7" s="80">
        <f>'■2017年度　社員給与詳細'!K13</f>
        <v>0</v>
      </c>
      <c r="K7" s="80">
        <f>'■2017年度　社員給与詳細'!L13</f>
        <v>0</v>
      </c>
      <c r="L7" s="80">
        <f>'■2017年度　社員給与詳細'!M13</f>
        <v>0</v>
      </c>
      <c r="M7" s="80">
        <f>'■2017年度　社員給与詳細'!N13</f>
        <v>0</v>
      </c>
      <c r="N7" s="80">
        <f>'■2017年度　社員給与詳細'!O13</f>
        <v>0</v>
      </c>
      <c r="O7" s="68">
        <f t="shared" ref="O7:O8" si="1">SUM(C7:N7)</f>
        <v>0</v>
      </c>
      <c r="Q7" s="68">
        <f>'■2017年度　社員給与詳細'!Q13</f>
        <v>0</v>
      </c>
    </row>
    <row r="8" spans="1:17">
      <c r="B8" t="str">
        <f>IF('■2017年度　社員給与詳細'!A14="","",'■2017年度　社員給与詳細'!A14)</f>
        <v>金田</v>
      </c>
      <c r="C8" s="80">
        <f>'■2017年度　社員給与詳細'!D32</f>
        <v>0</v>
      </c>
      <c r="D8" s="80">
        <f>'■2017年度　社員給与詳細'!E32</f>
        <v>0</v>
      </c>
      <c r="E8" s="80">
        <f>'■2017年度　社員給与詳細'!F32</f>
        <v>0</v>
      </c>
      <c r="F8" s="80">
        <f>'■2017年度　社員給与詳細'!G32</f>
        <v>0</v>
      </c>
      <c r="G8" s="80">
        <f>'■2017年度　社員給与詳細'!H32</f>
        <v>0</v>
      </c>
      <c r="H8" s="80">
        <f>'■2017年度　社員給与詳細'!I32</f>
        <v>0</v>
      </c>
      <c r="I8" s="80">
        <f>'■2017年度　社員給与詳細'!J32</f>
        <v>0</v>
      </c>
      <c r="J8" s="80">
        <f>'■2017年度　社員給与詳細'!K32</f>
        <v>0</v>
      </c>
      <c r="K8" s="80">
        <f>'■2017年度　社員給与詳細'!L32</f>
        <v>0</v>
      </c>
      <c r="L8" s="80">
        <f>'■2017年度　社員給与詳細'!M32</f>
        <v>0</v>
      </c>
      <c r="M8" s="80">
        <f>'■2017年度　社員給与詳細'!N32</f>
        <v>0</v>
      </c>
      <c r="N8" s="80">
        <f>'■2017年度　社員給与詳細'!O32</f>
        <v>0</v>
      </c>
      <c r="O8" s="68">
        <f t="shared" si="1"/>
        <v>0</v>
      </c>
      <c r="Q8" s="68">
        <f>'■2017年度　社員給与詳細'!Q32</f>
        <v>0</v>
      </c>
    </row>
    <row r="9" spans="1:17"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68"/>
      <c r="Q9" s="68"/>
    </row>
    <row r="10" spans="1:17">
      <c r="C10" s="100"/>
      <c r="D10" s="100"/>
      <c r="E10" s="100"/>
      <c r="F10" s="100"/>
      <c r="G10" s="100">
        <f>SUM(C11:G11)</f>
        <v>0</v>
      </c>
      <c r="H10" s="100"/>
      <c r="I10" s="100"/>
      <c r="J10" s="100"/>
      <c r="K10" s="100"/>
      <c r="L10" s="81"/>
      <c r="M10" s="81"/>
      <c r="N10" s="81"/>
      <c r="O10" s="67"/>
    </row>
    <row r="11" spans="1:17">
      <c r="A11" s="71" t="s">
        <v>63</v>
      </c>
      <c r="B11" s="72"/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81">
        <v>0</v>
      </c>
      <c r="L11" s="81">
        <v>0</v>
      </c>
      <c r="M11" s="81">
        <v>0</v>
      </c>
      <c r="N11" s="81">
        <v>0</v>
      </c>
      <c r="O11" s="67"/>
    </row>
    <row r="12" spans="1:17" s="113" customFormat="1">
      <c r="A12"/>
      <c r="B12" s="121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68"/>
    </row>
    <row r="13" spans="1:17" s="113" customFormat="1">
      <c r="A13"/>
      <c r="B13" s="121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68"/>
    </row>
    <row r="14" spans="1:17" s="113" customFormat="1">
      <c r="A14"/>
      <c r="B14" s="121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68"/>
    </row>
    <row r="15" spans="1:17" s="113" customFormat="1">
      <c r="A15" s="75" t="s">
        <v>72</v>
      </c>
      <c r="B15"/>
      <c r="C15" s="1">
        <f>C7</f>
        <v>0</v>
      </c>
      <c r="D15" s="1">
        <f>D7</f>
        <v>0</v>
      </c>
      <c r="E15" s="1">
        <f t="shared" ref="E15:M15" si="2">E7</f>
        <v>0</v>
      </c>
      <c r="F15" s="1">
        <f t="shared" si="2"/>
        <v>0</v>
      </c>
      <c r="G15" s="1">
        <f t="shared" si="2"/>
        <v>0</v>
      </c>
      <c r="H15" s="1">
        <f t="shared" si="2"/>
        <v>0</v>
      </c>
      <c r="I15" s="1">
        <f t="shared" si="2"/>
        <v>0</v>
      </c>
      <c r="J15" s="1">
        <f t="shared" si="2"/>
        <v>0</v>
      </c>
      <c r="K15" s="1">
        <f>K7</f>
        <v>0</v>
      </c>
      <c r="L15" s="1">
        <f t="shared" si="2"/>
        <v>0</v>
      </c>
      <c r="M15" s="1">
        <f t="shared" si="2"/>
        <v>0</v>
      </c>
      <c r="N15" s="1">
        <f>N7</f>
        <v>0</v>
      </c>
      <c r="O15" s="69">
        <f>SUM(C15:N15)</f>
        <v>0</v>
      </c>
    </row>
    <row r="16" spans="1:17" s="113" customFormat="1">
      <c r="A16" s="75" t="s">
        <v>65</v>
      </c>
      <c r="B16" s="75"/>
      <c r="C16" s="111">
        <f>SUM(C8)</f>
        <v>0</v>
      </c>
      <c r="D16" s="111">
        <f t="shared" ref="D16:N16" si="3">SUM(D8)</f>
        <v>0</v>
      </c>
      <c r="E16" s="111">
        <f t="shared" si="3"/>
        <v>0</v>
      </c>
      <c r="F16" s="111">
        <f t="shared" si="3"/>
        <v>0</v>
      </c>
      <c r="G16" s="111">
        <f t="shared" si="3"/>
        <v>0</v>
      </c>
      <c r="H16" s="111">
        <f t="shared" si="3"/>
        <v>0</v>
      </c>
      <c r="I16" s="111">
        <f t="shared" si="3"/>
        <v>0</v>
      </c>
      <c r="J16" s="111">
        <f t="shared" si="3"/>
        <v>0</v>
      </c>
      <c r="K16" s="111">
        <f t="shared" si="3"/>
        <v>0</v>
      </c>
      <c r="L16" s="111">
        <f t="shared" si="3"/>
        <v>0</v>
      </c>
      <c r="M16" s="111">
        <f t="shared" si="3"/>
        <v>0</v>
      </c>
      <c r="N16" s="111">
        <f t="shared" si="3"/>
        <v>0</v>
      </c>
      <c r="O16" s="69">
        <f>SUM(C16:N16)</f>
        <v>0</v>
      </c>
    </row>
    <row r="17" spans="1:15">
      <c r="A17" s="112" t="s">
        <v>66</v>
      </c>
      <c r="B17" s="75"/>
      <c r="C17" s="1">
        <f>SUM(0)</f>
        <v>0</v>
      </c>
      <c r="D17" s="1">
        <f t="shared" ref="D17:N17" si="4">SUM(0)</f>
        <v>0</v>
      </c>
      <c r="E17" s="1">
        <f t="shared" si="4"/>
        <v>0</v>
      </c>
      <c r="F17" s="1">
        <f t="shared" si="4"/>
        <v>0</v>
      </c>
      <c r="G17" s="1">
        <f t="shared" si="4"/>
        <v>0</v>
      </c>
      <c r="H17" s="1">
        <f t="shared" si="4"/>
        <v>0</v>
      </c>
      <c r="I17" s="1">
        <f t="shared" si="4"/>
        <v>0</v>
      </c>
      <c r="J17" s="1">
        <f t="shared" si="4"/>
        <v>0</v>
      </c>
      <c r="K17" s="1">
        <f t="shared" si="4"/>
        <v>0</v>
      </c>
      <c r="L17" s="1">
        <f t="shared" si="4"/>
        <v>0</v>
      </c>
      <c r="M17" s="1">
        <f t="shared" si="4"/>
        <v>0</v>
      </c>
      <c r="N17" s="1">
        <f t="shared" si="4"/>
        <v>0</v>
      </c>
      <c r="O17" s="69">
        <f>SUM(C17:N17)</f>
        <v>0</v>
      </c>
    </row>
    <row r="18" spans="1:15">
      <c r="A18" s="75" t="s">
        <v>67</v>
      </c>
      <c r="B18" s="75"/>
      <c r="C18" s="1">
        <f>SUM(C15:C17)</f>
        <v>0</v>
      </c>
      <c r="D18" s="1">
        <f>SUM(D15:D17)</f>
        <v>0</v>
      </c>
      <c r="E18" s="1">
        <f t="shared" ref="E18:N18" si="5">SUM(E15:E17)</f>
        <v>0</v>
      </c>
      <c r="F18" s="1">
        <f t="shared" si="5"/>
        <v>0</v>
      </c>
      <c r="G18" s="1">
        <f t="shared" si="5"/>
        <v>0</v>
      </c>
      <c r="H18" s="1">
        <f t="shared" si="5"/>
        <v>0</v>
      </c>
      <c r="I18" s="1">
        <f>SUM(I15:I17)</f>
        <v>0</v>
      </c>
      <c r="J18" s="1">
        <f t="shared" si="5"/>
        <v>0</v>
      </c>
      <c r="K18" s="1">
        <f t="shared" si="5"/>
        <v>0</v>
      </c>
      <c r="L18" s="1">
        <f t="shared" si="5"/>
        <v>0</v>
      </c>
      <c r="M18" s="1">
        <f t="shared" si="5"/>
        <v>0</v>
      </c>
      <c r="N18" s="1">
        <f t="shared" si="5"/>
        <v>0</v>
      </c>
      <c r="O18" s="69">
        <f>SUM(C18:N18)</f>
        <v>0</v>
      </c>
    </row>
    <row r="19" spans="1:15">
      <c r="B19" s="75"/>
    </row>
    <row r="21" spans="1:15">
      <c r="C21" t="s">
        <v>79</v>
      </c>
    </row>
    <row r="22" spans="1:15">
      <c r="C22" s="189" t="s">
        <v>73</v>
      </c>
      <c r="D22" s="189"/>
      <c r="E22" s="188" t="s">
        <v>74</v>
      </c>
      <c r="F22" s="188"/>
    </row>
    <row r="23" spans="1:15">
      <c r="B23" s="122" t="s">
        <v>75</v>
      </c>
      <c r="C23" s="98">
        <f>SUM(C16:G16)</f>
        <v>0</v>
      </c>
      <c r="D23" s="131">
        <f>SUM(C6:G6)</f>
        <v>0</v>
      </c>
      <c r="E23" s="98">
        <f>SUM(H16:N16)</f>
        <v>0</v>
      </c>
      <c r="F23" s="131">
        <f>SUM(H6:N6)</f>
        <v>0</v>
      </c>
    </row>
    <row r="24" spans="1:15" ht="14.25" thickBot="1">
      <c r="B24" s="123" t="s">
        <v>76</v>
      </c>
      <c r="C24" s="132">
        <f>SUM(C17:G17)</f>
        <v>0</v>
      </c>
      <c r="D24" s="133">
        <f>SUM(C11:G11)</f>
        <v>0</v>
      </c>
      <c r="E24" s="134">
        <f>SUM(H17:N17)</f>
        <v>0</v>
      </c>
      <c r="F24" s="131">
        <f>SUM(H11:N11)</f>
        <v>0</v>
      </c>
    </row>
    <row r="25" spans="1:15" ht="14.25" thickTop="1">
      <c r="B25" s="124" t="s">
        <v>77</v>
      </c>
      <c r="C25" s="135">
        <f>SUM(C23:C24)</f>
        <v>0</v>
      </c>
      <c r="D25" s="136">
        <f>SUM(D23:D24)</f>
        <v>0</v>
      </c>
      <c r="E25" s="98">
        <f>SUM(E23:E24)</f>
        <v>0</v>
      </c>
      <c r="F25" s="136">
        <f>SUM(F23:F24)</f>
        <v>0</v>
      </c>
    </row>
    <row r="26" spans="1:15">
      <c r="C26" s="132"/>
      <c r="D26" s="137"/>
      <c r="E26" s="132"/>
      <c r="F26" s="137"/>
    </row>
    <row r="27" spans="1:15">
      <c r="C27" s="101"/>
      <c r="F27" s="98"/>
    </row>
    <row r="28" spans="1:15">
      <c r="C28" s="101"/>
      <c r="F28" s="98"/>
    </row>
    <row r="29" spans="1:15">
      <c r="C29" s="101"/>
      <c r="F29" s="98"/>
    </row>
    <row r="46" ht="18" customHeight="1"/>
  </sheetData>
  <mergeCells count="3">
    <mergeCell ref="A4:B4"/>
    <mergeCell ref="E22:F22"/>
    <mergeCell ref="C22:D22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9" tint="0.59999389629810485"/>
  </sheetPr>
  <dimension ref="A1:Q19"/>
  <sheetViews>
    <sheetView workbookViewId="0">
      <selection activeCell="H23" sqref="H23"/>
    </sheetView>
  </sheetViews>
  <sheetFormatPr defaultRowHeight="13.5"/>
  <cols>
    <col min="3" max="3" width="13.25" customWidth="1"/>
  </cols>
  <sheetData>
    <row r="1" spans="1:17">
      <c r="A1" s="142"/>
      <c r="B1" s="190" t="s">
        <v>12</v>
      </c>
      <c r="C1" s="104" t="s">
        <v>87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76"/>
      <c r="P1" s="30"/>
      <c r="Q1" s="19">
        <f>SUM(D1:P1)</f>
        <v>0</v>
      </c>
    </row>
    <row r="2" spans="1:17">
      <c r="A2" s="143"/>
      <c r="B2" s="172"/>
      <c r="C2" s="105" t="s">
        <v>89</v>
      </c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79"/>
      <c r="P2" s="31"/>
      <c r="Q2" s="20">
        <f t="shared" ref="Q2:Q19" si="0">SUM(D2:P2)</f>
        <v>0</v>
      </c>
    </row>
    <row r="3" spans="1:17">
      <c r="A3" s="143"/>
      <c r="B3" s="191"/>
      <c r="C3" s="106" t="s">
        <v>88</v>
      </c>
      <c r="D3" s="87"/>
      <c r="E3" s="88"/>
      <c r="F3" s="88"/>
      <c r="G3" s="88"/>
      <c r="H3" s="87"/>
      <c r="I3" s="87"/>
      <c r="J3" s="87"/>
      <c r="K3" s="87"/>
      <c r="L3" s="87"/>
      <c r="M3" s="87"/>
      <c r="N3" s="87"/>
      <c r="O3" s="17"/>
      <c r="P3" s="28"/>
      <c r="Q3" s="20">
        <f t="shared" si="0"/>
        <v>0</v>
      </c>
    </row>
    <row r="4" spans="1:17">
      <c r="A4" s="143"/>
      <c r="B4" s="191"/>
      <c r="C4" s="107" t="s">
        <v>90</v>
      </c>
      <c r="D4" s="89"/>
      <c r="E4" s="87"/>
      <c r="F4" s="87"/>
      <c r="G4" s="89"/>
      <c r="H4" s="89"/>
      <c r="I4" s="89"/>
      <c r="J4" s="89"/>
      <c r="K4" s="89"/>
      <c r="L4" s="89"/>
      <c r="M4" s="89"/>
      <c r="N4" s="89"/>
      <c r="O4" s="78"/>
      <c r="P4" s="32"/>
      <c r="Q4" s="20">
        <f t="shared" si="0"/>
        <v>0</v>
      </c>
    </row>
    <row r="5" spans="1:17">
      <c r="A5" s="143"/>
      <c r="B5" s="191"/>
      <c r="C5" s="107" t="s">
        <v>91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78"/>
      <c r="P5" s="32"/>
      <c r="Q5" s="20">
        <f t="shared" si="0"/>
        <v>0</v>
      </c>
    </row>
    <row r="6" spans="1:17">
      <c r="A6" s="143"/>
      <c r="B6" s="191"/>
      <c r="C6" s="107" t="s">
        <v>92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78"/>
      <c r="P6" s="32"/>
      <c r="Q6" s="20">
        <f>SUM(D6:P6)</f>
        <v>0</v>
      </c>
    </row>
    <row r="7" spans="1:17">
      <c r="A7" s="143"/>
      <c r="B7" s="191"/>
      <c r="C7" s="106" t="s">
        <v>93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78"/>
      <c r="P7" s="32"/>
      <c r="Q7" s="20">
        <f t="shared" si="0"/>
        <v>0</v>
      </c>
    </row>
    <row r="8" spans="1:17">
      <c r="A8" s="143"/>
      <c r="B8" s="191"/>
      <c r="C8" s="108" t="s">
        <v>94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18"/>
      <c r="P8" s="33"/>
      <c r="Q8" s="22">
        <f t="shared" si="0"/>
        <v>0</v>
      </c>
    </row>
    <row r="9" spans="1:17">
      <c r="A9" s="143"/>
      <c r="B9" s="191" t="s">
        <v>11</v>
      </c>
      <c r="C9" s="109" t="s">
        <v>7</v>
      </c>
      <c r="D9" s="91"/>
      <c r="E9" s="91"/>
      <c r="F9" s="91"/>
      <c r="G9" s="91"/>
      <c r="H9" s="91"/>
      <c r="I9" s="91"/>
      <c r="J9" s="91"/>
      <c r="K9" s="91"/>
      <c r="L9" s="92"/>
      <c r="M9" s="92"/>
      <c r="N9" s="92"/>
      <c r="O9" s="77"/>
      <c r="P9" s="27"/>
      <c r="Q9" s="21">
        <f t="shared" si="0"/>
        <v>0</v>
      </c>
    </row>
    <row r="10" spans="1:17">
      <c r="A10" s="143"/>
      <c r="B10" s="191"/>
      <c r="C10" s="107" t="s">
        <v>4</v>
      </c>
      <c r="D10" s="93"/>
      <c r="E10" s="93"/>
      <c r="F10" s="93"/>
      <c r="G10" s="93"/>
      <c r="H10" s="93"/>
      <c r="I10" s="93"/>
      <c r="J10" s="93"/>
      <c r="K10" s="93"/>
      <c r="L10" s="89"/>
      <c r="M10" s="89"/>
      <c r="N10" s="89"/>
      <c r="O10" s="78"/>
      <c r="P10" s="32"/>
      <c r="Q10" s="20">
        <f t="shared" si="0"/>
        <v>0</v>
      </c>
    </row>
    <row r="11" spans="1:17">
      <c r="A11" s="143"/>
      <c r="B11" s="191"/>
      <c r="C11" s="107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78"/>
      <c r="P11" s="32"/>
      <c r="Q11" s="20">
        <f t="shared" si="0"/>
        <v>0</v>
      </c>
    </row>
    <row r="12" spans="1:17">
      <c r="A12" s="143"/>
      <c r="B12" s="191"/>
      <c r="C12" s="107" t="s">
        <v>18</v>
      </c>
      <c r="D12" s="88"/>
      <c r="E12" s="88"/>
      <c r="F12" s="88"/>
      <c r="G12" s="88"/>
      <c r="H12" s="89"/>
      <c r="I12" s="89"/>
      <c r="J12" s="89"/>
      <c r="K12" s="89"/>
      <c r="L12" s="89"/>
      <c r="M12" s="89"/>
      <c r="N12" s="89"/>
      <c r="O12" s="78"/>
      <c r="P12" s="32"/>
      <c r="Q12" s="20">
        <f t="shared" si="0"/>
        <v>0</v>
      </c>
    </row>
    <row r="13" spans="1:17">
      <c r="A13" s="143"/>
      <c r="B13" s="191"/>
      <c r="C13" s="110" t="s">
        <v>19</v>
      </c>
      <c r="D13" s="94"/>
      <c r="E13" s="94"/>
      <c r="F13" s="94"/>
      <c r="G13" s="94"/>
      <c r="H13" s="90"/>
      <c r="I13" s="90"/>
      <c r="J13" s="90"/>
      <c r="K13" s="90"/>
      <c r="L13" s="90"/>
      <c r="M13" s="90"/>
      <c r="N13" s="90"/>
      <c r="O13" s="18"/>
      <c r="P13" s="33"/>
      <c r="Q13" s="22">
        <f t="shared" si="0"/>
        <v>0</v>
      </c>
    </row>
    <row r="14" spans="1:17">
      <c r="A14" s="143"/>
      <c r="B14" s="191" t="s">
        <v>13</v>
      </c>
      <c r="C14" s="109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77"/>
      <c r="P14" s="27"/>
      <c r="Q14" s="21">
        <f t="shared" si="0"/>
        <v>0</v>
      </c>
    </row>
    <row r="15" spans="1:17">
      <c r="A15" s="143"/>
      <c r="B15" s="191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17"/>
      <c r="P15" s="28"/>
      <c r="Q15" s="20">
        <f t="shared" si="0"/>
        <v>0</v>
      </c>
    </row>
    <row r="16" spans="1:17">
      <c r="A16" s="143"/>
      <c r="B16" s="191"/>
      <c r="C16" s="106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43"/>
      <c r="B17" s="191"/>
      <c r="C17" s="110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18"/>
      <c r="P17" s="33"/>
      <c r="Q17" s="22">
        <f t="shared" si="0"/>
        <v>0</v>
      </c>
    </row>
    <row r="18" spans="1:17">
      <c r="A18" s="143"/>
      <c r="B18" s="158" t="s">
        <v>54</v>
      </c>
      <c r="C18" s="159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44"/>
      <c r="B19" s="149" t="s">
        <v>5</v>
      </c>
      <c r="C19" s="150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Q19"/>
  <sheetViews>
    <sheetView workbookViewId="0">
      <selection activeCell="H9" sqref="H9"/>
    </sheetView>
  </sheetViews>
  <sheetFormatPr defaultRowHeight="13.5"/>
  <cols>
    <col min="3" max="3" width="13.625" customWidth="1"/>
  </cols>
  <sheetData>
    <row r="1" spans="1:17">
      <c r="A1" s="151"/>
      <c r="B1" s="170" t="s">
        <v>95</v>
      </c>
      <c r="C1" s="104" t="s">
        <v>84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30"/>
      <c r="Q1" s="118">
        <f>SUM(D1:P1)</f>
        <v>0</v>
      </c>
    </row>
    <row r="2" spans="1:17">
      <c r="A2" s="152"/>
      <c r="B2" s="171"/>
      <c r="C2" s="105" t="s">
        <v>85</v>
      </c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28"/>
      <c r="Q2" s="116">
        <f t="shared" ref="Q2:Q18" si="0">SUM(D2:P2)</f>
        <v>0</v>
      </c>
    </row>
    <row r="3" spans="1:17">
      <c r="A3" s="152"/>
      <c r="B3" s="171"/>
      <c r="C3" s="106" t="s">
        <v>86</v>
      </c>
      <c r="D3" s="89">
        <f t="shared" ref="D3:O3" si="1">D1*D2</f>
        <v>0</v>
      </c>
      <c r="E3" s="89">
        <f t="shared" si="1"/>
        <v>0</v>
      </c>
      <c r="F3" s="89">
        <f t="shared" si="1"/>
        <v>0</v>
      </c>
      <c r="G3" s="89">
        <f t="shared" si="1"/>
        <v>0</v>
      </c>
      <c r="H3" s="89">
        <f t="shared" si="1"/>
        <v>0</v>
      </c>
      <c r="I3" s="89">
        <f t="shared" si="1"/>
        <v>0</v>
      </c>
      <c r="J3" s="89">
        <f t="shared" si="1"/>
        <v>0</v>
      </c>
      <c r="K3" s="89">
        <f t="shared" si="1"/>
        <v>0</v>
      </c>
      <c r="L3" s="89">
        <f t="shared" si="1"/>
        <v>0</v>
      </c>
      <c r="M3" s="89">
        <f t="shared" si="1"/>
        <v>0</v>
      </c>
      <c r="N3" s="89">
        <f t="shared" si="1"/>
        <v>0</v>
      </c>
      <c r="O3" s="89">
        <f t="shared" si="1"/>
        <v>0</v>
      </c>
      <c r="P3" s="32"/>
      <c r="Q3" s="116">
        <f t="shared" si="0"/>
        <v>0</v>
      </c>
    </row>
    <row r="4" spans="1:17">
      <c r="A4" s="152"/>
      <c r="B4" s="171"/>
      <c r="C4" s="107" t="s">
        <v>9</v>
      </c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32"/>
      <c r="Q4" s="116">
        <f t="shared" si="0"/>
        <v>0</v>
      </c>
    </row>
    <row r="5" spans="1:17">
      <c r="A5" s="152"/>
      <c r="B5" s="171"/>
      <c r="C5" s="107" t="s">
        <v>38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28"/>
      <c r="Q5" s="116">
        <f>SUM(D5:P5)</f>
        <v>0</v>
      </c>
    </row>
    <row r="6" spans="1:17">
      <c r="A6" s="152"/>
      <c r="B6" s="171"/>
      <c r="C6" s="107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32"/>
      <c r="Q6" s="116">
        <f>SUM(D6:P6)</f>
        <v>0</v>
      </c>
    </row>
    <row r="7" spans="1:17">
      <c r="A7" s="152"/>
      <c r="B7" s="171"/>
      <c r="C7" s="62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32"/>
      <c r="Q7" s="116">
        <f>SUM(D7:P7)</f>
        <v>0</v>
      </c>
    </row>
    <row r="8" spans="1:17">
      <c r="A8" s="152"/>
      <c r="B8" s="172"/>
      <c r="C8" s="6" t="s">
        <v>42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33"/>
      <c r="Q8" s="119">
        <f t="shared" si="0"/>
        <v>0</v>
      </c>
    </row>
    <row r="9" spans="1:17">
      <c r="A9" s="152"/>
      <c r="B9" s="173" t="s">
        <v>11</v>
      </c>
      <c r="C9" s="5" t="s">
        <v>7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27"/>
      <c r="Q9" s="120">
        <f t="shared" si="0"/>
        <v>0</v>
      </c>
    </row>
    <row r="10" spans="1:17">
      <c r="A10" s="152"/>
      <c r="B10" s="171"/>
      <c r="C10" s="6" t="s">
        <v>4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32"/>
      <c r="Q10" s="116">
        <f t="shared" si="0"/>
        <v>0</v>
      </c>
    </row>
    <row r="11" spans="1:17">
      <c r="A11" s="152"/>
      <c r="B11" s="171"/>
      <c r="C11" s="6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32"/>
      <c r="Q11" s="116">
        <f t="shared" si="0"/>
        <v>0</v>
      </c>
    </row>
    <row r="12" spans="1:17">
      <c r="A12" s="152"/>
      <c r="B12" s="171"/>
      <c r="C12" s="6" t="s">
        <v>18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32"/>
      <c r="Q12" s="116">
        <f t="shared" si="0"/>
        <v>0</v>
      </c>
    </row>
    <row r="13" spans="1:17">
      <c r="A13" s="152"/>
      <c r="B13" s="171"/>
      <c r="C13" s="6" t="s">
        <v>60</v>
      </c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32"/>
      <c r="Q13" s="119">
        <f t="shared" si="0"/>
        <v>0</v>
      </c>
    </row>
    <row r="14" spans="1:17">
      <c r="A14" s="152"/>
      <c r="B14" s="173" t="s">
        <v>13</v>
      </c>
      <c r="C14" s="5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27"/>
      <c r="Q14" s="115">
        <f t="shared" si="0"/>
        <v>0</v>
      </c>
    </row>
    <row r="15" spans="1:17">
      <c r="A15" s="152"/>
      <c r="B15" s="171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28"/>
      <c r="Q15" s="116">
        <f t="shared" si="0"/>
        <v>0</v>
      </c>
    </row>
    <row r="16" spans="1:17">
      <c r="A16" s="152"/>
      <c r="B16" s="171"/>
      <c r="C16" s="8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28"/>
      <c r="Q16" s="116">
        <f t="shared" si="0"/>
        <v>0</v>
      </c>
    </row>
    <row r="17" spans="1:17" ht="14.25" thickBot="1">
      <c r="A17" s="152"/>
      <c r="B17" s="172"/>
      <c r="C17" s="4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33"/>
      <c r="Q17" s="117">
        <f t="shared" si="0"/>
        <v>0</v>
      </c>
    </row>
    <row r="18" spans="1:17" ht="14.25" thickBot="1">
      <c r="A18" s="152"/>
      <c r="B18" s="158" t="s">
        <v>54</v>
      </c>
      <c r="C18" s="159"/>
      <c r="D18" s="56">
        <f>SUM(D3:D8)-SUM(D12:D13)</f>
        <v>0</v>
      </c>
      <c r="E18" s="56">
        <f t="shared" ref="E18:O18" si="2">SUM(E3:E8)-SUM(E12:E13)</f>
        <v>0</v>
      </c>
      <c r="F18" s="56">
        <f t="shared" si="2"/>
        <v>0</v>
      </c>
      <c r="G18" s="56">
        <f t="shared" si="2"/>
        <v>0</v>
      </c>
      <c r="H18" s="56">
        <f t="shared" si="2"/>
        <v>0</v>
      </c>
      <c r="I18" s="56">
        <f t="shared" si="2"/>
        <v>0</v>
      </c>
      <c r="J18" s="56">
        <f t="shared" si="2"/>
        <v>0</v>
      </c>
      <c r="K18" s="56">
        <f t="shared" si="2"/>
        <v>0</v>
      </c>
      <c r="L18" s="56">
        <f t="shared" si="2"/>
        <v>0</v>
      </c>
      <c r="M18" s="56">
        <f t="shared" si="2"/>
        <v>0</v>
      </c>
      <c r="N18" s="56">
        <f t="shared" si="2"/>
        <v>0</v>
      </c>
      <c r="O18" s="56">
        <f t="shared" si="2"/>
        <v>0</v>
      </c>
      <c r="P18" s="58">
        <f>SUM(P1:P8)-SUM(P12:P13)</f>
        <v>0</v>
      </c>
      <c r="Q18" s="114">
        <f t="shared" si="0"/>
        <v>0</v>
      </c>
    </row>
    <row r="19" spans="1:17" ht="14.25" thickBot="1">
      <c r="A19" s="153"/>
      <c r="B19" s="149" t="s">
        <v>5</v>
      </c>
      <c r="C19" s="150"/>
      <c r="D19" s="42">
        <f>SUM(D3:D8)-SUM(D9:D13)+SUM(D14:D17)</f>
        <v>0</v>
      </c>
      <c r="E19" s="42">
        <f t="shared" ref="E19:O19" si="3">SUM(E3:E8)-SUM(E9:E13)+SUM(E14:E17)</f>
        <v>0</v>
      </c>
      <c r="F19" s="42">
        <f t="shared" si="3"/>
        <v>0</v>
      </c>
      <c r="G19" s="42">
        <f t="shared" si="3"/>
        <v>0</v>
      </c>
      <c r="H19" s="42">
        <f t="shared" si="3"/>
        <v>0</v>
      </c>
      <c r="I19" s="42">
        <f t="shared" si="3"/>
        <v>0</v>
      </c>
      <c r="J19" s="42">
        <f t="shared" si="3"/>
        <v>0</v>
      </c>
      <c r="K19" s="42">
        <f t="shared" si="3"/>
        <v>0</v>
      </c>
      <c r="L19" s="42">
        <f t="shared" si="3"/>
        <v>0</v>
      </c>
      <c r="M19" s="42">
        <f t="shared" si="3"/>
        <v>0</v>
      </c>
      <c r="N19" s="42">
        <f t="shared" si="3"/>
        <v>0</v>
      </c>
      <c r="O19" s="42">
        <f t="shared" si="3"/>
        <v>0</v>
      </c>
      <c r="P19" s="44">
        <f>SUM(P1:P8)-SUM(P9:P13)+SUM(P14:P17)</f>
        <v>0</v>
      </c>
      <c r="Q19" s="46">
        <f>SUM(D19:P19)</f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■2017年度　社員給与詳細 (雛形)</vt:lpstr>
      <vt:lpstr>■2017年度　社員給与詳細</vt:lpstr>
      <vt:lpstr>■振込額一覧</vt:lpstr>
      <vt:lpstr>EmployeeData</vt:lpstr>
      <vt:lpstr>PartData</vt:lpstr>
      <vt:lpstr>'■2017年度　社員給与詳細'!Print_Area</vt:lpstr>
      <vt:lpstr>'■2017年度　社員給与詳細 (雛形)'!Print_Area</vt:lpstr>
      <vt:lpstr>'■2017年度　社員給与詳細'!Print_Titles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2017-08-16T04:54:27Z</dcterms:modified>
</cp:coreProperties>
</file>