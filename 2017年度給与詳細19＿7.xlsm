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2"/>
  </bookViews>
  <sheets>
    <sheet name="■2017年度　社員給与詳細 (雛形)" sheetId="9" r:id="rId1"/>
    <sheet name="■2017年度　社員給与詳細" sheetId="13" r:id="rId2"/>
    <sheet name="■振込額一覧" sheetId="6" r:id="rId3"/>
    <sheet name="EmployeeData" sheetId="12" r:id="rId4"/>
    <sheet name="PartData" sheetId="14" r:id="rId5"/>
    <sheet name="Sheet1" sheetId="15" r:id="rId6"/>
  </sheets>
  <definedNames>
    <definedName name="_xlnm.Print_Area" localSheetId="1">'■2017年度　社員給与詳細'!$A$1:$P$155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P146" i="13"/>
  <c r="L146"/>
  <c r="H146"/>
  <c r="D146"/>
  <c r="P145"/>
  <c r="N145"/>
  <c r="J145"/>
  <c r="F145"/>
  <c r="Q144"/>
  <c r="Q143"/>
  <c r="Q142"/>
  <c r="Q141"/>
  <c r="Q140"/>
  <c r="Q139"/>
  <c r="Q138"/>
  <c r="Q137"/>
  <c r="Q136"/>
  <c r="Q135"/>
  <c r="Q134"/>
  <c r="Q133"/>
  <c r="Q132"/>
  <c r="Q131"/>
  <c r="O130"/>
  <c r="O146" s="1"/>
  <c r="N130"/>
  <c r="N146" s="1"/>
  <c r="M130"/>
  <c r="M145" s="1"/>
  <c r="L130"/>
  <c r="L145" s="1"/>
  <c r="K130"/>
  <c r="K146" s="1"/>
  <c r="J130"/>
  <c r="J146" s="1"/>
  <c r="I130"/>
  <c r="I145" s="1"/>
  <c r="H130"/>
  <c r="H145" s="1"/>
  <c r="G130"/>
  <c r="G146" s="1"/>
  <c r="F130"/>
  <c r="F146" s="1"/>
  <c r="E130"/>
  <c r="E145" s="1"/>
  <c r="D130"/>
  <c r="D145" s="1"/>
  <c r="Q129"/>
  <c r="Q128"/>
  <c r="P127"/>
  <c r="M127"/>
  <c r="P126"/>
  <c r="O126"/>
  <c r="Q125"/>
  <c r="Q124"/>
  <c r="Q123"/>
  <c r="Q122"/>
  <c r="Q121"/>
  <c r="Q120"/>
  <c r="Q119"/>
  <c r="Q118"/>
  <c r="Q117"/>
  <c r="Q116"/>
  <c r="Q115"/>
  <c r="Q114"/>
  <c r="Q113"/>
  <c r="Q112"/>
  <c r="O111"/>
  <c r="O127" s="1"/>
  <c r="N111"/>
  <c r="N127" s="1"/>
  <c r="M111"/>
  <c r="M126" s="1"/>
  <c r="L111"/>
  <c r="L126" s="1"/>
  <c r="K111"/>
  <c r="K127" s="1"/>
  <c r="J111"/>
  <c r="J127" s="1"/>
  <c r="I111"/>
  <c r="I126" s="1"/>
  <c r="H111"/>
  <c r="H126" s="1"/>
  <c r="G111"/>
  <c r="G127" s="1"/>
  <c r="F111"/>
  <c r="F127" s="1"/>
  <c r="E111"/>
  <c r="E126" s="1"/>
  <c r="D111"/>
  <c r="D126" s="1"/>
  <c r="Q110"/>
  <c r="Q109"/>
  <c r="P108"/>
  <c r="P107"/>
  <c r="Q106"/>
  <c r="Q105"/>
  <c r="Q104"/>
  <c r="Q103"/>
  <c r="Q102"/>
  <c r="Q101"/>
  <c r="Q100"/>
  <c r="Q99"/>
  <c r="Q98"/>
  <c r="Q97"/>
  <c r="Q96"/>
  <c r="Q95"/>
  <c r="Q94"/>
  <c r="Q93"/>
  <c r="O92"/>
  <c r="O107" s="1"/>
  <c r="N92"/>
  <c r="N108" s="1"/>
  <c r="M92"/>
  <c r="M108" s="1"/>
  <c r="L92"/>
  <c r="L107" s="1"/>
  <c r="K92"/>
  <c r="K107" s="1"/>
  <c r="J92"/>
  <c r="J108" s="1"/>
  <c r="I92"/>
  <c r="I108" s="1"/>
  <c r="H92"/>
  <c r="H107" s="1"/>
  <c r="G92"/>
  <c r="G107" s="1"/>
  <c r="F92"/>
  <c r="F108" s="1"/>
  <c r="E92"/>
  <c r="E108" s="1"/>
  <c r="D92"/>
  <c r="D107" s="1"/>
  <c r="Q91"/>
  <c r="Q90"/>
  <c r="P89"/>
  <c r="P88"/>
  <c r="K88"/>
  <c r="Q87"/>
  <c r="Q86"/>
  <c r="Q85"/>
  <c r="Q84"/>
  <c r="Q83"/>
  <c r="Q82"/>
  <c r="Q81"/>
  <c r="Q80"/>
  <c r="Q79"/>
  <c r="Q78"/>
  <c r="Q77"/>
  <c r="Q76"/>
  <c r="Q75"/>
  <c r="Q74"/>
  <c r="O73"/>
  <c r="O89" s="1"/>
  <c r="N73"/>
  <c r="N89" s="1"/>
  <c r="M73"/>
  <c r="M88" s="1"/>
  <c r="L73"/>
  <c r="L88" s="1"/>
  <c r="K73"/>
  <c r="K89" s="1"/>
  <c r="J73"/>
  <c r="J89" s="1"/>
  <c r="I73"/>
  <c r="I89" s="1"/>
  <c r="H73"/>
  <c r="H88" s="1"/>
  <c r="G73"/>
  <c r="G89" s="1"/>
  <c r="F73"/>
  <c r="F89" s="1"/>
  <c r="E73"/>
  <c r="E88" s="1"/>
  <c r="D73"/>
  <c r="D88" s="1"/>
  <c r="Q72"/>
  <c r="Q71"/>
  <c r="D19" i="6"/>
  <c r="E19"/>
  <c r="F19"/>
  <c r="G19"/>
  <c r="H19"/>
  <c r="I19"/>
  <c r="J19"/>
  <c r="K19"/>
  <c r="L19"/>
  <c r="M19"/>
  <c r="N19"/>
  <c r="C19"/>
  <c r="B10"/>
  <c r="B11"/>
  <c r="P70" i="13"/>
  <c r="O70"/>
  <c r="N70"/>
  <c r="M70"/>
  <c r="L70"/>
  <c r="K70"/>
  <c r="J70"/>
  <c r="I70"/>
  <c r="H70"/>
  <c r="G70"/>
  <c r="F70"/>
  <c r="E70"/>
  <c r="D70"/>
  <c r="E10" i="6" s="1"/>
  <c r="P69" i="13"/>
  <c r="O69"/>
  <c r="N69"/>
  <c r="M69"/>
  <c r="L69"/>
  <c r="K69"/>
  <c r="J69"/>
  <c r="I69"/>
  <c r="H69"/>
  <c r="G69"/>
  <c r="F69"/>
  <c r="E69"/>
  <c r="D69"/>
  <c r="Q68"/>
  <c r="Q67"/>
  <c r="Q66"/>
  <c r="Q65"/>
  <c r="Q64"/>
  <c r="Q63"/>
  <c r="Q62"/>
  <c r="Q61"/>
  <c r="Q60"/>
  <c r="Q59"/>
  <c r="Q58"/>
  <c r="Q57"/>
  <c r="Q56"/>
  <c r="Q55"/>
  <c r="Q54"/>
  <c r="Q53"/>
  <c r="Q52"/>
  <c r="B9" i="6"/>
  <c r="P51" i="13"/>
  <c r="O51"/>
  <c r="N51"/>
  <c r="M51"/>
  <c r="L51"/>
  <c r="K51"/>
  <c r="J51"/>
  <c r="I51"/>
  <c r="H51"/>
  <c r="G51"/>
  <c r="F51"/>
  <c r="E51"/>
  <c r="D51"/>
  <c r="D9" i="6" s="1"/>
  <c r="P50" i="13"/>
  <c r="O50"/>
  <c r="N50"/>
  <c r="M50"/>
  <c r="L50"/>
  <c r="K50"/>
  <c r="J50"/>
  <c r="I50"/>
  <c r="H50"/>
  <c r="G50"/>
  <c r="F50"/>
  <c r="E50"/>
  <c r="D50"/>
  <c r="Q49"/>
  <c r="Q48"/>
  <c r="Q47"/>
  <c r="Q46"/>
  <c r="Q45"/>
  <c r="Q44"/>
  <c r="Q43"/>
  <c r="Q42"/>
  <c r="Q41"/>
  <c r="Q40"/>
  <c r="Q39"/>
  <c r="Q38"/>
  <c r="Q37"/>
  <c r="Q36"/>
  <c r="Q35"/>
  <c r="Q34"/>
  <c r="Q33"/>
  <c r="D158"/>
  <c r="F158"/>
  <c r="G158"/>
  <c r="H158"/>
  <c r="I158"/>
  <c r="J158"/>
  <c r="K158"/>
  <c r="L158"/>
  <c r="M158"/>
  <c r="N158"/>
  <c r="O158"/>
  <c r="E158"/>
  <c r="D31"/>
  <c r="D32"/>
  <c r="D13"/>
  <c r="D150"/>
  <c r="D19" i="14"/>
  <c r="D18"/>
  <c r="Q6"/>
  <c r="Q7"/>
  <c r="Q5"/>
  <c r="P19"/>
  <c r="P18"/>
  <c r="N18"/>
  <c r="M18"/>
  <c r="J18"/>
  <c r="I18"/>
  <c r="F18"/>
  <c r="E18"/>
  <c r="Q17"/>
  <c r="Q16"/>
  <c r="Q15"/>
  <c r="Q14"/>
  <c r="Q13"/>
  <c r="Q12"/>
  <c r="Q11"/>
  <c r="Q10"/>
  <c r="Q9"/>
  <c r="Q8"/>
  <c r="Q4"/>
  <c r="O3"/>
  <c r="O18" s="1"/>
  <c r="N3"/>
  <c r="N19" s="1"/>
  <c r="M3"/>
  <c r="M19" s="1"/>
  <c r="L3"/>
  <c r="L18" s="1"/>
  <c r="K3"/>
  <c r="K19" s="1"/>
  <c r="J3"/>
  <c r="J19" s="1"/>
  <c r="I3"/>
  <c r="I19" s="1"/>
  <c r="H3"/>
  <c r="H18" s="1"/>
  <c r="G3"/>
  <c r="G19" s="1"/>
  <c r="F3"/>
  <c r="F19" s="1"/>
  <c r="E3"/>
  <c r="E19" s="1"/>
  <c r="D3"/>
  <c r="Q2"/>
  <c r="Q1"/>
  <c r="F25" i="6"/>
  <c r="D25"/>
  <c r="G145" i="13" l="1"/>
  <c r="K145"/>
  <c r="O145"/>
  <c r="Q145" s="1"/>
  <c r="E146"/>
  <c r="Q146" s="1"/>
  <c r="I146"/>
  <c r="M146"/>
  <c r="Q130"/>
  <c r="I107"/>
  <c r="K126"/>
  <c r="I127"/>
  <c r="G126"/>
  <c r="E127"/>
  <c r="F126"/>
  <c r="Q126" s="1"/>
  <c r="J126"/>
  <c r="N126"/>
  <c r="D127"/>
  <c r="H127"/>
  <c r="L127"/>
  <c r="Q111"/>
  <c r="K108"/>
  <c r="M107"/>
  <c r="O108"/>
  <c r="E107"/>
  <c r="G108"/>
  <c r="Q92"/>
  <c r="D147"/>
  <c r="F107"/>
  <c r="J107"/>
  <c r="N107"/>
  <c r="D108"/>
  <c r="H108"/>
  <c r="L108"/>
  <c r="E89"/>
  <c r="I88"/>
  <c r="G88"/>
  <c r="O88"/>
  <c r="M89"/>
  <c r="F88"/>
  <c r="Q88" s="1"/>
  <c r="J88"/>
  <c r="N88"/>
  <c r="D89"/>
  <c r="H89"/>
  <c r="L89"/>
  <c r="Q73"/>
  <c r="I14" i="6"/>
  <c r="M14"/>
  <c r="F14"/>
  <c r="N14"/>
  <c r="J14"/>
  <c r="E14"/>
  <c r="F159" i="13"/>
  <c r="N159"/>
  <c r="H159"/>
  <c r="L159"/>
  <c r="G10" i="6"/>
  <c r="K10"/>
  <c r="C10"/>
  <c r="J9"/>
  <c r="N9"/>
  <c r="Q69" i="13"/>
  <c r="N10" i="6"/>
  <c r="J10"/>
  <c r="F10"/>
  <c r="F9"/>
  <c r="Q70" i="13"/>
  <c r="Q10" i="6" s="1"/>
  <c r="L10"/>
  <c r="H10"/>
  <c r="D10"/>
  <c r="Q50" i="13"/>
  <c r="M10" i="6"/>
  <c r="I10"/>
  <c r="C9"/>
  <c r="K9"/>
  <c r="G9"/>
  <c r="L9"/>
  <c r="H9"/>
  <c r="Q51" i="13"/>
  <c r="Q9" i="6" s="1"/>
  <c r="M9"/>
  <c r="I9"/>
  <c r="E9"/>
  <c r="M159" i="13"/>
  <c r="I159"/>
  <c r="E159"/>
  <c r="O159"/>
  <c r="K159"/>
  <c r="G159"/>
  <c r="J159"/>
  <c r="D159"/>
  <c r="D148"/>
  <c r="Q18" i="14"/>
  <c r="H19"/>
  <c r="L19"/>
  <c r="O19"/>
  <c r="G18"/>
  <c r="K18"/>
  <c r="Q3"/>
  <c r="Q127" i="13" l="1"/>
  <c r="Q107"/>
  <c r="Q108"/>
  <c r="Q89"/>
  <c r="K14" i="6"/>
  <c r="H14"/>
  <c r="G14"/>
  <c r="L14"/>
  <c r="O10"/>
  <c r="O9"/>
  <c r="Q19" i="14"/>
  <c r="D14" i="6" l="1"/>
  <c r="C14"/>
  <c r="F26"/>
  <c r="F27" s="1"/>
  <c r="C8"/>
  <c r="C18" s="1"/>
  <c r="D26" l="1"/>
  <c r="D27" s="1"/>
  <c r="G13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E26" i="6" l="1"/>
  <c r="Q18" i="12"/>
  <c r="Q19"/>
  <c r="C26" i="6" l="1"/>
  <c r="Q30" i="13" l="1"/>
  <c r="Q4"/>
  <c r="Q4" i="9"/>
  <c r="B8" i="6"/>
  <c r="B7"/>
  <c r="J155" i="13" l="1"/>
  <c r="J154"/>
  <c r="J153"/>
  <c r="J152"/>
  <c r="J151"/>
  <c r="J150"/>
  <c r="D155" l="1"/>
  <c r="E32"/>
  <c r="D63" i="9"/>
  <c r="D52"/>
  <c r="D8" i="6" l="1"/>
  <c r="D18" s="1"/>
  <c r="E155" i="13"/>
  <c r="F155"/>
  <c r="G155"/>
  <c r="H155"/>
  <c r="I155"/>
  <c r="K155"/>
  <c r="L155"/>
  <c r="M155"/>
  <c r="N155"/>
  <c r="O155"/>
  <c r="P155"/>
  <c r="Q155" s="1"/>
  <c r="E154"/>
  <c r="F154"/>
  <c r="G154"/>
  <c r="H154"/>
  <c r="I154"/>
  <c r="K154"/>
  <c r="L154"/>
  <c r="M154"/>
  <c r="N154"/>
  <c r="O154"/>
  <c r="P154"/>
  <c r="E153"/>
  <c r="F153"/>
  <c r="G153"/>
  <c r="H153"/>
  <c r="I153"/>
  <c r="K153"/>
  <c r="L153"/>
  <c r="M153"/>
  <c r="N153"/>
  <c r="O153"/>
  <c r="P153"/>
  <c r="E152"/>
  <c r="F152"/>
  <c r="G152"/>
  <c r="H152"/>
  <c r="I152"/>
  <c r="K152"/>
  <c r="L152"/>
  <c r="M152"/>
  <c r="N152"/>
  <c r="O152"/>
  <c r="P152"/>
  <c r="E151"/>
  <c r="F151"/>
  <c r="G151"/>
  <c r="H151"/>
  <c r="I151"/>
  <c r="K151"/>
  <c r="L151"/>
  <c r="M151"/>
  <c r="N151"/>
  <c r="O151"/>
  <c r="P151"/>
  <c r="E150"/>
  <c r="F150"/>
  <c r="G150"/>
  <c r="H150"/>
  <c r="I150"/>
  <c r="K150"/>
  <c r="L150"/>
  <c r="M150"/>
  <c r="N150"/>
  <c r="O150"/>
  <c r="P150"/>
  <c r="P148"/>
  <c r="Q148" s="1"/>
  <c r="D154"/>
  <c r="D153"/>
  <c r="D152"/>
  <c r="D151"/>
  <c r="P147"/>
  <c r="Q147" s="1"/>
  <c r="E147"/>
  <c r="F147"/>
  <c r="G147"/>
  <c r="H147"/>
  <c r="I147"/>
  <c r="K147"/>
  <c r="L147"/>
  <c r="M147"/>
  <c r="N147"/>
  <c r="O147"/>
  <c r="Q14"/>
  <c r="Q154" l="1"/>
  <c r="Q153"/>
  <c r="Q152"/>
  <c r="Q151"/>
  <c r="Q150"/>
  <c r="O148"/>
  <c r="N148"/>
  <c r="M148"/>
  <c r="L148"/>
  <c r="I148"/>
  <c r="H148"/>
  <c r="G148"/>
  <c r="E148"/>
  <c r="P32"/>
  <c r="P149" s="1"/>
  <c r="O32"/>
  <c r="N8" i="6" s="1"/>
  <c r="N18" s="1"/>
  <c r="N32" i="13"/>
  <c r="M8" i="6" s="1"/>
  <c r="M18" s="1"/>
  <c r="M32" i="13"/>
  <c r="L8" i="6" s="1"/>
  <c r="L18" s="1"/>
  <c r="L32" i="13"/>
  <c r="K8" i="6" s="1"/>
  <c r="K18" s="1"/>
  <c r="K32" i="13"/>
  <c r="J8" i="6" s="1"/>
  <c r="J18" s="1"/>
  <c r="J32" i="13"/>
  <c r="I8" i="6" s="1"/>
  <c r="I18" s="1"/>
  <c r="I32" i="13"/>
  <c r="H8" i="6" s="1"/>
  <c r="H18" s="1"/>
  <c r="H32" i="13"/>
  <c r="G8" i="6" s="1"/>
  <c r="G18" s="1"/>
  <c r="G32" i="13"/>
  <c r="F8" i="6" s="1"/>
  <c r="F18" s="1"/>
  <c r="F32" i="13"/>
  <c r="E8" i="6" s="1"/>
  <c r="E18" s="1"/>
  <c r="P31" i="13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7" i="6" s="1"/>
  <c r="N17" s="1"/>
  <c r="N13" i="13"/>
  <c r="M7" i="6" s="1"/>
  <c r="M13" i="13"/>
  <c r="L7" i="6" s="1"/>
  <c r="L13" i="13"/>
  <c r="K7" i="6" s="1"/>
  <c r="K17" s="1"/>
  <c r="K13" i="13"/>
  <c r="J7" i="6" s="1"/>
  <c r="J13" i="13"/>
  <c r="I7" i="6" s="1"/>
  <c r="I13" i="13"/>
  <c r="H7" i="6" s="1"/>
  <c r="H13" i="13"/>
  <c r="G7" i="6" s="1"/>
  <c r="G13" i="13"/>
  <c r="F7" i="6" s="1"/>
  <c r="F13" i="13"/>
  <c r="E7" i="6" s="1"/>
  <c r="E13" i="13"/>
  <c r="D7" i="6" s="1"/>
  <c r="D17" s="1"/>
  <c r="D20" s="1"/>
  <c r="Q12" i="13"/>
  <c r="Q11"/>
  <c r="Q10"/>
  <c r="Q9"/>
  <c r="Q8"/>
  <c r="Q7"/>
  <c r="Q6"/>
  <c r="Q5"/>
  <c r="C25" i="6" l="1"/>
  <c r="C27" s="1"/>
  <c r="C7"/>
  <c r="D149" i="13"/>
  <c r="E25" i="6"/>
  <c r="E27" s="1"/>
  <c r="O8"/>
  <c r="F148" i="13"/>
  <c r="J147"/>
  <c r="J148"/>
  <c r="O149"/>
  <c r="Q32"/>
  <c r="Q8" i="6" s="1"/>
  <c r="K149" i="13"/>
  <c r="K148"/>
  <c r="I149"/>
  <c r="H149"/>
  <c r="G149"/>
  <c r="M149"/>
  <c r="L149"/>
  <c r="Q31"/>
  <c r="E149"/>
  <c r="Q13"/>
  <c r="Q7" i="6" s="1"/>
  <c r="F149" i="13"/>
  <c r="J149"/>
  <c r="N149"/>
  <c r="C17" i="6" l="1"/>
  <c r="C20" s="1"/>
  <c r="O7"/>
  <c r="O18"/>
  <c r="Q149" i="13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7" i="6" l="1"/>
  <c r="J17" l="1"/>
  <c r="L17"/>
  <c r="I17"/>
  <c r="H17"/>
  <c r="F17"/>
  <c r="G17"/>
  <c r="E17"/>
  <c r="O17" l="1"/>
  <c r="O19"/>
  <c r="L20"/>
  <c r="I20" l="1"/>
  <c r="F20"/>
  <c r="K20"/>
  <c r="N20"/>
  <c r="J20"/>
  <c r="G20"/>
  <c r="E20"/>
  <c r="M20"/>
  <c r="H20" l="1"/>
  <c r="O20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71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9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09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  <comment ref="A128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3.xml><?xml version="1.0" encoding="utf-8"?>
<comments xmlns="http://schemas.openxmlformats.org/spreadsheetml/2006/main">
  <authors>
    <author>Yasuhiro Tanaka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<sst xmlns="http://schemas.openxmlformats.org/spreadsheetml/2006/main" count="379" uniqueCount="96">
  <si>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</si>
  <si>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</si>
  <si>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</si>
  <si>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</si>
  <si>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</si>
  <si>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</si>
  <si>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</si>
  <si>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</si>
  <si>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</si>
  <si>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</si>
  <si>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</si>
  <si>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</si>
  <si>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</si>
  <si>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</si>
  <si>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</si>
  <si>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</si>
  <si>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</si>
  <si>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</si>
  <si>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</si>
  <si>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</si>
  <si>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</si>
  <si>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</si>
  <si>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</si>
  <si>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</si>
  <si>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</si>
  <si>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</si>
  <si>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</si>
  <si>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</si>
  <si>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</si>
  <si>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</si>
  <si>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</si>
  <si>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</si>
  <si>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</si>
  <si>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</si>
  <si>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</si>
  <si>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</si>
  <si>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</si>
  <si>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</si>
  <si>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</si>
  <si>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</si>
  <si>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</si>
  <si>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</si>
  <si>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</si>
  <si>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</si>
  <si>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</si>
  <si>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</si>
  <si>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</si>
  <si>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</si>
  <si>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</si>
  <si>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</si>
  <si>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</si>
  <si>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</si>
  <si>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</si>
  <si>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</si>
  <si>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</si>
  <si>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</si>
  <si>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</si>
  <si>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</si>
  <si>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</si>
  <si>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</si>
  <si>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</si>
  <si>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</si>
  <si>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</si>
  <si>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</si>
  <si>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</si>
  <si>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</si>
  <si>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</si>
  <si>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</si>
  <si>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</si>
  <si>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</si>
  <si>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</si>
  <si>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</si>
  <si>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</si>
  <si>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</si>
  <si>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</si>
  <si>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</si>
  <si>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</si>
  <si>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</si>
  <si>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</si>
  <si>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</si>
  <si>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</si>
  <si>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</si>
  <si>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</si>
  <si>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</si>
  <si>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</si>
  <si>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</si>
  <si>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</si>
  <si>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</si>
  <si>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</si>
  <si>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</si>
  <si>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</si>
  <si>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</si>
  <si>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</si>
  <si>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</si>
  <si>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</si>
  <si>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 xml:space="preserve">支給 </t>
    <rPh sb="0" eb="2">
      <t>シキュウ</t>
    </rPh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</si>
</sst>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671F8"/>
        <bgColor indexed="64"/>
      </patternFill>
    </fill>
    <fill>
      <patternFill patternType="solid">
        <fgColor theme="7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86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3" fillId="9" borderId="0" xfId="0" applyFont="1" applyFill="1"/>
    <xf numFmtId="0" fontId="14" fillId="9" borderId="0" xfId="0" applyFont="1" applyFill="1"/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2" fillId="0" borderId="0" xfId="0" applyFont="1" applyFill="1"/>
    <xf numFmtId="0" fontId="0" fillId="14" borderId="8" xfId="0" applyFill="1" applyBorder="1" applyAlignment="1">
      <alignment horizontal="center" vertical="center"/>
    </xf>
    <xf numFmtId="14" fontId="4" fillId="0" borderId="0" xfId="0" applyNumberFormat="1" applyFont="1" applyFill="1"/>
    <xf numFmtId="0" fontId="5" fillId="15" borderId="0" xfId="0" applyFont="1" applyFill="1"/>
    <xf numFmtId="0" fontId="2" fillId="15" borderId="0" xfId="0" applyFont="1" applyFill="1"/>
    <xf numFmtId="0" fontId="2" fillId="15" borderId="0" xfId="0" applyFont="1" applyFill="1" applyAlignment="1">
      <alignment horizontal="center"/>
    </xf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0" fontId="0" fillId="0" borderId="0" xfId="0" applyNumberFormat="1" applyBorder="1"/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" fillId="14" borderId="8" xfId="0" applyFont="1" applyFill="1" applyBorder="1" applyAlignment="1">
      <alignment horizontal="center" vertical="center"/>
    </xf>
    <xf numFmtId="0" fontId="2" fillId="14" borderId="40" xfId="0" applyFont="1" applyFill="1" applyBorder="1" applyAlignment="1">
      <alignment horizontal="center" vertical="center"/>
    </xf>
    <xf numFmtId="0" fontId="2" fillId="14" borderId="30" xfId="0" applyFont="1" applyFill="1" applyBorder="1" applyAlignment="1">
      <alignment horizontal="center" vertical="center"/>
    </xf>
    <xf numFmtId="0" fontId="2" fillId="14" borderId="61" xfId="0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2" fillId="14" borderId="24" xfId="0" applyFont="1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2" fillId="13" borderId="7" xfId="0" applyFont="1" applyFill="1" applyBorder="1" applyAlignment="1">
      <alignment horizontal="center" vertical="center"/>
    </xf>
    <xf numFmtId="0" fontId="2" fillId="13" borderId="45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6" borderId="0" xfId="0" applyFill="1" applyAlignment="1">
      <alignment horizont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mruColors>
      <color rgb="FF5671F8"/>
      <color rgb="FF4E8FF8"/>
      <color rgb="FF76BBFA"/>
      <color rgb="FF000066"/>
      <color rgb="FF0827C4"/>
      <color rgb="FFC1E3FF"/>
      <color rgb="FF9ACBF8"/>
      <color rgb="FF6FDFF5"/>
      <color rgb="FFF7FAF4"/>
      <color rgb="FFF2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76249</xdr:colOff>
      <xdr:row>0</xdr:row>
      <xdr:rowOff>931333</xdr:rowOff>
    </xdr:from>
    <xdr:ext cx="1003251" cy="456331"/>
    <xdr:sp macro="[0]!employeeAddButton" textlink="">
      <xdr:nvSpPr>
        <xdr:cNvPr id="2" name="角丸四角形 1"/>
        <xdr:cNvSpPr/>
      </xdr:nvSpPr>
      <xdr:spPr bwMode="auto">
        <a:xfrm>
          <a:off x="2965499" y="931333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社員追加</a:t>
          </a:r>
        </a:p>
      </xdr:txBody>
    </xdr:sp>
    <xdr:clientData/>
  </xdr:oneCellAnchor>
  <xdr:oneCellAnchor>
    <xdr:from>
      <xdr:col>4</xdr:col>
      <xdr:colOff>228652</xdr:colOff>
      <xdr:row>0</xdr:row>
      <xdr:rowOff>935564</xdr:rowOff>
    </xdr:from>
    <xdr:ext cx="1003251" cy="456331"/>
    <xdr:sp macro="[0]!employeeDeleteButton" textlink="">
      <xdr:nvSpPr>
        <xdr:cNvPr id="3" name="角丸四角形 2"/>
        <xdr:cNvSpPr/>
      </xdr:nvSpPr>
      <xdr:spPr bwMode="auto">
        <a:xfrm>
          <a:off x="4017485" y="935564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社員削除</a:t>
          </a:r>
        </a:p>
      </xdr:txBody>
    </xdr:sp>
    <xdr:clientData/>
  </xdr:oneCellAnchor>
  <xdr:oneCellAnchor>
    <xdr:from>
      <xdr:col>6</xdr:col>
      <xdr:colOff>565199</xdr:colOff>
      <xdr:row>0</xdr:row>
      <xdr:rowOff>944032</xdr:rowOff>
    </xdr:from>
    <xdr:ext cx="1003251" cy="456331"/>
    <xdr:sp macro="[0]!partTimeDeleteButton" textlink="">
      <xdr:nvSpPr>
        <xdr:cNvPr id="5" name="角丸四角形 4"/>
        <xdr:cNvSpPr/>
      </xdr:nvSpPr>
      <xdr:spPr bwMode="auto">
        <a:xfrm>
          <a:off x="6153199" y="94403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バイト削除</a:t>
          </a:r>
        </a:p>
      </xdr:txBody>
    </xdr:sp>
    <xdr:clientData/>
  </xdr:oneCellAnchor>
  <xdr:oneCellAnchor>
    <xdr:from>
      <xdr:col>5</xdr:col>
      <xdr:colOff>389516</xdr:colOff>
      <xdr:row>0</xdr:row>
      <xdr:rowOff>937682</xdr:rowOff>
    </xdr:from>
    <xdr:ext cx="1003251" cy="456331"/>
    <xdr:sp macro="[0]!partTimeAddButton" textlink="">
      <xdr:nvSpPr>
        <xdr:cNvPr id="6" name="角丸四角形 5"/>
        <xdr:cNvSpPr/>
      </xdr:nvSpPr>
      <xdr:spPr bwMode="auto">
        <a:xfrm>
          <a:off x="5077933" y="93768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バイト追加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60" t="s">
        <v>83</v>
      </c>
      <c r="B4" s="105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61"/>
      <c r="B5" s="164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2" si="0">SUM(D5:P5)</f>
        <v>0</v>
      </c>
    </row>
    <row r="6" spans="1:17">
      <c r="A6" s="161"/>
      <c r="B6" s="164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61"/>
      <c r="B7" s="164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61"/>
      <c r="B8" s="164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61"/>
      <c r="B9" s="164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61"/>
      <c r="B10" s="167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61"/>
      <c r="B11" s="168"/>
      <c r="C11" s="99" t="s">
        <v>71</v>
      </c>
      <c r="D11" s="89"/>
      <c r="E11" s="101"/>
      <c r="F11" s="98"/>
      <c r="G11" s="98"/>
      <c r="H11" s="98"/>
      <c r="I11" s="98"/>
      <c r="J11" s="98"/>
      <c r="K11" s="98"/>
      <c r="L11" s="98"/>
      <c r="M11" s="88"/>
      <c r="N11" s="88"/>
      <c r="O11" s="17"/>
      <c r="P11" s="29"/>
      <c r="Q11" s="20">
        <f t="shared" si="0"/>
        <v>0</v>
      </c>
    </row>
    <row r="12" spans="1:17">
      <c r="A12" s="161"/>
      <c r="B12" s="169"/>
      <c r="C12" s="99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0"/>
      <c r="B14" s="163" t="s">
        <v>12</v>
      </c>
      <c r="C14" s="7" t="s">
        <v>8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 t="shared" si="0"/>
        <v>0</v>
      </c>
    </row>
    <row r="15" spans="1:17">
      <c r="A15" s="161"/>
      <c r="B15" s="156"/>
      <c r="C15" s="3" t="s">
        <v>14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61"/>
      <c r="B16" s="164"/>
      <c r="C16" s="8" t="s">
        <v>9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61"/>
      <c r="B17" s="164"/>
      <c r="C17" s="6" t="s">
        <v>52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61"/>
      <c r="B18" s="164"/>
      <c r="C18" s="6" t="s">
        <v>16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61"/>
      <c r="B19" s="164"/>
      <c r="C19" s="6" t="s">
        <v>38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61"/>
      <c r="B20" s="164"/>
      <c r="C20" s="8" t="s">
        <v>15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61"/>
      <c r="B21" s="164"/>
      <c r="C21" s="15" t="s">
        <v>42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61"/>
      <c r="B22" s="164" t="s">
        <v>11</v>
      </c>
      <c r="C22" s="5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61"/>
      <c r="B23" s="164"/>
      <c r="C23" s="6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61"/>
      <c r="B24" s="164"/>
      <c r="C24" s="6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61"/>
      <c r="B25" s="164"/>
      <c r="C25" s="6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61"/>
      <c r="B26" s="164"/>
      <c r="C26" s="4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61"/>
      <c r="B27" s="164" t="s">
        <v>13</v>
      </c>
      <c r="C27" s="5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61"/>
      <c r="B28" s="164"/>
      <c r="C28" s="8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61"/>
      <c r="B29" s="164"/>
      <c r="C29" s="8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61"/>
      <c r="B30" s="164"/>
      <c r="C30" s="61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 t="shared" si="0"/>
        <v>0</v>
      </c>
    </row>
    <row r="31" spans="1:17">
      <c r="A31" s="161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2"/>
      <c r="B32" s="149" t="s">
        <v>5</v>
      </c>
      <c r="C32" s="150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51"/>
      <c r="B33" s="154" t="s">
        <v>12</v>
      </c>
      <c r="C33" s="106" t="s">
        <v>84</v>
      </c>
      <c r="D33" s="87">
        <v>950</v>
      </c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30"/>
      <c r="Q33" s="19">
        <f t="shared" ref="Q33:Q51" si="4">SUM(D33:P33)</f>
        <v>950</v>
      </c>
    </row>
    <row r="34" spans="1:17">
      <c r="A34" s="152"/>
      <c r="B34" s="155"/>
      <c r="C34" s="107" t="s">
        <v>85</v>
      </c>
      <c r="D34" s="97">
        <v>10</v>
      </c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28"/>
      <c r="Q34" s="20">
        <f t="shared" si="4"/>
        <v>10</v>
      </c>
    </row>
    <row r="35" spans="1:17">
      <c r="A35" s="152"/>
      <c r="B35" s="155"/>
      <c r="C35" s="108" t="s">
        <v>86</v>
      </c>
      <c r="D35" s="91">
        <f>D33*D34</f>
        <v>9500</v>
      </c>
      <c r="E35" s="91">
        <f>E33*E34</f>
        <v>0</v>
      </c>
      <c r="F35" s="91">
        <f>F33*F34</f>
        <v>0</v>
      </c>
      <c r="G35" s="91">
        <f>G33*G34</f>
        <v>0</v>
      </c>
      <c r="H35" s="91">
        <f>H33*H34</f>
        <v>0</v>
      </c>
      <c r="I35" s="91">
        <f t="shared" ref="I35:O35" si="5">I33*I34</f>
        <v>0</v>
      </c>
      <c r="J35" s="91">
        <f t="shared" si="5"/>
        <v>0</v>
      </c>
      <c r="K35" s="91">
        <f t="shared" si="5"/>
        <v>0</v>
      </c>
      <c r="L35" s="91">
        <f t="shared" si="5"/>
        <v>0</v>
      </c>
      <c r="M35" s="91">
        <f t="shared" si="5"/>
        <v>0</v>
      </c>
      <c r="N35" s="91">
        <f t="shared" si="5"/>
        <v>0</v>
      </c>
      <c r="O35" s="91">
        <f t="shared" si="5"/>
        <v>0</v>
      </c>
      <c r="P35" s="32"/>
      <c r="Q35" s="20">
        <f t="shared" si="4"/>
        <v>9500</v>
      </c>
    </row>
    <row r="36" spans="1:17">
      <c r="A36" s="152"/>
      <c r="B36" s="155"/>
      <c r="C36" s="109" t="s">
        <v>9</v>
      </c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32"/>
      <c r="Q36" s="20">
        <f t="shared" si="4"/>
        <v>0</v>
      </c>
    </row>
    <row r="37" spans="1:17">
      <c r="A37" s="152"/>
      <c r="B37" s="155"/>
      <c r="C37" s="109" t="s">
        <v>38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28"/>
      <c r="Q37" s="20">
        <f t="shared" si="4"/>
        <v>0</v>
      </c>
    </row>
    <row r="38" spans="1:17">
      <c r="A38" s="152"/>
      <c r="B38" s="155"/>
      <c r="C38" s="62" t="s">
        <v>38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32"/>
      <c r="Q38" s="20">
        <f t="shared" si="4"/>
        <v>0</v>
      </c>
    </row>
    <row r="39" spans="1:17">
      <c r="A39" s="152"/>
      <c r="B39" s="155"/>
      <c r="C39" s="63" t="s">
        <v>15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32"/>
      <c r="Q39" s="20">
        <f t="shared" si="4"/>
        <v>0</v>
      </c>
    </row>
    <row r="40" spans="1:17">
      <c r="A40" s="152"/>
      <c r="B40" s="156"/>
      <c r="C40" s="6" t="s">
        <v>42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33"/>
      <c r="Q40" s="22">
        <f t="shared" si="4"/>
        <v>0</v>
      </c>
    </row>
    <row r="41" spans="1:17">
      <c r="A41" s="152"/>
      <c r="B41" s="157" t="s">
        <v>11</v>
      </c>
      <c r="C41" s="5" t="s">
        <v>7</v>
      </c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27"/>
      <c r="Q41" s="21">
        <f t="shared" si="4"/>
        <v>0</v>
      </c>
    </row>
    <row r="42" spans="1:17">
      <c r="A42" s="152"/>
      <c r="B42" s="155"/>
      <c r="C42" s="6" t="s">
        <v>4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32"/>
      <c r="Q42" s="20">
        <f t="shared" si="4"/>
        <v>0</v>
      </c>
    </row>
    <row r="43" spans="1:17">
      <c r="A43" s="152"/>
      <c r="B43" s="155"/>
      <c r="C43" s="6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32"/>
      <c r="Q43" s="20">
        <f t="shared" si="4"/>
        <v>0</v>
      </c>
    </row>
    <row r="44" spans="1:17">
      <c r="A44" s="152"/>
      <c r="B44" s="155"/>
      <c r="C44" s="6" t="s">
        <v>18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2"/>
      <c r="Q44" s="20">
        <f t="shared" si="4"/>
        <v>0</v>
      </c>
    </row>
    <row r="45" spans="1:17">
      <c r="A45" s="152"/>
      <c r="B45" s="155"/>
      <c r="C45" s="6" t="s">
        <v>60</v>
      </c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32"/>
      <c r="Q45" s="20">
        <f t="shared" si="4"/>
        <v>0</v>
      </c>
    </row>
    <row r="46" spans="1:17">
      <c r="A46" s="152"/>
      <c r="B46" s="157" t="s">
        <v>13</v>
      </c>
      <c r="C46" s="5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27"/>
      <c r="Q46" s="21">
        <f t="shared" si="4"/>
        <v>0</v>
      </c>
    </row>
    <row r="47" spans="1:17">
      <c r="A47" s="152"/>
      <c r="B47" s="155"/>
      <c r="C47" s="8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28"/>
      <c r="Q47" s="20">
        <f t="shared" si="4"/>
        <v>0</v>
      </c>
    </row>
    <row r="48" spans="1:17">
      <c r="A48" s="152"/>
      <c r="B48" s="155"/>
      <c r="C48" s="8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28"/>
      <c r="Q48" s="20">
        <f t="shared" si="4"/>
        <v>0</v>
      </c>
    </row>
    <row r="49" spans="1:18">
      <c r="A49" s="152"/>
      <c r="B49" s="156"/>
      <c r="C49" s="4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33"/>
      <c r="Q49" s="22">
        <f t="shared" si="4"/>
        <v>0</v>
      </c>
    </row>
    <row r="50" spans="1:18">
      <c r="A50" s="152"/>
      <c r="B50" s="158" t="s">
        <v>54</v>
      </c>
      <c r="C50" s="159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3"/>
      <c r="B51" s="149" t="s">
        <v>5</v>
      </c>
      <c r="C51" s="150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44" t="s">
        <v>40</v>
      </c>
      <c r="B52" s="145"/>
      <c r="C52" s="145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46" t="s">
        <v>41</v>
      </c>
      <c r="B53" s="147"/>
      <c r="C53" s="148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46" t="s">
        <v>31</v>
      </c>
      <c r="B54" s="147"/>
      <c r="C54" s="148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40" t="s">
        <v>20</v>
      </c>
      <c r="B55" s="141"/>
      <c r="C55" s="141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40" t="s">
        <v>43</v>
      </c>
      <c r="B56" s="141"/>
      <c r="C56" s="141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40" t="s">
        <v>53</v>
      </c>
      <c r="B57" s="141"/>
      <c r="C57" s="141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40" t="s">
        <v>22</v>
      </c>
      <c r="B58" s="141"/>
      <c r="C58" s="141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40" t="s">
        <v>21</v>
      </c>
      <c r="B59" s="141"/>
      <c r="C59" s="141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42" t="s">
        <v>57</v>
      </c>
      <c r="B60" s="143"/>
      <c r="C60" s="143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04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04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B3:C3"/>
    <mergeCell ref="A4:A13"/>
    <mergeCell ref="B5:B9"/>
    <mergeCell ref="B10:B12"/>
    <mergeCell ref="B13:C13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76BBFA"/>
  </sheetPr>
  <dimension ref="A1:Q160"/>
  <sheetViews>
    <sheetView zoomScaleNormal="100" workbookViewId="0">
      <pane xSplit="3" ySplit="3" topLeftCell="D111" activePane="bottomRight" state="frozen"/>
      <selection pane="topRight" activeCell="D1" sqref="D1"/>
      <selection pane="bottomLeft" activeCell="A4" sqref="A4"/>
      <selection pane="bottomRight" activeCell="A128" sqref="A128:Q146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s="127" customFormat="1" ht="117" customHeight="1">
      <c r="A1" s="130" t="s">
        <v>78</v>
      </c>
      <c r="B1" s="131"/>
      <c r="C1" s="132"/>
      <c r="D1" s="34"/>
      <c r="E1" s="34"/>
      <c r="F1" s="34"/>
      <c r="G1" s="82"/>
      <c r="H1" s="34"/>
      <c r="I1" s="34"/>
      <c r="J1" s="34"/>
      <c r="K1" s="34"/>
      <c r="L1" s="129"/>
      <c r="M1" s="34"/>
      <c r="N1" s="34"/>
      <c r="O1" s="34"/>
      <c r="P1" s="34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60"/>
      <c r="B4" s="128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61"/>
      <c r="B5" s="176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1" si="0">SUM(D5:P5)</f>
        <v>0</v>
      </c>
    </row>
    <row r="6" spans="1:17">
      <c r="A6" s="161"/>
      <c r="B6" s="176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61"/>
      <c r="B7" s="176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61"/>
      <c r="B8" s="176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61"/>
      <c r="B9" s="176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61"/>
      <c r="B10" s="177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61"/>
      <c r="B11" s="178"/>
      <c r="C11" s="110" t="s">
        <v>71</v>
      </c>
      <c r="D11" s="89"/>
      <c r="E11" s="101"/>
      <c r="F11" s="98"/>
      <c r="G11" s="98"/>
      <c r="H11" s="98"/>
      <c r="I11" s="98"/>
      <c r="J11" s="98"/>
      <c r="K11" s="98"/>
      <c r="L11" s="98"/>
      <c r="M11" s="88"/>
      <c r="N11" s="88"/>
      <c r="O11" s="17"/>
      <c r="P11" s="29"/>
      <c r="Q11" s="20">
        <f t="shared" si="0"/>
        <v>0</v>
      </c>
    </row>
    <row r="12" spans="1:17">
      <c r="A12" s="161"/>
      <c r="B12" s="179"/>
      <c r="C12" s="99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73"/>
      <c r="B14" s="174" t="s">
        <v>12</v>
      </c>
      <c r="C14" s="106" t="s">
        <v>87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>SUM(D14:P14)</f>
        <v>0</v>
      </c>
    </row>
    <row r="15" spans="1:17">
      <c r="A15" s="161"/>
      <c r="B15" s="175"/>
      <c r="C15" s="107" t="s">
        <v>89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61"/>
      <c r="B16" s="176"/>
      <c r="C16" s="108" t="s">
        <v>88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61"/>
      <c r="B17" s="176"/>
      <c r="C17" s="109" t="s">
        <v>90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61"/>
      <c r="B18" s="176"/>
      <c r="C18" s="109" t="s">
        <v>91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61"/>
      <c r="B19" s="176"/>
      <c r="C19" s="109" t="s">
        <v>92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61"/>
      <c r="B20" s="176"/>
      <c r="C20" s="108" t="s">
        <v>93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61"/>
      <c r="B21" s="176"/>
      <c r="C21" s="110" t="s">
        <v>94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61"/>
      <c r="B22" s="176" t="s">
        <v>11</v>
      </c>
      <c r="C22" s="111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61"/>
      <c r="B23" s="176"/>
      <c r="C23" s="109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61"/>
      <c r="B24" s="176"/>
      <c r="C24" s="109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61"/>
      <c r="B25" s="176"/>
      <c r="C25" s="109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61"/>
      <c r="B26" s="176"/>
      <c r="C26" s="112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61"/>
      <c r="B27" s="176" t="s">
        <v>13</v>
      </c>
      <c r="C27" s="111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61"/>
      <c r="B28" s="176"/>
      <c r="C28" s="108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61"/>
      <c r="B29" s="176"/>
      <c r="C29" s="108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61"/>
      <c r="B30" s="176"/>
      <c r="C30" s="112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>SUM(D30:P30)</f>
        <v>0</v>
      </c>
    </row>
    <row r="31" spans="1:17">
      <c r="A31" s="161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2"/>
      <c r="B32" s="149" t="s">
        <v>5</v>
      </c>
      <c r="C32" s="150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60"/>
      <c r="B33" s="170" t="s">
        <v>12</v>
      </c>
      <c r="C33" s="106" t="s">
        <v>87</v>
      </c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78"/>
      <c r="P33" s="30"/>
      <c r="Q33" s="19">
        <f>SUM(D33:P33)</f>
        <v>0</v>
      </c>
    </row>
    <row r="34" spans="1:17">
      <c r="A34" s="161"/>
      <c r="B34" s="171"/>
      <c r="C34" s="107" t="s">
        <v>89</v>
      </c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1"/>
      <c r="P34" s="31"/>
      <c r="Q34" s="20">
        <f t="shared" ref="Q34:Q51" si="4">SUM(D34:P34)</f>
        <v>0</v>
      </c>
    </row>
    <row r="35" spans="1:17">
      <c r="A35" s="161"/>
      <c r="B35" s="172"/>
      <c r="C35" s="108" t="s">
        <v>88</v>
      </c>
      <c r="D35" s="89"/>
      <c r="E35" s="90"/>
      <c r="F35" s="90"/>
      <c r="G35" s="90"/>
      <c r="H35" s="89"/>
      <c r="I35" s="89"/>
      <c r="J35" s="89"/>
      <c r="K35" s="89"/>
      <c r="L35" s="89"/>
      <c r="M35" s="89"/>
      <c r="N35" s="89"/>
      <c r="O35" s="17"/>
      <c r="P35" s="28"/>
      <c r="Q35" s="20">
        <f t="shared" si="4"/>
        <v>0</v>
      </c>
    </row>
    <row r="36" spans="1:17">
      <c r="A36" s="161"/>
      <c r="B36" s="172"/>
      <c r="C36" s="109" t="s">
        <v>90</v>
      </c>
      <c r="D36" s="91"/>
      <c r="E36" s="89"/>
      <c r="F36" s="89"/>
      <c r="G36" s="91"/>
      <c r="H36" s="91"/>
      <c r="I36" s="91"/>
      <c r="J36" s="91"/>
      <c r="K36" s="91"/>
      <c r="L36" s="91"/>
      <c r="M36" s="91"/>
      <c r="N36" s="91"/>
      <c r="O36" s="80"/>
      <c r="P36" s="32"/>
      <c r="Q36" s="20">
        <f t="shared" si="4"/>
        <v>0</v>
      </c>
    </row>
    <row r="37" spans="1:17">
      <c r="A37" s="161"/>
      <c r="B37" s="172"/>
      <c r="C37" s="109" t="s">
        <v>91</v>
      </c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80"/>
      <c r="P37" s="32"/>
      <c r="Q37" s="20">
        <f t="shared" si="4"/>
        <v>0</v>
      </c>
    </row>
    <row r="38" spans="1:17">
      <c r="A38" s="161"/>
      <c r="B38" s="172"/>
      <c r="C38" s="109" t="s">
        <v>92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80"/>
      <c r="P38" s="32"/>
      <c r="Q38" s="20">
        <f>SUM(D38:P38)</f>
        <v>0</v>
      </c>
    </row>
    <row r="39" spans="1:17">
      <c r="A39" s="161"/>
      <c r="B39" s="172"/>
      <c r="C39" s="108" t="s">
        <v>93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80"/>
      <c r="P39" s="32"/>
      <c r="Q39" s="20">
        <f t="shared" si="4"/>
        <v>0</v>
      </c>
    </row>
    <row r="40" spans="1:17">
      <c r="A40" s="161"/>
      <c r="B40" s="172"/>
      <c r="C40" s="110" t="s">
        <v>94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18"/>
      <c r="P40" s="33"/>
      <c r="Q40" s="22">
        <f t="shared" si="4"/>
        <v>0</v>
      </c>
    </row>
    <row r="41" spans="1:17">
      <c r="A41" s="161"/>
      <c r="B41" s="172" t="s">
        <v>11</v>
      </c>
      <c r="C41" s="111" t="s">
        <v>7</v>
      </c>
      <c r="D41" s="93"/>
      <c r="E41" s="93"/>
      <c r="F41" s="93"/>
      <c r="G41" s="93"/>
      <c r="H41" s="93"/>
      <c r="I41" s="93"/>
      <c r="J41" s="93"/>
      <c r="K41" s="93"/>
      <c r="L41" s="94"/>
      <c r="M41" s="94"/>
      <c r="N41" s="94"/>
      <c r="O41" s="79"/>
      <c r="P41" s="27"/>
      <c r="Q41" s="21">
        <f t="shared" si="4"/>
        <v>0</v>
      </c>
    </row>
    <row r="42" spans="1:17">
      <c r="A42" s="161"/>
      <c r="B42" s="172"/>
      <c r="C42" s="109" t="s">
        <v>4</v>
      </c>
      <c r="D42" s="95"/>
      <c r="E42" s="95"/>
      <c r="F42" s="95"/>
      <c r="G42" s="95"/>
      <c r="H42" s="95"/>
      <c r="I42" s="95"/>
      <c r="J42" s="95"/>
      <c r="K42" s="95"/>
      <c r="L42" s="91"/>
      <c r="M42" s="91"/>
      <c r="N42" s="91"/>
      <c r="O42" s="80"/>
      <c r="P42" s="32"/>
      <c r="Q42" s="20">
        <f t="shared" si="4"/>
        <v>0</v>
      </c>
    </row>
    <row r="43" spans="1:17">
      <c r="A43" s="161"/>
      <c r="B43" s="172"/>
      <c r="C43" s="109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80"/>
      <c r="P43" s="32"/>
      <c r="Q43" s="20">
        <f t="shared" si="4"/>
        <v>0</v>
      </c>
    </row>
    <row r="44" spans="1:17">
      <c r="A44" s="161"/>
      <c r="B44" s="172"/>
      <c r="C44" s="109" t="s">
        <v>18</v>
      </c>
      <c r="D44" s="90"/>
      <c r="E44" s="90"/>
      <c r="F44" s="90"/>
      <c r="G44" s="90"/>
      <c r="H44" s="91"/>
      <c r="I44" s="91"/>
      <c r="J44" s="91"/>
      <c r="K44" s="91"/>
      <c r="L44" s="91"/>
      <c r="M44" s="91"/>
      <c r="N44" s="91"/>
      <c r="O44" s="80"/>
      <c r="P44" s="32"/>
      <c r="Q44" s="20">
        <f t="shared" si="4"/>
        <v>0</v>
      </c>
    </row>
    <row r="45" spans="1:17">
      <c r="A45" s="161"/>
      <c r="B45" s="172"/>
      <c r="C45" s="112" t="s">
        <v>19</v>
      </c>
      <c r="D45" s="96"/>
      <c r="E45" s="96"/>
      <c r="F45" s="96"/>
      <c r="G45" s="96"/>
      <c r="H45" s="92"/>
      <c r="I45" s="92"/>
      <c r="J45" s="92"/>
      <c r="K45" s="92"/>
      <c r="L45" s="92"/>
      <c r="M45" s="92"/>
      <c r="N45" s="92"/>
      <c r="O45" s="18"/>
      <c r="P45" s="33"/>
      <c r="Q45" s="22">
        <f t="shared" si="4"/>
        <v>0</v>
      </c>
    </row>
    <row r="46" spans="1:17">
      <c r="A46" s="161"/>
      <c r="B46" s="172" t="s">
        <v>13</v>
      </c>
      <c r="C46" s="111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79"/>
      <c r="P46" s="27"/>
      <c r="Q46" s="21">
        <f t="shared" si="4"/>
        <v>0</v>
      </c>
    </row>
    <row r="47" spans="1:17">
      <c r="A47" s="161"/>
      <c r="B47" s="172"/>
      <c r="C47" s="108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17"/>
      <c r="P47" s="28"/>
      <c r="Q47" s="20">
        <f t="shared" si="4"/>
        <v>0</v>
      </c>
    </row>
    <row r="48" spans="1:17">
      <c r="A48" s="161"/>
      <c r="B48" s="172"/>
      <c r="C48" s="108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17"/>
      <c r="P48" s="28"/>
      <c r="Q48" s="20">
        <f t="shared" si="4"/>
        <v>0</v>
      </c>
    </row>
    <row r="49" spans="1:17">
      <c r="A49" s="161"/>
      <c r="B49" s="172"/>
      <c r="C49" s="112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18"/>
      <c r="P49" s="33"/>
      <c r="Q49" s="22">
        <f t="shared" si="4"/>
        <v>0</v>
      </c>
    </row>
    <row r="50" spans="1:17">
      <c r="A50" s="161"/>
      <c r="B50" s="158" t="s">
        <v>54</v>
      </c>
      <c r="C50" s="159"/>
      <c r="D50" s="56">
        <f>SUM(D33:D40)-SUM(D44:D45)</f>
        <v>0</v>
      </c>
      <c r="E50" s="56">
        <f t="shared" ref="E50:O50" si="5">SUM(E33:E40)-SUM(E44:E45)</f>
        <v>0</v>
      </c>
      <c r="F50" s="56">
        <f t="shared" si="5"/>
        <v>0</v>
      </c>
      <c r="G50" s="56">
        <f>SUM(G33:G40)-SUM(G44:G45)</f>
        <v>0</v>
      </c>
      <c r="H50" s="56">
        <f t="shared" si="5"/>
        <v>0</v>
      </c>
      <c r="I50" s="56">
        <f t="shared" si="5"/>
        <v>0</v>
      </c>
      <c r="J50" s="56">
        <f t="shared" si="5"/>
        <v>0</v>
      </c>
      <c r="K50" s="56">
        <f t="shared" si="5"/>
        <v>0</v>
      </c>
      <c r="L50" s="56">
        <f t="shared" si="5"/>
        <v>0</v>
      </c>
      <c r="M50" s="56">
        <f t="shared" si="5"/>
        <v>0</v>
      </c>
      <c r="N50" s="56">
        <f t="shared" si="5"/>
        <v>0</v>
      </c>
      <c r="O50" s="57">
        <f t="shared" si="5"/>
        <v>0</v>
      </c>
      <c r="P50" s="60">
        <f>SUM(P33:P40)-SUM(P44:P45)</f>
        <v>0</v>
      </c>
      <c r="Q50" s="59">
        <f>SUM(D50:P50)</f>
        <v>0</v>
      </c>
    </row>
    <row r="51" spans="1:17" ht="14.25" thickBot="1">
      <c r="A51" s="162"/>
      <c r="B51" s="149" t="s">
        <v>5</v>
      </c>
      <c r="C51" s="150"/>
      <c r="D51" s="42">
        <f>SUM(D33:D40)-SUM(D41:D45)+SUM(D46:D49)</f>
        <v>0</v>
      </c>
      <c r="E51" s="42">
        <f>SUM(E33:E40)-SUM(E41:E45)+SUM(E46:E49)</f>
        <v>0</v>
      </c>
      <c r="F51" s="42">
        <f t="shared" ref="F51:O51" si="6">SUM(F33:F40)-SUM(F41:F45)+SUM(F46:F49)</f>
        <v>0</v>
      </c>
      <c r="G51" s="42">
        <f>SUM(G33:G40)-SUM(G41:G45)+SUM(G46:G49)</f>
        <v>0</v>
      </c>
      <c r="H51" s="42">
        <f t="shared" si="6"/>
        <v>0</v>
      </c>
      <c r="I51" s="42">
        <f t="shared" si="6"/>
        <v>0</v>
      </c>
      <c r="J51" s="42">
        <f t="shared" si="6"/>
        <v>0</v>
      </c>
      <c r="K51" s="42">
        <f t="shared" si="6"/>
        <v>0</v>
      </c>
      <c r="L51" s="42">
        <f t="shared" si="6"/>
        <v>0</v>
      </c>
      <c r="M51" s="42">
        <f t="shared" si="6"/>
        <v>0</v>
      </c>
      <c r="N51" s="42">
        <f t="shared" si="6"/>
        <v>0</v>
      </c>
      <c r="O51" s="43">
        <f t="shared" si="6"/>
        <v>0</v>
      </c>
      <c r="P51" s="44">
        <f>SUM(P33:P40)-SUM(P41:P45)+SUM(P46:P49)</f>
        <v>0</v>
      </c>
      <c r="Q51" s="46">
        <f t="shared" si="4"/>
        <v>0</v>
      </c>
    </row>
    <row r="52" spans="1:17">
      <c r="A52" s="160"/>
      <c r="B52" s="170" t="s">
        <v>12</v>
      </c>
      <c r="C52" s="106" t="s">
        <v>87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78"/>
      <c r="P52" s="30"/>
      <c r="Q52" s="19">
        <f>SUM(D52:P52)</f>
        <v>0</v>
      </c>
    </row>
    <row r="53" spans="1:17">
      <c r="A53" s="161"/>
      <c r="B53" s="171"/>
      <c r="C53" s="107" t="s">
        <v>89</v>
      </c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1"/>
      <c r="P53" s="31"/>
      <c r="Q53" s="20">
        <f t="shared" ref="Q53:Q70" si="7">SUM(D53:P53)</f>
        <v>0</v>
      </c>
    </row>
    <row r="54" spans="1:17">
      <c r="A54" s="161"/>
      <c r="B54" s="172"/>
      <c r="C54" s="108" t="s">
        <v>88</v>
      </c>
      <c r="D54" s="89"/>
      <c r="E54" s="90"/>
      <c r="F54" s="90"/>
      <c r="G54" s="90"/>
      <c r="H54" s="89"/>
      <c r="I54" s="89"/>
      <c r="J54" s="89"/>
      <c r="K54" s="89"/>
      <c r="L54" s="89"/>
      <c r="M54" s="89"/>
      <c r="N54" s="89"/>
      <c r="O54" s="17"/>
      <c r="P54" s="28"/>
      <c r="Q54" s="20">
        <f t="shared" si="7"/>
        <v>0</v>
      </c>
    </row>
    <row r="55" spans="1:17">
      <c r="A55" s="161"/>
      <c r="B55" s="172"/>
      <c r="C55" s="109" t="s">
        <v>90</v>
      </c>
      <c r="D55" s="91"/>
      <c r="E55" s="89"/>
      <c r="F55" s="89"/>
      <c r="G55" s="91"/>
      <c r="H55" s="91"/>
      <c r="I55" s="91"/>
      <c r="J55" s="91"/>
      <c r="K55" s="91"/>
      <c r="L55" s="91"/>
      <c r="M55" s="91"/>
      <c r="N55" s="91"/>
      <c r="O55" s="80"/>
      <c r="P55" s="32"/>
      <c r="Q55" s="20">
        <f t="shared" si="7"/>
        <v>0</v>
      </c>
    </row>
    <row r="56" spans="1:17">
      <c r="A56" s="161"/>
      <c r="B56" s="172"/>
      <c r="C56" s="109" t="s">
        <v>91</v>
      </c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80"/>
      <c r="P56" s="32"/>
      <c r="Q56" s="20">
        <f t="shared" si="7"/>
        <v>0</v>
      </c>
    </row>
    <row r="57" spans="1:17">
      <c r="A57" s="161"/>
      <c r="B57" s="172"/>
      <c r="C57" s="109" t="s">
        <v>92</v>
      </c>
      <c r="D57" s="91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80"/>
      <c r="P57" s="32"/>
      <c r="Q57" s="20">
        <f>SUM(D57:P57)</f>
        <v>0</v>
      </c>
    </row>
    <row r="58" spans="1:17">
      <c r="A58" s="161"/>
      <c r="B58" s="172"/>
      <c r="C58" s="108" t="s">
        <v>93</v>
      </c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80"/>
      <c r="P58" s="32"/>
      <c r="Q58" s="20">
        <f t="shared" si="7"/>
        <v>0</v>
      </c>
    </row>
    <row r="59" spans="1:17">
      <c r="A59" s="161"/>
      <c r="B59" s="172"/>
      <c r="C59" s="110" t="s">
        <v>94</v>
      </c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18"/>
      <c r="P59" s="33"/>
      <c r="Q59" s="22">
        <f t="shared" si="7"/>
        <v>0</v>
      </c>
    </row>
    <row r="60" spans="1:17">
      <c r="A60" s="161"/>
      <c r="B60" s="172" t="s">
        <v>11</v>
      </c>
      <c r="C60" s="111" t="s">
        <v>7</v>
      </c>
      <c r="D60" s="93"/>
      <c r="E60" s="93"/>
      <c r="F60" s="93"/>
      <c r="G60" s="93"/>
      <c r="H60" s="93"/>
      <c r="I60" s="93"/>
      <c r="J60" s="93"/>
      <c r="K60" s="93"/>
      <c r="L60" s="94"/>
      <c r="M60" s="94"/>
      <c r="N60" s="94"/>
      <c r="O60" s="79"/>
      <c r="P60" s="27"/>
      <c r="Q60" s="21">
        <f t="shared" si="7"/>
        <v>0</v>
      </c>
    </row>
    <row r="61" spans="1:17">
      <c r="A61" s="161"/>
      <c r="B61" s="172"/>
      <c r="C61" s="109" t="s">
        <v>4</v>
      </c>
      <c r="D61" s="95"/>
      <c r="E61" s="95"/>
      <c r="F61" s="95"/>
      <c r="G61" s="95"/>
      <c r="H61" s="95"/>
      <c r="I61" s="95"/>
      <c r="J61" s="95"/>
      <c r="K61" s="95"/>
      <c r="L61" s="91"/>
      <c r="M61" s="91"/>
      <c r="N61" s="91"/>
      <c r="O61" s="80"/>
      <c r="P61" s="32"/>
      <c r="Q61" s="20">
        <f t="shared" si="7"/>
        <v>0</v>
      </c>
    </row>
    <row r="62" spans="1:17">
      <c r="A62" s="161"/>
      <c r="B62" s="172"/>
      <c r="C62" s="109" t="s">
        <v>17</v>
      </c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80"/>
      <c r="P62" s="32"/>
      <c r="Q62" s="20">
        <f t="shared" si="7"/>
        <v>0</v>
      </c>
    </row>
    <row r="63" spans="1:17">
      <c r="A63" s="161"/>
      <c r="B63" s="172"/>
      <c r="C63" s="109" t="s">
        <v>18</v>
      </c>
      <c r="D63" s="90"/>
      <c r="E63" s="90"/>
      <c r="F63" s="90"/>
      <c r="G63" s="90"/>
      <c r="H63" s="91"/>
      <c r="I63" s="91"/>
      <c r="J63" s="91"/>
      <c r="K63" s="91"/>
      <c r="L63" s="91"/>
      <c r="M63" s="91"/>
      <c r="N63" s="91"/>
      <c r="O63" s="80"/>
      <c r="P63" s="32"/>
      <c r="Q63" s="20">
        <f t="shared" si="7"/>
        <v>0</v>
      </c>
    </row>
    <row r="64" spans="1:17">
      <c r="A64" s="161"/>
      <c r="B64" s="172"/>
      <c r="C64" s="112" t="s">
        <v>19</v>
      </c>
      <c r="D64" s="96"/>
      <c r="E64" s="96"/>
      <c r="F64" s="96"/>
      <c r="G64" s="96"/>
      <c r="H64" s="92"/>
      <c r="I64" s="92"/>
      <c r="J64" s="92"/>
      <c r="K64" s="92"/>
      <c r="L64" s="92"/>
      <c r="M64" s="92"/>
      <c r="N64" s="92"/>
      <c r="O64" s="18"/>
      <c r="P64" s="33"/>
      <c r="Q64" s="22">
        <f t="shared" si="7"/>
        <v>0</v>
      </c>
    </row>
    <row r="65" spans="1:17">
      <c r="A65" s="161"/>
      <c r="B65" s="172" t="s">
        <v>13</v>
      </c>
      <c r="C65" s="111" t="s">
        <v>10</v>
      </c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79"/>
      <c r="P65" s="27"/>
      <c r="Q65" s="21">
        <f t="shared" si="7"/>
        <v>0</v>
      </c>
    </row>
    <row r="66" spans="1:17">
      <c r="A66" s="161"/>
      <c r="B66" s="172"/>
      <c r="C66" s="108" t="s">
        <v>55</v>
      </c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17"/>
      <c r="P66" s="28"/>
      <c r="Q66" s="20">
        <f t="shared" si="7"/>
        <v>0</v>
      </c>
    </row>
    <row r="67" spans="1:17">
      <c r="A67" s="161"/>
      <c r="B67" s="172"/>
      <c r="C67" s="108" t="s">
        <v>56</v>
      </c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17"/>
      <c r="P67" s="28"/>
      <c r="Q67" s="20">
        <f t="shared" si="7"/>
        <v>0</v>
      </c>
    </row>
    <row r="68" spans="1:17">
      <c r="A68" s="161"/>
      <c r="B68" s="172"/>
      <c r="C68" s="112" t="s">
        <v>61</v>
      </c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18"/>
      <c r="P68" s="33"/>
      <c r="Q68" s="22">
        <f t="shared" si="7"/>
        <v>0</v>
      </c>
    </row>
    <row r="69" spans="1:17">
      <c r="A69" s="161"/>
      <c r="B69" s="158" t="s">
        <v>54</v>
      </c>
      <c r="C69" s="159"/>
      <c r="D69" s="56">
        <f>SUM(D52:D59)-SUM(D63:D64)</f>
        <v>0</v>
      </c>
      <c r="E69" s="56">
        <f t="shared" ref="E69:O69" si="8">SUM(E52:E59)-SUM(E63:E64)</f>
        <v>0</v>
      </c>
      <c r="F69" s="56">
        <f t="shared" si="8"/>
        <v>0</v>
      </c>
      <c r="G69" s="56">
        <f>SUM(G52:G59)-SUM(G63:G64)</f>
        <v>0</v>
      </c>
      <c r="H69" s="56">
        <f t="shared" si="8"/>
        <v>0</v>
      </c>
      <c r="I69" s="56">
        <f t="shared" si="8"/>
        <v>0</v>
      </c>
      <c r="J69" s="56">
        <f t="shared" si="8"/>
        <v>0</v>
      </c>
      <c r="K69" s="56">
        <f t="shared" si="8"/>
        <v>0</v>
      </c>
      <c r="L69" s="56">
        <f t="shared" si="8"/>
        <v>0</v>
      </c>
      <c r="M69" s="56">
        <f t="shared" si="8"/>
        <v>0</v>
      </c>
      <c r="N69" s="56">
        <f t="shared" si="8"/>
        <v>0</v>
      </c>
      <c r="O69" s="57">
        <f t="shared" si="8"/>
        <v>0</v>
      </c>
      <c r="P69" s="60">
        <f>SUM(P52:P59)-SUM(P63:P64)</f>
        <v>0</v>
      </c>
      <c r="Q69" s="59">
        <f>SUM(D69:P69)</f>
        <v>0</v>
      </c>
    </row>
    <row r="70" spans="1:17" ht="14.25" thickBot="1">
      <c r="A70" s="162"/>
      <c r="B70" s="149" t="s">
        <v>5</v>
      </c>
      <c r="C70" s="150"/>
      <c r="D70" s="42">
        <f>SUM(D52:D59)-SUM(D60:D64)+SUM(D65:D68)</f>
        <v>0</v>
      </c>
      <c r="E70" s="42">
        <f>SUM(E52:E59)-SUM(E60:E64)+SUM(E65:E68)</f>
        <v>0</v>
      </c>
      <c r="F70" s="42">
        <f t="shared" ref="F70:O70" si="9">SUM(F52:F59)-SUM(F60:F64)+SUM(F65:F68)</f>
        <v>0</v>
      </c>
      <c r="G70" s="42">
        <f>SUM(G52:G59)-SUM(G60:G64)+SUM(G65:G68)</f>
        <v>0</v>
      </c>
      <c r="H70" s="42">
        <f t="shared" si="9"/>
        <v>0</v>
      </c>
      <c r="I70" s="42">
        <f t="shared" si="9"/>
        <v>0</v>
      </c>
      <c r="J70" s="42">
        <f t="shared" si="9"/>
        <v>0</v>
      </c>
      <c r="K70" s="42">
        <f t="shared" si="9"/>
        <v>0</v>
      </c>
      <c r="L70" s="42">
        <f t="shared" si="9"/>
        <v>0</v>
      </c>
      <c r="M70" s="42">
        <f t="shared" si="9"/>
        <v>0</v>
      </c>
      <c r="N70" s="42">
        <f t="shared" si="9"/>
        <v>0</v>
      </c>
      <c r="O70" s="43">
        <f t="shared" si="9"/>
        <v>0</v>
      </c>
      <c r="P70" s="44">
        <f>SUM(P52:P59)-SUM(P60:P64)+SUM(P65:P68)</f>
        <v>0</v>
      </c>
      <c r="Q70" s="46">
        <f t="shared" si="7"/>
        <v>0</v>
      </c>
    </row>
    <row r="71" spans="1:17">
      <c r="A71" s="151"/>
      <c r="B71" s="180" t="s">
        <v>95</v>
      </c>
      <c r="C71" s="106" t="s">
        <v>84</v>
      </c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30"/>
      <c r="Q71" s="120">
        <f>SUM(D71:P71)</f>
        <v>0</v>
      </c>
    </row>
    <row r="72" spans="1:17">
      <c r="A72" s="152"/>
      <c r="B72" s="181"/>
      <c r="C72" s="107" t="s">
        <v>85</v>
      </c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28"/>
      <c r="Q72" s="118">
        <f t="shared" ref="Q72:Q88" si="10">SUM(D72:P72)</f>
        <v>0</v>
      </c>
    </row>
    <row r="73" spans="1:17">
      <c r="A73" s="152"/>
      <c r="B73" s="181"/>
      <c r="C73" s="108" t="s">
        <v>86</v>
      </c>
      <c r="D73" s="91">
        <f t="shared" ref="D73:O73" si="11">D71*D72</f>
        <v>0</v>
      </c>
      <c r="E73" s="91">
        <f t="shared" si="11"/>
        <v>0</v>
      </c>
      <c r="F73" s="91">
        <f t="shared" si="11"/>
        <v>0</v>
      </c>
      <c r="G73" s="91">
        <f t="shared" si="11"/>
        <v>0</v>
      </c>
      <c r="H73" s="91">
        <f t="shared" si="11"/>
        <v>0</v>
      </c>
      <c r="I73" s="91">
        <f t="shared" si="11"/>
        <v>0</v>
      </c>
      <c r="J73" s="91">
        <f t="shared" si="11"/>
        <v>0</v>
      </c>
      <c r="K73" s="91">
        <f t="shared" si="11"/>
        <v>0</v>
      </c>
      <c r="L73" s="91">
        <f t="shared" si="11"/>
        <v>0</v>
      </c>
      <c r="M73" s="91">
        <f t="shared" si="11"/>
        <v>0</v>
      </c>
      <c r="N73" s="91">
        <f t="shared" si="11"/>
        <v>0</v>
      </c>
      <c r="O73" s="91">
        <f t="shared" si="11"/>
        <v>0</v>
      </c>
      <c r="P73" s="32"/>
      <c r="Q73" s="118">
        <f t="shared" si="10"/>
        <v>0</v>
      </c>
    </row>
    <row r="74" spans="1:17">
      <c r="A74" s="152"/>
      <c r="B74" s="181"/>
      <c r="C74" s="109" t="s">
        <v>9</v>
      </c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32"/>
      <c r="Q74" s="118">
        <f t="shared" si="10"/>
        <v>0</v>
      </c>
    </row>
    <row r="75" spans="1:17">
      <c r="A75" s="152"/>
      <c r="B75" s="181"/>
      <c r="C75" s="109" t="s">
        <v>38</v>
      </c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28"/>
      <c r="Q75" s="118">
        <f>SUM(D75:P75)</f>
        <v>0</v>
      </c>
    </row>
    <row r="76" spans="1:17">
      <c r="A76" s="152"/>
      <c r="B76" s="181"/>
      <c r="C76" s="109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32"/>
      <c r="Q76" s="118">
        <f>SUM(D76:P76)</f>
        <v>0</v>
      </c>
    </row>
    <row r="77" spans="1:17">
      <c r="A77" s="152"/>
      <c r="B77" s="181"/>
      <c r="C77" s="62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32"/>
      <c r="Q77" s="118">
        <f>SUM(D77:P77)</f>
        <v>0</v>
      </c>
    </row>
    <row r="78" spans="1:17">
      <c r="A78" s="152"/>
      <c r="B78" s="171"/>
      <c r="C78" s="6" t="s">
        <v>42</v>
      </c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33"/>
      <c r="Q78" s="121">
        <f t="shared" si="10"/>
        <v>0</v>
      </c>
    </row>
    <row r="79" spans="1:17">
      <c r="A79" s="152"/>
      <c r="B79" s="182" t="s">
        <v>11</v>
      </c>
      <c r="C79" s="5" t="s">
        <v>7</v>
      </c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27"/>
      <c r="Q79" s="122">
        <f t="shared" si="10"/>
        <v>0</v>
      </c>
    </row>
    <row r="80" spans="1:17">
      <c r="A80" s="152"/>
      <c r="B80" s="181"/>
      <c r="C80" s="6" t="s">
        <v>4</v>
      </c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32"/>
      <c r="Q80" s="118">
        <f t="shared" si="10"/>
        <v>0</v>
      </c>
    </row>
    <row r="81" spans="1:17">
      <c r="A81" s="152"/>
      <c r="B81" s="181"/>
      <c r="C81" s="6" t="s">
        <v>17</v>
      </c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32"/>
      <c r="Q81" s="118">
        <f t="shared" si="10"/>
        <v>0</v>
      </c>
    </row>
    <row r="82" spans="1:17">
      <c r="A82" s="152"/>
      <c r="B82" s="181"/>
      <c r="C82" s="6" t="s">
        <v>18</v>
      </c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32"/>
      <c r="Q82" s="118">
        <f t="shared" si="10"/>
        <v>0</v>
      </c>
    </row>
    <row r="83" spans="1:17">
      <c r="A83" s="152"/>
      <c r="B83" s="181"/>
      <c r="C83" s="6" t="s">
        <v>60</v>
      </c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32"/>
      <c r="Q83" s="121">
        <f t="shared" si="10"/>
        <v>0</v>
      </c>
    </row>
    <row r="84" spans="1:17">
      <c r="A84" s="152"/>
      <c r="B84" s="182" t="s">
        <v>13</v>
      </c>
      <c r="C84" s="5" t="s">
        <v>10</v>
      </c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27"/>
      <c r="Q84" s="117">
        <f t="shared" si="10"/>
        <v>0</v>
      </c>
    </row>
    <row r="85" spans="1:17">
      <c r="A85" s="152"/>
      <c r="B85" s="181"/>
      <c r="C85" s="108" t="s">
        <v>55</v>
      </c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P85" s="28"/>
      <c r="Q85" s="118">
        <f t="shared" si="10"/>
        <v>0</v>
      </c>
    </row>
    <row r="86" spans="1:17">
      <c r="A86" s="152"/>
      <c r="B86" s="181"/>
      <c r="C86" s="8" t="s">
        <v>56</v>
      </c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28"/>
      <c r="Q86" s="118">
        <f t="shared" si="10"/>
        <v>0</v>
      </c>
    </row>
    <row r="87" spans="1:17" ht="14.25" thickBot="1">
      <c r="A87" s="152"/>
      <c r="B87" s="171"/>
      <c r="C87" s="4" t="s">
        <v>61</v>
      </c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33"/>
      <c r="Q87" s="119">
        <f t="shared" si="10"/>
        <v>0</v>
      </c>
    </row>
    <row r="88" spans="1:17" ht="14.25" thickBot="1">
      <c r="A88" s="152"/>
      <c r="B88" s="158" t="s">
        <v>54</v>
      </c>
      <c r="C88" s="159"/>
      <c r="D88" s="56">
        <f>SUM(D73:D78)-SUM(D82:D83)</f>
        <v>0</v>
      </c>
      <c r="E88" s="56">
        <f t="shared" ref="E88:O88" si="12">SUM(E73:E78)-SUM(E82:E83)</f>
        <v>0</v>
      </c>
      <c r="F88" s="56">
        <f t="shared" si="12"/>
        <v>0</v>
      </c>
      <c r="G88" s="56">
        <f t="shared" si="12"/>
        <v>0</v>
      </c>
      <c r="H88" s="56">
        <f t="shared" si="12"/>
        <v>0</v>
      </c>
      <c r="I88" s="56">
        <f t="shared" si="12"/>
        <v>0</v>
      </c>
      <c r="J88" s="56">
        <f t="shared" si="12"/>
        <v>0</v>
      </c>
      <c r="K88" s="56">
        <f t="shared" si="12"/>
        <v>0</v>
      </c>
      <c r="L88" s="56">
        <f t="shared" si="12"/>
        <v>0</v>
      </c>
      <c r="M88" s="56">
        <f t="shared" si="12"/>
        <v>0</v>
      </c>
      <c r="N88" s="56">
        <f t="shared" si="12"/>
        <v>0</v>
      </c>
      <c r="O88" s="56">
        <f t="shared" si="12"/>
        <v>0</v>
      </c>
      <c r="P88" s="58">
        <f>SUM(P71:P78)-SUM(P82:P83)</f>
        <v>0</v>
      </c>
      <c r="Q88" s="116">
        <f t="shared" si="10"/>
        <v>0</v>
      </c>
    </row>
    <row r="89" spans="1:17" ht="14.25" thickBot="1">
      <c r="A89" s="153"/>
      <c r="B89" s="149" t="s">
        <v>5</v>
      </c>
      <c r="C89" s="150"/>
      <c r="D89" s="42">
        <f>SUM(D73:D78)-SUM(D79:D83)+SUM(D84:D87)</f>
        <v>0</v>
      </c>
      <c r="E89" s="42">
        <f t="shared" ref="E89:O89" si="13">SUM(E73:E78)-SUM(E79:E83)+SUM(E84:E87)</f>
        <v>0</v>
      </c>
      <c r="F89" s="42">
        <f t="shared" si="13"/>
        <v>0</v>
      </c>
      <c r="G89" s="42">
        <f t="shared" si="13"/>
        <v>0</v>
      </c>
      <c r="H89" s="42">
        <f t="shared" si="13"/>
        <v>0</v>
      </c>
      <c r="I89" s="42">
        <f t="shared" si="13"/>
        <v>0</v>
      </c>
      <c r="J89" s="42">
        <f t="shared" si="13"/>
        <v>0</v>
      </c>
      <c r="K89" s="42">
        <f t="shared" si="13"/>
        <v>0</v>
      </c>
      <c r="L89" s="42">
        <f t="shared" si="13"/>
        <v>0</v>
      </c>
      <c r="M89" s="42">
        <f t="shared" si="13"/>
        <v>0</v>
      </c>
      <c r="N89" s="42">
        <f t="shared" si="13"/>
        <v>0</v>
      </c>
      <c r="O89" s="42">
        <f t="shared" si="13"/>
        <v>0</v>
      </c>
      <c r="P89" s="44">
        <f>SUM(P71:P78)-SUM(P79:P83)+SUM(P84:P87)</f>
        <v>0</v>
      </c>
      <c r="Q89" s="46">
        <f>SUM(D89:P89)</f>
        <v>0</v>
      </c>
    </row>
    <row r="90" spans="1:17">
      <c r="A90" s="151"/>
      <c r="B90" s="180" t="s">
        <v>95</v>
      </c>
      <c r="C90" s="106" t="s">
        <v>84</v>
      </c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30"/>
      <c r="Q90" s="120">
        <f>SUM(D90:P90)</f>
        <v>0</v>
      </c>
    </row>
    <row r="91" spans="1:17">
      <c r="A91" s="152"/>
      <c r="B91" s="181"/>
      <c r="C91" s="107" t="s">
        <v>85</v>
      </c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28"/>
      <c r="Q91" s="118">
        <f t="shared" ref="Q91:Q107" si="14">SUM(D91:P91)</f>
        <v>0</v>
      </c>
    </row>
    <row r="92" spans="1:17">
      <c r="A92" s="152"/>
      <c r="B92" s="181"/>
      <c r="C92" s="108" t="s">
        <v>86</v>
      </c>
      <c r="D92" s="91">
        <f t="shared" ref="D92:O92" si="15">D90*D91</f>
        <v>0</v>
      </c>
      <c r="E92" s="91">
        <f t="shared" si="15"/>
        <v>0</v>
      </c>
      <c r="F92" s="91">
        <f t="shared" si="15"/>
        <v>0</v>
      </c>
      <c r="G92" s="91">
        <f t="shared" si="15"/>
        <v>0</v>
      </c>
      <c r="H92" s="91">
        <f t="shared" si="15"/>
        <v>0</v>
      </c>
      <c r="I92" s="91">
        <f t="shared" si="15"/>
        <v>0</v>
      </c>
      <c r="J92" s="91">
        <f t="shared" si="15"/>
        <v>0</v>
      </c>
      <c r="K92" s="91">
        <f t="shared" si="15"/>
        <v>0</v>
      </c>
      <c r="L92" s="91">
        <f t="shared" si="15"/>
        <v>0</v>
      </c>
      <c r="M92" s="91">
        <f t="shared" si="15"/>
        <v>0</v>
      </c>
      <c r="N92" s="91">
        <f t="shared" si="15"/>
        <v>0</v>
      </c>
      <c r="O92" s="91">
        <f t="shared" si="15"/>
        <v>0</v>
      </c>
      <c r="P92" s="32"/>
      <c r="Q92" s="118">
        <f t="shared" si="14"/>
        <v>0</v>
      </c>
    </row>
    <row r="93" spans="1:17">
      <c r="A93" s="152"/>
      <c r="B93" s="181"/>
      <c r="C93" s="109" t="s">
        <v>9</v>
      </c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32"/>
      <c r="Q93" s="118">
        <f t="shared" si="14"/>
        <v>0</v>
      </c>
    </row>
    <row r="94" spans="1:17">
      <c r="A94" s="152"/>
      <c r="B94" s="181"/>
      <c r="C94" s="109" t="s">
        <v>38</v>
      </c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28"/>
      <c r="Q94" s="118">
        <f>SUM(D94:P94)</f>
        <v>0</v>
      </c>
    </row>
    <row r="95" spans="1:17">
      <c r="A95" s="152"/>
      <c r="B95" s="181"/>
      <c r="C95" s="109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32"/>
      <c r="Q95" s="118">
        <f>SUM(D95:P95)</f>
        <v>0</v>
      </c>
    </row>
    <row r="96" spans="1:17">
      <c r="A96" s="152"/>
      <c r="B96" s="181"/>
      <c r="C96" s="62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32"/>
      <c r="Q96" s="118">
        <f>SUM(D96:P96)</f>
        <v>0</v>
      </c>
    </row>
    <row r="97" spans="1:17">
      <c r="A97" s="152"/>
      <c r="B97" s="171"/>
      <c r="C97" s="6" t="s">
        <v>42</v>
      </c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33"/>
      <c r="Q97" s="121">
        <f t="shared" si="14"/>
        <v>0</v>
      </c>
    </row>
    <row r="98" spans="1:17">
      <c r="A98" s="152"/>
      <c r="B98" s="182" t="s">
        <v>11</v>
      </c>
      <c r="C98" s="5" t="s">
        <v>7</v>
      </c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27"/>
      <c r="Q98" s="122">
        <f t="shared" si="14"/>
        <v>0</v>
      </c>
    </row>
    <row r="99" spans="1:17">
      <c r="A99" s="152"/>
      <c r="B99" s="181"/>
      <c r="C99" s="6" t="s">
        <v>4</v>
      </c>
      <c r="D99" s="91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32"/>
      <c r="Q99" s="118">
        <f t="shared" si="14"/>
        <v>0</v>
      </c>
    </row>
    <row r="100" spans="1:17">
      <c r="A100" s="152"/>
      <c r="B100" s="181"/>
      <c r="C100" s="6" t="s">
        <v>17</v>
      </c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32"/>
      <c r="Q100" s="118">
        <f t="shared" si="14"/>
        <v>0</v>
      </c>
    </row>
    <row r="101" spans="1:17">
      <c r="A101" s="152"/>
      <c r="B101" s="181"/>
      <c r="C101" s="6" t="s">
        <v>18</v>
      </c>
      <c r="D101" s="91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32"/>
      <c r="Q101" s="118">
        <f t="shared" si="14"/>
        <v>0</v>
      </c>
    </row>
    <row r="102" spans="1:17">
      <c r="A102" s="152"/>
      <c r="B102" s="181"/>
      <c r="C102" s="6" t="s">
        <v>60</v>
      </c>
      <c r="D102" s="91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32"/>
      <c r="Q102" s="121">
        <f t="shared" si="14"/>
        <v>0</v>
      </c>
    </row>
    <row r="103" spans="1:17">
      <c r="A103" s="152"/>
      <c r="B103" s="182" t="s">
        <v>13</v>
      </c>
      <c r="C103" s="5" t="s">
        <v>10</v>
      </c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27"/>
      <c r="Q103" s="117">
        <f t="shared" si="14"/>
        <v>0</v>
      </c>
    </row>
    <row r="104" spans="1:17">
      <c r="A104" s="152"/>
      <c r="B104" s="181"/>
      <c r="C104" s="108" t="s">
        <v>55</v>
      </c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28"/>
      <c r="Q104" s="118">
        <f t="shared" si="14"/>
        <v>0</v>
      </c>
    </row>
    <row r="105" spans="1:17">
      <c r="A105" s="152"/>
      <c r="B105" s="181"/>
      <c r="C105" s="8" t="s">
        <v>56</v>
      </c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28"/>
      <c r="Q105" s="118">
        <f t="shared" si="14"/>
        <v>0</v>
      </c>
    </row>
    <row r="106" spans="1:17" ht="14.25" thickBot="1">
      <c r="A106" s="152"/>
      <c r="B106" s="171"/>
      <c r="C106" s="4" t="s">
        <v>61</v>
      </c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33"/>
      <c r="Q106" s="119">
        <f t="shared" si="14"/>
        <v>0</v>
      </c>
    </row>
    <row r="107" spans="1:17" ht="14.25" thickBot="1">
      <c r="A107" s="152"/>
      <c r="B107" s="158" t="s">
        <v>54</v>
      </c>
      <c r="C107" s="159"/>
      <c r="D107" s="56">
        <f>SUM(D92:D97)-SUM(D101:D102)</f>
        <v>0</v>
      </c>
      <c r="E107" s="56">
        <f t="shared" ref="E107:O107" si="16">SUM(E92:E97)-SUM(E101:E102)</f>
        <v>0</v>
      </c>
      <c r="F107" s="56">
        <f t="shared" si="16"/>
        <v>0</v>
      </c>
      <c r="G107" s="56">
        <f t="shared" si="16"/>
        <v>0</v>
      </c>
      <c r="H107" s="56">
        <f t="shared" si="16"/>
        <v>0</v>
      </c>
      <c r="I107" s="56">
        <f t="shared" si="16"/>
        <v>0</v>
      </c>
      <c r="J107" s="56">
        <f t="shared" si="16"/>
        <v>0</v>
      </c>
      <c r="K107" s="56">
        <f t="shared" si="16"/>
        <v>0</v>
      </c>
      <c r="L107" s="56">
        <f t="shared" si="16"/>
        <v>0</v>
      </c>
      <c r="M107" s="56">
        <f t="shared" si="16"/>
        <v>0</v>
      </c>
      <c r="N107" s="56">
        <f t="shared" si="16"/>
        <v>0</v>
      </c>
      <c r="O107" s="56">
        <f t="shared" si="16"/>
        <v>0</v>
      </c>
      <c r="P107" s="58">
        <f>SUM(P90:P97)-SUM(P101:P102)</f>
        <v>0</v>
      </c>
      <c r="Q107" s="116">
        <f t="shared" si="14"/>
        <v>0</v>
      </c>
    </row>
    <row r="108" spans="1:17" ht="14.25" thickBot="1">
      <c r="A108" s="153"/>
      <c r="B108" s="149" t="s">
        <v>5</v>
      </c>
      <c r="C108" s="150"/>
      <c r="D108" s="42">
        <f>SUM(D92:D97)-SUM(D98:D102)+SUM(D103:D106)</f>
        <v>0</v>
      </c>
      <c r="E108" s="42">
        <f t="shared" ref="E108:O108" si="17">SUM(E92:E97)-SUM(E98:E102)+SUM(E103:E106)</f>
        <v>0</v>
      </c>
      <c r="F108" s="42">
        <f t="shared" si="17"/>
        <v>0</v>
      </c>
      <c r="G108" s="42">
        <f t="shared" si="17"/>
        <v>0</v>
      </c>
      <c r="H108" s="42">
        <f t="shared" si="17"/>
        <v>0</v>
      </c>
      <c r="I108" s="42">
        <f t="shared" si="17"/>
        <v>0</v>
      </c>
      <c r="J108" s="42">
        <f t="shared" si="17"/>
        <v>0</v>
      </c>
      <c r="K108" s="42">
        <f t="shared" si="17"/>
        <v>0</v>
      </c>
      <c r="L108" s="42">
        <f t="shared" si="17"/>
        <v>0</v>
      </c>
      <c r="M108" s="42">
        <f t="shared" si="17"/>
        <v>0</v>
      </c>
      <c r="N108" s="42">
        <f t="shared" si="17"/>
        <v>0</v>
      </c>
      <c r="O108" s="42">
        <f t="shared" si="17"/>
        <v>0</v>
      </c>
      <c r="P108" s="44">
        <f>SUM(P90:P97)-SUM(P98:P102)+SUM(P103:P106)</f>
        <v>0</v>
      </c>
      <c r="Q108" s="46">
        <f>SUM(D108:P108)</f>
        <v>0</v>
      </c>
    </row>
    <row r="109" spans="1:17">
      <c r="A109" s="151"/>
      <c r="B109" s="180" t="s">
        <v>95</v>
      </c>
      <c r="C109" s="106" t="s">
        <v>84</v>
      </c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30"/>
      <c r="Q109" s="120">
        <f>SUM(D109:P109)</f>
        <v>0</v>
      </c>
    </row>
    <row r="110" spans="1:17">
      <c r="A110" s="152"/>
      <c r="B110" s="181"/>
      <c r="C110" s="107" t="s">
        <v>85</v>
      </c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28"/>
      <c r="Q110" s="118">
        <f t="shared" ref="Q110:Q126" si="18">SUM(D110:P110)</f>
        <v>0</v>
      </c>
    </row>
    <row r="111" spans="1:17">
      <c r="A111" s="152"/>
      <c r="B111" s="181"/>
      <c r="C111" s="108" t="s">
        <v>86</v>
      </c>
      <c r="D111" s="91">
        <f t="shared" ref="D111:O111" si="19">D109*D110</f>
        <v>0</v>
      </c>
      <c r="E111" s="91">
        <f t="shared" si="19"/>
        <v>0</v>
      </c>
      <c r="F111" s="91">
        <f t="shared" si="19"/>
        <v>0</v>
      </c>
      <c r="G111" s="91">
        <f t="shared" si="19"/>
        <v>0</v>
      </c>
      <c r="H111" s="91">
        <f t="shared" si="19"/>
        <v>0</v>
      </c>
      <c r="I111" s="91">
        <f t="shared" si="19"/>
        <v>0</v>
      </c>
      <c r="J111" s="91">
        <f t="shared" si="19"/>
        <v>0</v>
      </c>
      <c r="K111" s="91">
        <f t="shared" si="19"/>
        <v>0</v>
      </c>
      <c r="L111" s="91">
        <f t="shared" si="19"/>
        <v>0</v>
      </c>
      <c r="M111" s="91">
        <f t="shared" si="19"/>
        <v>0</v>
      </c>
      <c r="N111" s="91">
        <f t="shared" si="19"/>
        <v>0</v>
      </c>
      <c r="O111" s="91">
        <f t="shared" si="19"/>
        <v>0</v>
      </c>
      <c r="P111" s="32"/>
      <c r="Q111" s="118">
        <f t="shared" si="18"/>
        <v>0</v>
      </c>
    </row>
    <row r="112" spans="1:17">
      <c r="A112" s="152"/>
      <c r="B112" s="181"/>
      <c r="C112" s="109" t="s">
        <v>9</v>
      </c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32"/>
      <c r="Q112" s="118">
        <f t="shared" si="18"/>
        <v>0</v>
      </c>
    </row>
    <row r="113" spans="1:17">
      <c r="A113" s="152"/>
      <c r="B113" s="181"/>
      <c r="C113" s="109" t="s">
        <v>38</v>
      </c>
      <c r="D113" s="89"/>
      <c r="E113" s="89"/>
      <c r="F113" s="89"/>
      <c r="G113" s="89"/>
      <c r="H113" s="89"/>
      <c r="I113" s="89"/>
      <c r="J113" s="89"/>
      <c r="K113" s="89"/>
      <c r="L113" s="89"/>
      <c r="M113" s="89"/>
      <c r="N113" s="89"/>
      <c r="O113" s="89"/>
      <c r="P113" s="28"/>
      <c r="Q113" s="118">
        <f>SUM(D113:P113)</f>
        <v>0</v>
      </c>
    </row>
    <row r="114" spans="1:17">
      <c r="A114" s="152"/>
      <c r="B114" s="181"/>
      <c r="C114" s="109"/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32"/>
      <c r="Q114" s="118">
        <f>SUM(D114:P114)</f>
        <v>0</v>
      </c>
    </row>
    <row r="115" spans="1:17">
      <c r="A115" s="152"/>
      <c r="B115" s="181"/>
      <c r="C115" s="62"/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32"/>
      <c r="Q115" s="118">
        <f>SUM(D115:P115)</f>
        <v>0</v>
      </c>
    </row>
    <row r="116" spans="1:17">
      <c r="A116" s="152"/>
      <c r="B116" s="171"/>
      <c r="C116" s="6" t="s">
        <v>42</v>
      </c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33"/>
      <c r="Q116" s="121">
        <f t="shared" si="18"/>
        <v>0</v>
      </c>
    </row>
    <row r="117" spans="1:17">
      <c r="A117" s="152"/>
      <c r="B117" s="182" t="s">
        <v>11</v>
      </c>
      <c r="C117" s="5" t="s">
        <v>7</v>
      </c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27"/>
      <c r="Q117" s="122">
        <f t="shared" si="18"/>
        <v>0</v>
      </c>
    </row>
    <row r="118" spans="1:17">
      <c r="A118" s="152"/>
      <c r="B118" s="181"/>
      <c r="C118" s="6" t="s">
        <v>4</v>
      </c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32"/>
      <c r="Q118" s="118">
        <f t="shared" si="18"/>
        <v>0</v>
      </c>
    </row>
    <row r="119" spans="1:17">
      <c r="A119" s="152"/>
      <c r="B119" s="181"/>
      <c r="C119" s="6" t="s">
        <v>17</v>
      </c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32"/>
      <c r="Q119" s="118">
        <f t="shared" si="18"/>
        <v>0</v>
      </c>
    </row>
    <row r="120" spans="1:17">
      <c r="A120" s="152"/>
      <c r="B120" s="181"/>
      <c r="C120" s="6" t="s">
        <v>18</v>
      </c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32"/>
      <c r="Q120" s="118">
        <f t="shared" si="18"/>
        <v>0</v>
      </c>
    </row>
    <row r="121" spans="1:17">
      <c r="A121" s="152"/>
      <c r="B121" s="181"/>
      <c r="C121" s="6" t="s">
        <v>60</v>
      </c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32"/>
      <c r="Q121" s="121">
        <f t="shared" si="18"/>
        <v>0</v>
      </c>
    </row>
    <row r="122" spans="1:17">
      <c r="A122" s="152"/>
      <c r="B122" s="182" t="s">
        <v>13</v>
      </c>
      <c r="C122" s="5" t="s">
        <v>10</v>
      </c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27"/>
      <c r="Q122" s="117">
        <f t="shared" si="18"/>
        <v>0</v>
      </c>
    </row>
    <row r="123" spans="1:17">
      <c r="A123" s="152"/>
      <c r="B123" s="181"/>
      <c r="C123" s="108" t="s">
        <v>55</v>
      </c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28"/>
      <c r="Q123" s="118">
        <f t="shared" si="18"/>
        <v>0</v>
      </c>
    </row>
    <row r="124" spans="1:17">
      <c r="A124" s="152"/>
      <c r="B124" s="181"/>
      <c r="C124" s="8" t="s">
        <v>56</v>
      </c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28"/>
      <c r="Q124" s="118">
        <f t="shared" si="18"/>
        <v>0</v>
      </c>
    </row>
    <row r="125" spans="1:17" ht="14.25" thickBot="1">
      <c r="A125" s="152"/>
      <c r="B125" s="171"/>
      <c r="C125" s="4" t="s">
        <v>61</v>
      </c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33"/>
      <c r="Q125" s="119">
        <f t="shared" si="18"/>
        <v>0</v>
      </c>
    </row>
    <row r="126" spans="1:17" ht="14.25" thickBot="1">
      <c r="A126" s="152"/>
      <c r="B126" s="158" t="s">
        <v>54</v>
      </c>
      <c r="C126" s="159"/>
      <c r="D126" s="56">
        <f>SUM(D111:D116)-SUM(D120:D121)</f>
        <v>0</v>
      </c>
      <c r="E126" s="56">
        <f t="shared" ref="E126:O126" si="20">SUM(E111:E116)-SUM(E120:E121)</f>
        <v>0</v>
      </c>
      <c r="F126" s="56">
        <f t="shared" si="20"/>
        <v>0</v>
      </c>
      <c r="G126" s="56">
        <f t="shared" si="20"/>
        <v>0</v>
      </c>
      <c r="H126" s="56">
        <f t="shared" si="20"/>
        <v>0</v>
      </c>
      <c r="I126" s="56">
        <f t="shared" si="20"/>
        <v>0</v>
      </c>
      <c r="J126" s="56">
        <f t="shared" si="20"/>
        <v>0</v>
      </c>
      <c r="K126" s="56">
        <f t="shared" si="20"/>
        <v>0</v>
      </c>
      <c r="L126" s="56">
        <f t="shared" si="20"/>
        <v>0</v>
      </c>
      <c r="M126" s="56">
        <f t="shared" si="20"/>
        <v>0</v>
      </c>
      <c r="N126" s="56">
        <f t="shared" si="20"/>
        <v>0</v>
      </c>
      <c r="O126" s="56">
        <f t="shared" si="20"/>
        <v>0</v>
      </c>
      <c r="P126" s="58">
        <f>SUM(P109:P116)-SUM(P120:P121)</f>
        <v>0</v>
      </c>
      <c r="Q126" s="116">
        <f t="shared" si="18"/>
        <v>0</v>
      </c>
    </row>
    <row r="127" spans="1:17" ht="14.25" thickBot="1">
      <c r="A127" s="153"/>
      <c r="B127" s="149" t="s">
        <v>5</v>
      </c>
      <c r="C127" s="150"/>
      <c r="D127" s="42">
        <f>SUM(D111:D116)-SUM(D117:D121)+SUM(D122:D125)</f>
        <v>0</v>
      </c>
      <c r="E127" s="42">
        <f t="shared" ref="E127:O127" si="21">SUM(E111:E116)-SUM(E117:E121)+SUM(E122:E125)</f>
        <v>0</v>
      </c>
      <c r="F127" s="42">
        <f t="shared" si="21"/>
        <v>0</v>
      </c>
      <c r="G127" s="42">
        <f t="shared" si="21"/>
        <v>0</v>
      </c>
      <c r="H127" s="42">
        <f t="shared" si="21"/>
        <v>0</v>
      </c>
      <c r="I127" s="42">
        <f t="shared" si="21"/>
        <v>0</v>
      </c>
      <c r="J127" s="42">
        <f t="shared" si="21"/>
        <v>0</v>
      </c>
      <c r="K127" s="42">
        <f t="shared" si="21"/>
        <v>0</v>
      </c>
      <c r="L127" s="42">
        <f t="shared" si="21"/>
        <v>0</v>
      </c>
      <c r="M127" s="42">
        <f t="shared" si="21"/>
        <v>0</v>
      </c>
      <c r="N127" s="42">
        <f t="shared" si="21"/>
        <v>0</v>
      </c>
      <c r="O127" s="42">
        <f t="shared" si="21"/>
        <v>0</v>
      </c>
      <c r="P127" s="44">
        <f>SUM(P109:P116)-SUM(P117:P121)+SUM(P122:P125)</f>
        <v>0</v>
      </c>
      <c r="Q127" s="46">
        <f>SUM(D127:P127)</f>
        <v>0</v>
      </c>
    </row>
    <row r="128" spans="1:17">
      <c r="A128" s="151"/>
      <c r="B128" s="180" t="s">
        <v>95</v>
      </c>
      <c r="C128" s="106" t="s">
        <v>84</v>
      </c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30"/>
      <c r="Q128" s="120">
        <f>SUM(D128:P128)</f>
        <v>0</v>
      </c>
    </row>
    <row r="129" spans="1:17">
      <c r="A129" s="152"/>
      <c r="B129" s="181"/>
      <c r="C129" s="107" t="s">
        <v>85</v>
      </c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28"/>
      <c r="Q129" s="118">
        <f t="shared" ref="Q129:Q145" si="22">SUM(D129:P129)</f>
        <v>0</v>
      </c>
    </row>
    <row r="130" spans="1:17">
      <c r="A130" s="152"/>
      <c r="B130" s="181"/>
      <c r="C130" s="108" t="s">
        <v>86</v>
      </c>
      <c r="D130" s="91">
        <f t="shared" ref="D130:O130" si="23">D128*D129</f>
        <v>0</v>
      </c>
      <c r="E130" s="91">
        <f t="shared" si="23"/>
        <v>0</v>
      </c>
      <c r="F130" s="91">
        <f t="shared" si="23"/>
        <v>0</v>
      </c>
      <c r="G130" s="91">
        <f t="shared" si="23"/>
        <v>0</v>
      </c>
      <c r="H130" s="91">
        <f t="shared" si="23"/>
        <v>0</v>
      </c>
      <c r="I130" s="91">
        <f t="shared" si="23"/>
        <v>0</v>
      </c>
      <c r="J130" s="91">
        <f t="shared" si="23"/>
        <v>0</v>
      </c>
      <c r="K130" s="91">
        <f t="shared" si="23"/>
        <v>0</v>
      </c>
      <c r="L130" s="91">
        <f t="shared" si="23"/>
        <v>0</v>
      </c>
      <c r="M130" s="91">
        <f t="shared" si="23"/>
        <v>0</v>
      </c>
      <c r="N130" s="91">
        <f t="shared" si="23"/>
        <v>0</v>
      </c>
      <c r="O130" s="91">
        <f t="shared" si="23"/>
        <v>0</v>
      </c>
      <c r="P130" s="32"/>
      <c r="Q130" s="118">
        <f t="shared" si="22"/>
        <v>0</v>
      </c>
    </row>
    <row r="131" spans="1:17">
      <c r="A131" s="152"/>
      <c r="B131" s="181"/>
      <c r="C131" s="109" t="s">
        <v>9</v>
      </c>
      <c r="D131" s="91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91"/>
      <c r="P131" s="32"/>
      <c r="Q131" s="118">
        <f t="shared" si="22"/>
        <v>0</v>
      </c>
    </row>
    <row r="132" spans="1:17">
      <c r="A132" s="152"/>
      <c r="B132" s="181"/>
      <c r="C132" s="109" t="s">
        <v>38</v>
      </c>
      <c r="D132" s="89"/>
      <c r="E132" s="89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28"/>
      <c r="Q132" s="118">
        <f>SUM(D132:P132)</f>
        <v>0</v>
      </c>
    </row>
    <row r="133" spans="1:17">
      <c r="A133" s="152"/>
      <c r="B133" s="181"/>
      <c r="C133" s="109"/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91"/>
      <c r="P133" s="32"/>
      <c r="Q133" s="118">
        <f>SUM(D133:P133)</f>
        <v>0</v>
      </c>
    </row>
    <row r="134" spans="1:17">
      <c r="A134" s="152"/>
      <c r="B134" s="181"/>
      <c r="C134" s="62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32"/>
      <c r="Q134" s="118">
        <f>SUM(D134:P134)</f>
        <v>0</v>
      </c>
    </row>
    <row r="135" spans="1:17">
      <c r="A135" s="152"/>
      <c r="B135" s="171"/>
      <c r="C135" s="6" t="s">
        <v>42</v>
      </c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33"/>
      <c r="Q135" s="121">
        <f t="shared" si="22"/>
        <v>0</v>
      </c>
    </row>
    <row r="136" spans="1:17">
      <c r="A136" s="152"/>
      <c r="B136" s="182" t="s">
        <v>11</v>
      </c>
      <c r="C136" s="5" t="s">
        <v>7</v>
      </c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27"/>
      <c r="Q136" s="122">
        <f t="shared" si="22"/>
        <v>0</v>
      </c>
    </row>
    <row r="137" spans="1:17">
      <c r="A137" s="152"/>
      <c r="B137" s="181"/>
      <c r="C137" s="6" t="s">
        <v>4</v>
      </c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91"/>
      <c r="P137" s="32"/>
      <c r="Q137" s="118">
        <f t="shared" si="22"/>
        <v>0</v>
      </c>
    </row>
    <row r="138" spans="1:17">
      <c r="A138" s="152"/>
      <c r="B138" s="181"/>
      <c r="C138" s="6" t="s">
        <v>17</v>
      </c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32"/>
      <c r="Q138" s="118">
        <f t="shared" si="22"/>
        <v>0</v>
      </c>
    </row>
    <row r="139" spans="1:17">
      <c r="A139" s="152"/>
      <c r="B139" s="181"/>
      <c r="C139" s="6" t="s">
        <v>18</v>
      </c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32"/>
      <c r="Q139" s="118">
        <f t="shared" si="22"/>
        <v>0</v>
      </c>
    </row>
    <row r="140" spans="1:17">
      <c r="A140" s="152"/>
      <c r="B140" s="181"/>
      <c r="C140" s="6" t="s">
        <v>60</v>
      </c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32"/>
      <c r="Q140" s="121">
        <f t="shared" si="22"/>
        <v>0</v>
      </c>
    </row>
    <row r="141" spans="1:17">
      <c r="A141" s="152"/>
      <c r="B141" s="182" t="s">
        <v>13</v>
      </c>
      <c r="C141" s="5" t="s">
        <v>10</v>
      </c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27"/>
      <c r="Q141" s="117">
        <f t="shared" si="22"/>
        <v>0</v>
      </c>
    </row>
    <row r="142" spans="1:17">
      <c r="A142" s="152"/>
      <c r="B142" s="181"/>
      <c r="C142" s="108" t="s">
        <v>55</v>
      </c>
      <c r="D142" s="89"/>
      <c r="E142" s="89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28"/>
      <c r="Q142" s="118">
        <f t="shared" si="22"/>
        <v>0</v>
      </c>
    </row>
    <row r="143" spans="1:17">
      <c r="A143" s="152"/>
      <c r="B143" s="181"/>
      <c r="C143" s="8" t="s">
        <v>56</v>
      </c>
      <c r="D143" s="89"/>
      <c r="E143" s="89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28"/>
      <c r="Q143" s="118">
        <f t="shared" si="22"/>
        <v>0</v>
      </c>
    </row>
    <row r="144" spans="1:17" ht="14.25" thickBot="1">
      <c r="A144" s="152"/>
      <c r="B144" s="171"/>
      <c r="C144" s="4" t="s">
        <v>61</v>
      </c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33"/>
      <c r="Q144" s="119">
        <f t="shared" si="22"/>
        <v>0</v>
      </c>
    </row>
    <row r="145" spans="1:17" ht="14.25" thickBot="1">
      <c r="A145" s="152"/>
      <c r="B145" s="158" t="s">
        <v>54</v>
      </c>
      <c r="C145" s="159"/>
      <c r="D145" s="56">
        <f>SUM(D130:D135)-SUM(D139:D140)</f>
        <v>0</v>
      </c>
      <c r="E145" s="56">
        <f t="shared" ref="E145:O145" si="24">SUM(E130:E135)-SUM(E139:E140)</f>
        <v>0</v>
      </c>
      <c r="F145" s="56">
        <f t="shared" si="24"/>
        <v>0</v>
      </c>
      <c r="G145" s="56">
        <f t="shared" si="24"/>
        <v>0</v>
      </c>
      <c r="H145" s="56">
        <f t="shared" si="24"/>
        <v>0</v>
      </c>
      <c r="I145" s="56">
        <f t="shared" si="24"/>
        <v>0</v>
      </c>
      <c r="J145" s="56">
        <f t="shared" si="24"/>
        <v>0</v>
      </c>
      <c r="K145" s="56">
        <f t="shared" si="24"/>
        <v>0</v>
      </c>
      <c r="L145" s="56">
        <f t="shared" si="24"/>
        <v>0</v>
      </c>
      <c r="M145" s="56">
        <f t="shared" si="24"/>
        <v>0</v>
      </c>
      <c r="N145" s="56">
        <f t="shared" si="24"/>
        <v>0</v>
      </c>
      <c r="O145" s="56">
        <f t="shared" si="24"/>
        <v>0</v>
      </c>
      <c r="P145" s="58">
        <f>SUM(P128:P135)-SUM(P139:P140)</f>
        <v>0</v>
      </c>
      <c r="Q145" s="116">
        <f t="shared" si="22"/>
        <v>0</v>
      </c>
    </row>
    <row r="146" spans="1:17" ht="14.25" thickBot="1">
      <c r="A146" s="153"/>
      <c r="B146" s="149" t="s">
        <v>5</v>
      </c>
      <c r="C146" s="150"/>
      <c r="D146" s="42">
        <f>SUM(D130:D135)-SUM(D136:D140)+SUM(D141:D144)</f>
        <v>0</v>
      </c>
      <c r="E146" s="42">
        <f t="shared" ref="E146:O146" si="25">SUM(E130:E135)-SUM(E136:E140)+SUM(E141:E144)</f>
        <v>0</v>
      </c>
      <c r="F146" s="42">
        <f t="shared" si="25"/>
        <v>0</v>
      </c>
      <c r="G146" s="42">
        <f t="shared" si="25"/>
        <v>0</v>
      </c>
      <c r="H146" s="42">
        <f t="shared" si="25"/>
        <v>0</v>
      </c>
      <c r="I146" s="42">
        <f t="shared" si="25"/>
        <v>0</v>
      </c>
      <c r="J146" s="42">
        <f t="shared" si="25"/>
        <v>0</v>
      </c>
      <c r="K146" s="42">
        <f t="shared" si="25"/>
        <v>0</v>
      </c>
      <c r="L146" s="42">
        <f t="shared" si="25"/>
        <v>0</v>
      </c>
      <c r="M146" s="42">
        <f t="shared" si="25"/>
        <v>0</v>
      </c>
      <c r="N146" s="42">
        <f t="shared" si="25"/>
        <v>0</v>
      </c>
      <c r="O146" s="42">
        <f t="shared" si="25"/>
        <v>0</v>
      </c>
      <c r="P146" s="44">
        <f>SUM(P128:P135)-SUM(P136:P140)+SUM(P141:P144)</f>
        <v>0</v>
      </c>
      <c r="Q146" s="46">
        <f>SUM(D146:P146)</f>
        <v>0</v>
      </c>
    </row>
    <row r="147" spans="1:17">
      <c r="A147" s="144" t="s">
        <v>40</v>
      </c>
      <c r="B147" s="145"/>
      <c r="C147" s="145"/>
      <c r="D147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147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147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147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147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147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147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147" s="47">
        <f ca="1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147" s="47">
        <f ca="1">SUMIF($C:$C,"役員手当",L:L)
+SUMIF($C:$C,"基本給",L:L)
+SUMIF($C:$C,"役職手当",L:L)
+SUMIF($C:$C,"営業手当",L:L)
+SUMIF($C:$C,"管理手当",L:L)
+SUMIF($C:$C,"在宅手当",L:L)
+SUMIF($C:$C,"特別手当",L:L)
+SUMIF($C:$C,"扶養家族手当",L:L)
+SUMIF($C:$C,"調整金",L:L)
+SUMIF($C:$C,"特別手当",INDEX(L:L,2,1))</f>
        <v>0</v>
      </c>
      <c r="M147" s="47">
        <f ca="1">SUMIF($C:$C,"役員手当",M:M)
+SUMIF($C:$C,"基本給",M:M)
+SUMIF($C:$C,"役職手当",M:M)
+SUMIF($C:$C,"営業手当",M:M)
+SUMIF($C:$C,"管理手当",M:M)
+SUMIF($C:$C,"在宅手当",M:M)
+SUMIF($C:$C,"特別手当",M:M)
+SUMIF($C:$C,"扶養家族手当",M:M)
+SUMIF($C:$C,"調整金",M:M)
+SUMIF($C:$C,"特別手当",INDEX(M:M,2,1))</f>
        <v>0</v>
      </c>
      <c r="N147" s="47">
        <f ca="1">SUMIF($C:$C,"役員手当",N:N)
+SUMIF($C:$C,"基本給",N:N)
+SUMIF($C:$C,"役職手当",N:N)
+SUMIF($C:$C,"営業手当",N:N)
+SUMIF($C:$C,"管理手当",N:N)
+SUMIF($C:$C,"在宅手当",N:N)
+SUMIF($C:$C,"特別手当",N:N)
+SUMIF($C:$C,"扶養家族手当",N:N)
+SUMIF($C:$C,"調整金",N:N)
+SUMIF($C:$C,"特別手当",INDEX(N:N,2,1))</f>
        <v>0</v>
      </c>
      <c r="O147" s="47">
        <f ca="1">SUMIF($C:$C,"役員手当",O:O)
+SUMIF($C:$C,"基本給",O:O)
+SUMIF($C:$C,"役職手当",O:O)
+SUMIF($C:$C,"営業手当",O:O)
+SUMIF($C:$C,"管理手当",O:O)
+SUMIF($C:$C,"在宅手当",O:O)
+SUMIF($C:$C,"特別手当",O:O)
+SUMIF($C:$C,"扶養家族手当",O:O)
+SUMIF($C:$C,"調整金",O:O)
+SUMIF($C:$C,"特別手当",INDEX(O:O,2,1))</f>
        <v>0</v>
      </c>
      <c r="P147" s="47">
        <f ca="1">SUMIF($C:$C,"役員手当",P:P)
+SUMIF($C:$C,"基本給",P:P)
+SUMIF($C:$C,"役職手当",P:P)
+SUMIF($C:$C,"営業手当",P:P)
+SUMIF($C:$C,"管理手当",P:P)
+SUMIF($C:$C,"在宅手当",P:P)
+SUMIF($C:$C,"特別手当",P:P)
+SUMIF($C:$C,"扶養家族手当",P:P)
+SUMIF($C:$C,"調整金",P:P)
+SUMIF($C:$C,"特別手当",INDEX(P:P,2,1))</f>
        <v>0</v>
      </c>
      <c r="Q147" s="49">
        <f ca="1">SUM(P147:P147)</f>
        <v>0</v>
      </c>
    </row>
    <row r="148" spans="1:17">
      <c r="A148" s="146" t="s">
        <v>41</v>
      </c>
      <c r="B148" s="147"/>
      <c r="C148" s="148"/>
      <c r="D148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148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148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148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148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148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148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148" s="50">
        <f ca="1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148" s="50">
        <f ca="1">SUMIF($C:$C,"基本給",L:L)
+SUMIF($C:$C,"役職手当",L:L)
+SUMIF($C:$C,"営業手当",L:L)
+SUMIF($C:$C,"管理手当",L:L)
+SUMIF($C:$C,"在宅手当",L:L)
+SUMIF($C:$C,"特別手当",L:L)
+SUMIF($C:$C,"扶養家族手当",L:L)
+SUMIF($C:$C,"調整金",L:L)
+SUMIF($C:$C,"小計",L:L)
+SUMIF($C:$C,"特別手当",INDEX(L:L,2,1))</f>
        <v>0</v>
      </c>
      <c r="M148" s="50">
        <f ca="1">SUMIF($C:$C,"基本給",M:M)
+SUMIF($C:$C,"役職手当",M:M)
+SUMIF($C:$C,"営業手当",M:M)
+SUMIF($C:$C,"管理手当",M:M)
+SUMIF($C:$C,"在宅手当",M:M)
+SUMIF($C:$C,"特別手当",M:M)
+SUMIF($C:$C,"扶養家族手当",M:M)
+SUMIF($C:$C,"調整金",M:M)
+SUMIF($C:$C,"小計",M:M)
+SUMIF($C:$C,"特別手当",INDEX(M:M,2,1))</f>
        <v>0</v>
      </c>
      <c r="N148" s="50">
        <f ca="1">SUMIF($C:$C,"基本給",N:N)
+SUMIF($C:$C,"役職手当",N:N)
+SUMIF($C:$C,"営業手当",N:N)
+SUMIF($C:$C,"管理手当",N:N)
+SUMIF($C:$C,"在宅手当",N:N)
+SUMIF($C:$C,"特別手当",N:N)
+SUMIF($C:$C,"扶養家族手当",N:N)
+SUMIF($C:$C,"調整金",N:N)
+SUMIF($C:$C,"小計",N:N)
+SUMIF($C:$C,"特別手当",INDEX(N:N,2,1))</f>
        <v>0</v>
      </c>
      <c r="O148" s="50">
        <f ca="1">SUMIF($C:$C,"基本給",O:O)
+SUMIF($C:$C,"役職手当",O:O)
+SUMIF($C:$C,"営業手当",O:O)
+SUMIF($C:$C,"管理手当",O:O)
+SUMIF($C:$C,"在宅手当",O:O)
+SUMIF($C:$C,"特別手当",O:O)
+SUMIF($C:$C,"扶養家族手当",O:O)
+SUMIF($C:$C,"調整金",O:O)
+SUMIF($C:$C,"小計",O:O)
+SUMIF($C:$C,"特別手当",INDEX(O:O,2,1))</f>
        <v>0</v>
      </c>
      <c r="P148" s="50">
        <f ca="1">SUMIF($C:$C,"基本給",P:P)
+SUMIF($C:$C,"役職手当",P:P)
+SUMIF($C:$C,"営業手当",P:P)
+SUMIF($C:$C,"管理手当",P:P)
+SUMIF($C:$C,"在宅手当",P:P)
+SUMIF($C:$C,"特別手当",P:P)
+SUMIF($C:$C,"扶養家族手当",P:P)
+SUMIF($C:$C,"調整金",P:P)
+SUMIF($C:$C,"小計",P:P)
+SUMIF($C:$C,"特別手当",INDEX(P:P,2,1))</f>
        <v>0</v>
      </c>
      <c r="Q148" s="52">
        <f ca="1">SUM(P148:P148)</f>
        <v>0</v>
      </c>
    </row>
    <row r="149" spans="1:17">
      <c r="A149" s="146" t="s">
        <v>31</v>
      </c>
      <c r="B149" s="147"/>
      <c r="C149" s="148"/>
      <c r="D149" s="50">
        <f>SUMIF($B:$B,"計",D:D)</f>
        <v>0</v>
      </c>
      <c r="E149" s="50">
        <f>SUMIF($B:$B,"計",E:E)</f>
        <v>0</v>
      </c>
      <c r="F149" s="50">
        <f>SUMIF($B:$B,"計",F:F)</f>
        <v>0</v>
      </c>
      <c r="G149" s="50">
        <f>SUMIF($B:$B,"計",G:G)</f>
        <v>0</v>
      </c>
      <c r="H149" s="50">
        <f>SUMIF($B:$B,"計",H:H)</f>
        <v>0</v>
      </c>
      <c r="I149" s="50">
        <f>SUMIF($B:$B,"計",I:I)</f>
        <v>0</v>
      </c>
      <c r="J149" s="50">
        <f>SUMIF($B:$B,"計",J:J)</f>
        <v>0</v>
      </c>
      <c r="K149" s="50">
        <f>SUMIF($B:$B,"計",K:K)</f>
        <v>0</v>
      </c>
      <c r="L149" s="50">
        <f>SUMIF($B:$B,"計",L:L)</f>
        <v>0</v>
      </c>
      <c r="M149" s="50">
        <f>SUMIF($B:$B,"計",M:M)</f>
        <v>0</v>
      </c>
      <c r="N149" s="50">
        <f>SUMIF($B:$B,"計",N:N)</f>
        <v>0</v>
      </c>
      <c r="O149" s="50">
        <f>SUMIF($B:$B,"計",O:O)</f>
        <v>0</v>
      </c>
      <c r="P149" s="50">
        <f>SUMIF($B:$B,"計",P:P)</f>
        <v>0</v>
      </c>
      <c r="Q149" s="52">
        <f t="shared" ref="Q149:Q154" si="26">SUM(P149:P149)</f>
        <v>0</v>
      </c>
    </row>
    <row r="150" spans="1:17">
      <c r="A150" s="140" t="s">
        <v>20</v>
      </c>
      <c r="B150" s="141"/>
      <c r="C150" s="141"/>
      <c r="D150" s="53">
        <f>SUMIF($C:$C,"所得税",D:D)</f>
        <v>0</v>
      </c>
      <c r="E150" s="53">
        <f>SUMIF($C:$C,"所得税",E:E)</f>
        <v>0</v>
      </c>
      <c r="F150" s="53">
        <f>SUMIF($C:$C,"所得税",F:F)</f>
        <v>0</v>
      </c>
      <c r="G150" s="53">
        <f>SUMIF($C:$C,"所得税",G:G)</f>
        <v>0</v>
      </c>
      <c r="H150" s="53">
        <f>SUMIF($C:$C,"所得税",H:H)</f>
        <v>0</v>
      </c>
      <c r="I150" s="53">
        <f>SUMIF($C:$C,"所得税",I:I)</f>
        <v>0</v>
      </c>
      <c r="J150" s="53">
        <f>SUMIF($C:$C,"所得税",J:J)</f>
        <v>0</v>
      </c>
      <c r="K150" s="53">
        <f>SUMIF($C:$C,"所得税",K:K)</f>
        <v>0</v>
      </c>
      <c r="L150" s="53">
        <f>SUMIF($C:$C,"所得税",L:L)</f>
        <v>0</v>
      </c>
      <c r="M150" s="53">
        <f>SUMIF($C:$C,"所得税",M:M)</f>
        <v>0</v>
      </c>
      <c r="N150" s="53">
        <f>SUMIF($C:$C,"所得税",N:N)</f>
        <v>0</v>
      </c>
      <c r="O150" s="53">
        <f>SUMIF($C:$C,"所得税",O:O)</f>
        <v>0</v>
      </c>
      <c r="P150" s="53">
        <f>SUMIF($C:$C,"所得税",P:P)</f>
        <v>0</v>
      </c>
      <c r="Q150" s="52">
        <f t="shared" si="26"/>
        <v>0</v>
      </c>
    </row>
    <row r="151" spans="1:17">
      <c r="A151" s="140" t="s">
        <v>43</v>
      </c>
      <c r="B151" s="141"/>
      <c r="C151" s="141"/>
      <c r="D151" s="53">
        <f>SUMIF($C:$C,"住民税",D:D)</f>
        <v>0</v>
      </c>
      <c r="E151" s="53">
        <f>SUMIF($C:$C,"住民税",E:E)</f>
        <v>0</v>
      </c>
      <c r="F151" s="53">
        <f>SUMIF($C:$C,"住民税",F:F)</f>
        <v>0</v>
      </c>
      <c r="G151" s="53">
        <f>SUMIF($C:$C,"住民税",G:G)</f>
        <v>0</v>
      </c>
      <c r="H151" s="53">
        <f>SUMIF($C:$C,"住民税",H:H)</f>
        <v>0</v>
      </c>
      <c r="I151" s="53">
        <f>SUMIF($C:$C,"住民税",I:I)</f>
        <v>0</v>
      </c>
      <c r="J151" s="53">
        <f>SUMIF($C:$C,"住民税",J:J)</f>
        <v>0</v>
      </c>
      <c r="K151" s="53">
        <f>SUMIF($C:$C,"住民税",K:K)</f>
        <v>0</v>
      </c>
      <c r="L151" s="53">
        <f>SUMIF($C:$C,"住民税",L:L)</f>
        <v>0</v>
      </c>
      <c r="M151" s="53">
        <f>SUMIF($C:$C,"住民税",M:M)</f>
        <v>0</v>
      </c>
      <c r="N151" s="53">
        <f>SUMIF($C:$C,"住民税",N:N)</f>
        <v>0</v>
      </c>
      <c r="O151" s="53">
        <f>SUMIF($C:$C,"住民税",O:O)</f>
        <v>0</v>
      </c>
      <c r="P151" s="53">
        <f>SUMIF($C:$C,"住民税",P:P)</f>
        <v>0</v>
      </c>
      <c r="Q151" s="52">
        <f t="shared" si="26"/>
        <v>0</v>
      </c>
    </row>
    <row r="152" spans="1:17">
      <c r="A152" s="140" t="s">
        <v>53</v>
      </c>
      <c r="B152" s="141"/>
      <c r="C152" s="141"/>
      <c r="D152" s="53">
        <f>SUMIF($C:$C,"健康保険料",D:D)+SUMIF($C:$C,"厚生年金",D:D)</f>
        <v>0</v>
      </c>
      <c r="E152" s="53">
        <f>SUMIF($C:$C,"健康保険料",E:E)+SUMIF($C:$C,"厚生年金",E:E)</f>
        <v>0</v>
      </c>
      <c r="F152" s="53">
        <f>SUMIF($C:$C,"健康保険料",F:F)+SUMIF($C:$C,"厚生年金",F:F)</f>
        <v>0</v>
      </c>
      <c r="G152" s="53">
        <f>SUMIF($C:$C,"健康保険料",G:G)+SUMIF($C:$C,"厚生年金",G:G)</f>
        <v>0</v>
      </c>
      <c r="H152" s="53">
        <f>SUMIF($C:$C,"健康保険料",H:H)+SUMIF($C:$C,"厚生年金",H:H)</f>
        <v>0</v>
      </c>
      <c r="I152" s="53">
        <f>SUMIF($C:$C,"健康保険料",I:I)+SUMIF($C:$C,"厚生年金",I:I)</f>
        <v>0</v>
      </c>
      <c r="J152" s="53">
        <f>SUMIF($C:$C,"健康保険料",J:J)+SUMIF($C:$C,"厚生年金",J:J)</f>
        <v>0</v>
      </c>
      <c r="K152" s="53">
        <f>SUMIF($C:$C,"健康保険料",K:K)+SUMIF($C:$C,"厚生年金",K:K)</f>
        <v>0</v>
      </c>
      <c r="L152" s="53">
        <f>SUMIF($C:$C,"健康保険料",L:L)+SUMIF($C:$C,"厚生年金",L:L)</f>
        <v>0</v>
      </c>
      <c r="M152" s="53">
        <f>SUMIF($C:$C,"健康保険料",M:M)+SUMIF($C:$C,"厚生年金",M:M)</f>
        <v>0</v>
      </c>
      <c r="N152" s="53">
        <f>SUMIF($C:$C,"健康保険料",N:N)+SUMIF($C:$C,"厚生年金",N:N)</f>
        <v>0</v>
      </c>
      <c r="O152" s="53">
        <f>SUMIF($C:$C,"健康保険料",O:O)+SUMIF($C:$C,"厚生年金",O:O)</f>
        <v>0</v>
      </c>
      <c r="P152" s="53">
        <f>SUMIF($C:$C,"健康保険料",P:P)+SUMIF($C:$C,"厚生年金",P:P)</f>
        <v>0</v>
      </c>
      <c r="Q152" s="52">
        <f t="shared" si="26"/>
        <v>0</v>
      </c>
    </row>
    <row r="153" spans="1:17">
      <c r="A153" s="140" t="s">
        <v>22</v>
      </c>
      <c r="B153" s="141"/>
      <c r="C153" s="141"/>
      <c r="D153" s="53">
        <f>SUMIF($C:$C,"雇用保険",D:D)</f>
        <v>0</v>
      </c>
      <c r="E153" s="53">
        <f>SUMIF($C:$C,"雇用保険",E:E)</f>
        <v>0</v>
      </c>
      <c r="F153" s="53">
        <f>SUMIF($C:$C,"雇用保険",F:F)</f>
        <v>0</v>
      </c>
      <c r="G153" s="53">
        <f>SUMIF($C:$C,"雇用保険",G:G)</f>
        <v>0</v>
      </c>
      <c r="H153" s="53">
        <f>SUMIF($C:$C,"雇用保険",H:H)</f>
        <v>0</v>
      </c>
      <c r="I153" s="53">
        <f>SUMIF($C:$C,"雇用保険",I:I)</f>
        <v>0</v>
      </c>
      <c r="J153" s="53">
        <f>SUMIF($C:$C,"雇用保険",J:J)</f>
        <v>0</v>
      </c>
      <c r="K153" s="53">
        <f>SUMIF($C:$C,"雇用保険",K:K)</f>
        <v>0</v>
      </c>
      <c r="L153" s="53">
        <f>SUMIF($C:$C,"雇用保険",L:L)</f>
        <v>0</v>
      </c>
      <c r="M153" s="53">
        <f>SUMIF($C:$C,"雇用保険",M:M)</f>
        <v>0</v>
      </c>
      <c r="N153" s="53">
        <f>SUMIF($C:$C,"雇用保険",N:N)</f>
        <v>0</v>
      </c>
      <c r="O153" s="53">
        <f>SUMIF($C:$C,"雇用保険",O:O)</f>
        <v>0</v>
      </c>
      <c r="P153" s="53">
        <f>SUMIF($C:$C,"雇用保険",P:P)</f>
        <v>0</v>
      </c>
      <c r="Q153" s="52">
        <f t="shared" si="26"/>
        <v>0</v>
      </c>
    </row>
    <row r="154" spans="1:17">
      <c r="A154" s="140" t="s">
        <v>21</v>
      </c>
      <c r="B154" s="141"/>
      <c r="C154" s="141"/>
      <c r="D154" s="53">
        <f>SUMIF($C:$C,"交通費",D:D)</f>
        <v>0</v>
      </c>
      <c r="E154" s="53">
        <f>SUMIF($C:$C,"交通費",E:E)</f>
        <v>0</v>
      </c>
      <c r="F154" s="53">
        <f>SUMIF($C:$C,"交通費",F:F)</f>
        <v>0</v>
      </c>
      <c r="G154" s="53">
        <f>SUMIF($C:$C,"交通費",G:G)</f>
        <v>0</v>
      </c>
      <c r="H154" s="53">
        <f>SUMIF($C:$C,"交通費",H:H)</f>
        <v>0</v>
      </c>
      <c r="I154" s="53">
        <f>SUMIF($C:$C,"交通費",I:I)</f>
        <v>0</v>
      </c>
      <c r="J154" s="53">
        <f>SUMIF($C:$C,"交通費",J:J)</f>
        <v>0</v>
      </c>
      <c r="K154" s="53">
        <f>SUMIF($C:$C,"交通費",K:K)</f>
        <v>0</v>
      </c>
      <c r="L154" s="53">
        <f>SUMIF($C:$C,"交通費",L:L)</f>
        <v>0</v>
      </c>
      <c r="M154" s="53">
        <f>SUMIF($C:$C,"交通費",M:M)</f>
        <v>0</v>
      </c>
      <c r="N154" s="53">
        <f>SUMIF($C:$C,"交通費",N:N)</f>
        <v>0</v>
      </c>
      <c r="O154" s="53">
        <f>SUMIF($C:$C,"交通費",O:O)</f>
        <v>0</v>
      </c>
      <c r="P154" s="53">
        <f>SUMIF($C:$C,"交通費",P:P)</f>
        <v>0</v>
      </c>
      <c r="Q154" s="52">
        <f t="shared" si="26"/>
        <v>0</v>
      </c>
    </row>
    <row r="155" spans="1:17" ht="14.25" thickBot="1">
      <c r="A155" s="142" t="s">
        <v>57</v>
      </c>
      <c r="B155" s="143"/>
      <c r="C155" s="143"/>
      <c r="D155" s="55">
        <f>SUMIF($C:$C,"*精算分*",D:D)</f>
        <v>0</v>
      </c>
      <c r="E155" s="55">
        <f>SUMIF($C:$C,"*精算分*",E:E)</f>
        <v>0</v>
      </c>
      <c r="F155" s="55">
        <f>SUMIF($C:$C,"*精算分*",F:F)</f>
        <v>0</v>
      </c>
      <c r="G155" s="55">
        <f>SUMIF($C:$C,"*精算分*",G:G)</f>
        <v>0</v>
      </c>
      <c r="H155" s="55">
        <f>SUMIF($C:$C,"*精算分*",H:H)</f>
        <v>0</v>
      </c>
      <c r="I155" s="55">
        <f>SUMIF($C:$C,"*精算分*",I:I)</f>
        <v>0</v>
      </c>
      <c r="J155" s="55">
        <f>SUMIF($C:$C,"*精算分*",J:J)</f>
        <v>0</v>
      </c>
      <c r="K155" s="55">
        <f>SUMIF($C:$C,"*精算分*",K:K)</f>
        <v>0</v>
      </c>
      <c r="L155" s="55">
        <f>SUMIF($C:$C,"*精算分*",L:L)</f>
        <v>0</v>
      </c>
      <c r="M155" s="55">
        <f>SUMIF($C:$C,"*精算分*",M:M)</f>
        <v>0</v>
      </c>
      <c r="N155" s="55">
        <f>SUMIF($C:$C,"*精算分*",N:N)</f>
        <v>0</v>
      </c>
      <c r="O155" s="55">
        <f>SUMIF($C:$C,"*精算分*",O:O)</f>
        <v>0</v>
      </c>
      <c r="P155" s="55">
        <f>SUMIF($C:$C,"*精算分*",P:P)</f>
        <v>0</v>
      </c>
      <c r="Q155" s="45">
        <f>SUM(P155:P155)</f>
        <v>0</v>
      </c>
    </row>
    <row r="156" spans="1:17">
      <c r="A156" s="26"/>
      <c r="B156" s="26"/>
      <c r="C156" s="26"/>
      <c r="D156" s="24"/>
      <c r="E156" s="24"/>
      <c r="F156" s="24"/>
      <c r="G156" s="24"/>
      <c r="H156" s="24"/>
      <c r="I156" s="37"/>
      <c r="J156" s="37"/>
      <c r="K156" s="37"/>
      <c r="L156" s="24"/>
      <c r="M156" s="24"/>
      <c r="N156" s="24"/>
      <c r="O156" s="24"/>
      <c r="P156" s="24"/>
      <c r="Q156" s="25"/>
    </row>
    <row r="158" spans="1:17">
      <c r="A158" s="10"/>
      <c r="C158" s="104" t="s">
        <v>81</v>
      </c>
      <c r="D158" s="1">
        <f>SUMIF($C:$C,"基本給 ",D:D)
+SUMIF($C:$C,"役職手当 ",D:D)
+SUMIF($C:$C,"営業手当 ",D:D)
+SUMIF($C:$C,"管理手当 ",D:D)
+SUMIF($C:$C,"住宅手当 ",D:D)
+SUMIF($C:$C,"特別手当 ",D:D)
+SUMIF($C:$C,"扶養家族手当 ",D:D)
+SUMIF($C:$C,"調整金 ",D:D)</f>
        <v>0</v>
      </c>
      <c r="E158" s="1">
        <f>SUMIF($C:$C,"基本給 ",E:E)
+SUMIF($C:$C,"役職手当 ",E:E)
+SUMIF($C:$C,"営業手当 ",E:E)
+SUMIF($C:$C,"管理手当 ",E:E)
+SUMIF($C:$C,"住宅手当 ",E:E)
+SUMIF($C:$C,"特別手当 ",E:E)
+SUMIF($C:$C,"扶養家族手当 ",E:E)
+SUMIF($C:$C,"調整金 ",E:E)</f>
        <v>0</v>
      </c>
      <c r="F158" s="1">
        <f>SUMIF($C:$C,"基本給 ",F:F)
+SUMIF($C:$C,"役職手当 ",F:F)
+SUMIF($C:$C,"営業手当 ",F:F)
+SUMIF($C:$C,"管理手当 ",F:F)
+SUMIF($C:$C,"住宅手当 ",F:F)
+SUMIF($C:$C,"特別手当 ",F:F)
+SUMIF($C:$C,"扶養家族手当 ",F:F)
+SUMIF($C:$C,"調整金 ",F:F)</f>
        <v>0</v>
      </c>
      <c r="G158" s="1">
        <f>SUMIF($C:$C,"基本給 ",G:G)
+SUMIF($C:$C,"役職手当 ",G:G)
+SUMIF($C:$C,"営業手当 ",G:G)
+SUMIF($C:$C,"管理手当 ",G:G)
+SUMIF($C:$C,"住宅手当 ",G:G)
+SUMIF($C:$C,"特別手当 ",G:G)
+SUMIF($C:$C,"扶養家族手当 ",G:G)
+SUMIF($C:$C,"調整金 ",G:G)</f>
        <v>0</v>
      </c>
      <c r="H158" s="1">
        <f>SUMIF($C:$C,"基本給 ",H:H)
+SUMIF($C:$C,"役職手当 ",H:H)
+SUMIF($C:$C,"営業手当 ",H:H)
+SUMIF($C:$C,"管理手当 ",H:H)
+SUMIF($C:$C,"住宅手当 ",H:H)
+SUMIF($C:$C,"特別手当 ",H:H)
+SUMIF($C:$C,"扶養家族手当 ",H:H)
+SUMIF($C:$C,"調整金 ",H:H)</f>
        <v>0</v>
      </c>
      <c r="I158" s="1">
        <f>SUMIF($C:$C,"基本給 ",I:I)
+SUMIF($C:$C,"役職手当 ",I:I)
+SUMIF($C:$C,"営業手当 ",I:I)
+SUMIF($C:$C,"管理手当 ",I:I)
+SUMIF($C:$C,"住宅手当 ",I:I)
+SUMIF($C:$C,"特別手当 ",I:I)
+SUMIF($C:$C,"扶養家族手当 ",I:I)
+SUMIF($C:$C,"調整金 ",I:I)</f>
        <v>0</v>
      </c>
      <c r="J158" s="1">
        <f>SUMIF($C:$C,"基本給 ",J:J)
+SUMIF($C:$C,"役職手当 ",J:J)
+SUMIF($C:$C,"営業手当 ",J:J)
+SUMIF($C:$C,"管理手当 ",J:J)
+SUMIF($C:$C,"住宅手当 ",J:J)
+SUMIF($C:$C,"特別手当 ",J:J)
+SUMIF($C:$C,"扶養家族手当 ",J:J)
+SUMIF($C:$C,"調整金 ",J:J)</f>
        <v>0</v>
      </c>
      <c r="K158" s="1">
        <f>SUMIF($C:$C,"基本給 ",K:K)
+SUMIF($C:$C,"役職手当 ",K:K)
+SUMIF($C:$C,"営業手当 ",K:K)
+SUMIF($C:$C,"管理手当 ",K:K)
+SUMIF($C:$C,"住宅手当 ",K:K)
+SUMIF($C:$C,"特別手当 ",K:K)
+SUMIF($C:$C,"扶養家族手当 ",K:K)
+SUMIF($C:$C,"調整金 ",K:K)</f>
        <v>0</v>
      </c>
      <c r="L158" s="1">
        <f>SUMIF($C:$C,"基本給 ",L:L)
+SUMIF($C:$C,"役職手当 ",L:L)
+SUMIF($C:$C,"営業手当 ",L:L)
+SUMIF($C:$C,"管理手当 ",L:L)
+SUMIF($C:$C,"住宅手当 ",L:L)
+SUMIF($C:$C,"特別手当 ",L:L)
+SUMIF($C:$C,"扶養家族手当 ",L:L)
+SUMIF($C:$C,"調整金 ",L:L)</f>
        <v>0</v>
      </c>
      <c r="M158" s="1">
        <f>SUMIF($C:$C,"基本給 ",M:M)
+SUMIF($C:$C,"役職手当 ",M:M)
+SUMIF($C:$C,"営業手当 ",M:M)
+SUMIF($C:$C,"管理手当 ",M:M)
+SUMIF($C:$C,"住宅手当 ",M:M)
+SUMIF($C:$C,"特別手当 ",M:M)
+SUMIF($C:$C,"扶養家族手当 ",M:M)
+SUMIF($C:$C,"調整金 ",M:M)</f>
        <v>0</v>
      </c>
      <c r="N158" s="1">
        <f>SUMIF($C:$C,"基本給 ",N:N)
+SUMIF($C:$C,"役職手当 ",N:N)
+SUMIF($C:$C,"営業手当 ",N:N)
+SUMIF($C:$C,"管理手当 ",N:N)
+SUMIF($C:$C,"住宅手当 ",N:N)
+SUMIF($C:$C,"特別手当 ",N:N)
+SUMIF($C:$C,"扶養家族手当 ",N:N)
+SUMIF($C:$C,"調整金 ",N:N)</f>
        <v>0</v>
      </c>
      <c r="O158" s="1">
        <f>SUMIF($C:$C,"基本給 ",O:O)
+SUMIF($C:$C,"役職手当 ",O:O)
+SUMIF($C:$C,"営業手当 ",O:O)
+SUMIF($C:$C,"管理手当 ",O:O)
+SUMIF($C:$C,"住宅手当 ",O:O)
+SUMIF($C:$C,"特別手当 ",O:O)
+SUMIF($C:$C,"扶養家族手当 ",O:O)
+SUMIF($C:$C,"調整金 ",O:O)</f>
        <v>0</v>
      </c>
    </row>
    <row r="159" spans="1:17">
      <c r="A159" s="10"/>
      <c r="C159" s="104" t="s">
        <v>82</v>
      </c>
      <c r="D159" s="36">
        <f ca="1">SUMIF($C:$C,"小計",D:D)
+SUMIF($C:$C,"営業手当",D:D)
+SUMIF($C:$C,"管理手当",D:D)
+SUMIF($C:$C,"住宅手当",D:D)
+SUMIF($C:$C,"特別手当",D:D)
+SUMIF($C:$C,"特別手当",INDEX(D:D,2,1))
+SUMIF($C:$C,"特別手当",INDEX(D:D,3,1))
+SUMIF($C:$C,"調整金",D:D)</f>
        <v>0</v>
      </c>
      <c r="E159" s="36">
        <f ca="1">SUMIF($C:$C,"小計",E:E)
+SUMIF($C:$C,"営業手当",E:E)
+SUMIF($C:$C,"管理手当",E:E)
+SUMIF($C:$C,"住宅手当",E:E)
+SUMIF($C:$C,"特別手当",E:E)
+SUMIF($C:$C,"特別手当",INDEX(E:E,2,1))
+SUMIF($C:$C,"特別手当",INDEX(E:E,3,1))
+SUMIF($C:$C,"調整金",E:E)</f>
        <v>0</v>
      </c>
      <c r="F159" s="36">
        <f ca="1">SUMIF($C:$C,"小計",F:F)
+SUMIF($C:$C,"営業手当",F:F)
+SUMIF($C:$C,"管理手当",F:F)
+SUMIF($C:$C,"住宅手当",F:F)
+SUMIF($C:$C,"特別手当",F:F)
+SUMIF($C:$C,"特別手当",INDEX(F:F,2,1))
+SUMIF($C:$C,"特別手当",INDEX(F:F,3,1))
+SUMIF($C:$C,"調整金",F:F)</f>
        <v>0</v>
      </c>
      <c r="G159" s="36">
        <f ca="1">SUMIF($C:$C,"小計",G:G)
+SUMIF($C:$C,"営業手当",G:G)
+SUMIF($C:$C,"管理手当",G:G)
+SUMIF($C:$C,"住宅手当",G:G)
+SUMIF($C:$C,"特別手当",G:G)
+SUMIF($C:$C,"特別手当",INDEX(G:G,2,1))
+SUMIF($C:$C,"特別手当",INDEX(G:G,3,1))
+SUMIF($C:$C,"調整金",G:G)</f>
        <v>0</v>
      </c>
      <c r="H159" s="36">
        <f ca="1">SUMIF($C:$C,"小計",H:H)
+SUMIF($C:$C,"営業手当",H:H)
+SUMIF($C:$C,"管理手当",H:H)
+SUMIF($C:$C,"住宅手当",H:H)
+SUMIF($C:$C,"特別手当",H:H)
+SUMIF($C:$C,"特別手当",INDEX(H:H,2,1))
+SUMIF($C:$C,"特別手当",INDEX(H:H,3,1))
+SUMIF($C:$C,"調整金",H:H)</f>
        <v>0</v>
      </c>
      <c r="I159" s="36">
        <f ca="1">SUMIF($C:$C,"小計",I:I)
+SUMIF($C:$C,"営業手当",I:I)
+SUMIF($C:$C,"管理手当",I:I)
+SUMIF($C:$C,"住宅手当",I:I)
+SUMIF($C:$C,"特別手当",I:I)
+SUMIF($C:$C,"特別手当",INDEX(I:I,2,1))
+SUMIF($C:$C,"特別手当",INDEX(I:I,3,1))
+SUMIF($C:$C,"調整金",I:I)</f>
        <v>0</v>
      </c>
      <c r="J159" s="36">
        <f ca="1">SUMIF($C:$C,"小計",J:J)
+SUMIF($C:$C,"営業手当",J:J)
+SUMIF($C:$C,"管理手当",J:J)
+SUMIF($C:$C,"住宅手当",J:J)
+SUMIF($C:$C,"特別手当",J:J)
+SUMIF($C:$C,"特別手当",INDEX(J:J,2,1))
+SUMIF($C:$C,"特別手当",INDEX(J:J,3,1))
+SUMIF($C:$C,"調整金",J:J)</f>
        <v>0</v>
      </c>
      <c r="K159" s="36">
        <f ca="1">SUMIF($C:$C,"小計",K:K)
+SUMIF($C:$C,"営業手当",K:K)
+SUMIF($C:$C,"管理手当",K:K)
+SUMIF($C:$C,"住宅手当",K:K)
+SUMIF($C:$C,"特別手当",K:K)
+SUMIF($C:$C,"特別手当",INDEX(K:K,2,1))
+SUMIF($C:$C,"特別手当",INDEX(K:K,3,1))
+SUMIF($C:$C,"調整金",K:K)</f>
        <v>0</v>
      </c>
      <c r="L159" s="36">
        <f ca="1">SUMIF($C:$C,"小計",L:L)
+SUMIF($C:$C,"営業手当",L:L)
+SUMIF($C:$C,"管理手当",L:L)
+SUMIF($C:$C,"住宅手当",L:L)
+SUMIF($C:$C,"特別手当",L:L)
+SUMIF($C:$C,"特別手当",INDEX(L:L,2,1))
+SUMIF($C:$C,"特別手当",INDEX(L:L,3,1))
+SUMIF($C:$C,"調整金",L:L)</f>
        <v>0</v>
      </c>
      <c r="M159" s="36">
        <f ca="1">SUMIF($C:$C,"小計",M:M)
+SUMIF($C:$C,"営業手当",M:M)
+SUMIF($C:$C,"管理手当",M:M)
+SUMIF($C:$C,"住宅手当",M:M)
+SUMIF($C:$C,"特別手当",M:M)
+SUMIF($C:$C,"特別手当",INDEX(M:M,2,1))
+SUMIF($C:$C,"特別手当",INDEX(M:M,3,1))
+SUMIF($C:$C,"調整金",M:M)</f>
        <v>0</v>
      </c>
      <c r="N159" s="36">
        <f ca="1">SUMIF($C:$C,"小計",N:N)
+SUMIF($C:$C,"営業手当",N:N)
+SUMIF($C:$C,"管理手当",N:N)
+SUMIF($C:$C,"住宅手当",N:N)
+SUMIF($C:$C,"特別手当",N:N)
+SUMIF($C:$C,"特別手当",INDEX(N:N,2,1))
+SUMIF($C:$C,"特別手当",INDEX(N:N,3,1))
+SUMIF($C:$C,"調整金",N:N)</f>
        <v>0</v>
      </c>
      <c r="O159" s="36">
        <f ca="1">SUMIF($C:$C,"小計",O:O)
+SUMIF($C:$C,"営業手当",O:O)
+SUMIF($C:$C,"管理手当",O:O)
+SUMIF($C:$C,"住宅手当",O:O)
+SUMIF($C:$C,"特別手当",O:O)
+SUMIF($C:$C,"特別手当",INDEX(O:O,2,1))
+SUMIF($C:$C,"特別手当",INDEX(O:O,3,1))
+SUMIF($C:$C,"調整金",O:O)</f>
        <v>0</v>
      </c>
    </row>
    <row r="160" spans="1:17">
      <c r="A160" s="10"/>
      <c r="B160" s="11"/>
    </row>
  </sheetData>
  <mergeCells count="56">
    <mergeCell ref="A128:A146"/>
    <mergeCell ref="B128:B135"/>
    <mergeCell ref="B136:B140"/>
    <mergeCell ref="B141:B144"/>
    <mergeCell ref="B145:C145"/>
    <mergeCell ref="B146:C146"/>
    <mergeCell ref="A90:A108"/>
    <mergeCell ref="B90:B97"/>
    <mergeCell ref="B98:B102"/>
    <mergeCell ref="B103:B106"/>
    <mergeCell ref="B107:C107"/>
    <mergeCell ref="B108:C108"/>
    <mergeCell ref="A109:A127"/>
    <mergeCell ref="B109:B116"/>
    <mergeCell ref="B117:B121"/>
    <mergeCell ref="B122:B125"/>
    <mergeCell ref="B126:C126"/>
    <mergeCell ref="B127:C127"/>
    <mergeCell ref="A71:A89"/>
    <mergeCell ref="B71:B78"/>
    <mergeCell ref="B79:B83"/>
    <mergeCell ref="B84:B87"/>
    <mergeCell ref="B88:C88"/>
    <mergeCell ref="B89:C89"/>
    <mergeCell ref="B3:C3"/>
    <mergeCell ref="A4:A13"/>
    <mergeCell ref="B5:B9"/>
    <mergeCell ref="B10:B12"/>
    <mergeCell ref="B13:C13"/>
    <mergeCell ref="B32:C32"/>
    <mergeCell ref="A14:A32"/>
    <mergeCell ref="B14:B21"/>
    <mergeCell ref="B22:B26"/>
    <mergeCell ref="B27:B30"/>
    <mergeCell ref="B31:C31"/>
    <mergeCell ref="A153:C153"/>
    <mergeCell ref="A154:C154"/>
    <mergeCell ref="A155:C155"/>
    <mergeCell ref="A147:C147"/>
    <mergeCell ref="A148:C148"/>
    <mergeCell ref="A149:C149"/>
    <mergeCell ref="A150:C150"/>
    <mergeCell ref="A151:C151"/>
    <mergeCell ref="A152:C152"/>
    <mergeCell ref="A33:A51"/>
    <mergeCell ref="B33:B40"/>
    <mergeCell ref="B41:B45"/>
    <mergeCell ref="B46:B49"/>
    <mergeCell ref="B50:C50"/>
    <mergeCell ref="B51:C51"/>
    <mergeCell ref="A52:A70"/>
    <mergeCell ref="B52:B59"/>
    <mergeCell ref="B60:B64"/>
    <mergeCell ref="B65:B68"/>
    <mergeCell ref="B69:C69"/>
    <mergeCell ref="B70:C70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92D050"/>
  </sheetPr>
  <dimension ref="A1:Q48"/>
  <sheetViews>
    <sheetView tabSelected="1"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5" sqref="A15:XFD15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67" t="s">
        <v>80</v>
      </c>
      <c r="B1" s="68"/>
      <c r="C1" s="68"/>
      <c r="D1" s="68"/>
      <c r="E1" s="68"/>
    </row>
    <row r="2" spans="1:17" ht="18.75">
      <c r="A2" s="65"/>
      <c r="G2">
        <f>SUM(C6:G6)</f>
        <v>30</v>
      </c>
    </row>
    <row r="3" spans="1:17">
      <c r="A3" s="64"/>
      <c r="B3" s="64"/>
      <c r="C3" s="75" t="s">
        <v>37</v>
      </c>
      <c r="D3" s="75" t="s">
        <v>28</v>
      </c>
      <c r="E3" s="75" t="s">
        <v>32</v>
      </c>
      <c r="F3" s="75" t="s">
        <v>33</v>
      </c>
      <c r="G3" s="76" t="s">
        <v>34</v>
      </c>
      <c r="H3" s="76" t="s">
        <v>35</v>
      </c>
      <c r="I3" s="76" t="s">
        <v>36</v>
      </c>
      <c r="J3" s="76" t="s">
        <v>24</v>
      </c>
      <c r="K3" s="75" t="s">
        <v>25</v>
      </c>
      <c r="L3" s="75" t="s">
        <v>26</v>
      </c>
      <c r="M3" s="75" t="s">
        <v>23</v>
      </c>
      <c r="N3" s="75" t="s">
        <v>27</v>
      </c>
      <c r="O3" s="72"/>
    </row>
    <row r="4" spans="1:17">
      <c r="A4" s="183" t="s">
        <v>0</v>
      </c>
      <c r="B4" s="183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70"/>
    </row>
    <row r="6" spans="1:17">
      <c r="A6" s="73" t="s">
        <v>62</v>
      </c>
      <c r="B6" s="73"/>
      <c r="C6" s="83">
        <v>7</v>
      </c>
      <c r="D6" s="83">
        <v>6</v>
      </c>
      <c r="E6" s="83">
        <v>6</v>
      </c>
      <c r="F6" s="83">
        <v>6</v>
      </c>
      <c r="G6" s="83">
        <v>5</v>
      </c>
      <c r="H6" s="83">
        <v>6</v>
      </c>
      <c r="I6" s="83">
        <v>8</v>
      </c>
      <c r="J6" s="83">
        <v>9</v>
      </c>
      <c r="K6" s="83">
        <v>11</v>
      </c>
      <c r="L6" s="83">
        <v>11</v>
      </c>
      <c r="M6" s="83"/>
      <c r="N6" s="83"/>
      <c r="O6" s="69"/>
    </row>
    <row r="7" spans="1:17">
      <c r="B7">
        <f>'■2017年度　社員給与詳細'!A4</f>
        <v>0</v>
      </c>
      <c r="C7" s="82">
        <f>'■2017年度　社員給与詳細'!D13</f>
        <v>0</v>
      </c>
      <c r="D7" s="82">
        <f>'■2017年度　社員給与詳細'!E13</f>
        <v>0</v>
      </c>
      <c r="E7" s="82">
        <f>'■2017年度　社員給与詳細'!F13</f>
        <v>0</v>
      </c>
      <c r="F7" s="82">
        <f>'■2017年度　社員給与詳細'!G13</f>
        <v>0</v>
      </c>
      <c r="G7" s="82">
        <f>'■2017年度　社員給与詳細'!H13</f>
        <v>0</v>
      </c>
      <c r="H7" s="82">
        <f>'■2017年度　社員給与詳細'!I13</f>
        <v>0</v>
      </c>
      <c r="I7" s="82">
        <f>'■2017年度　社員給与詳細'!J13</f>
        <v>0</v>
      </c>
      <c r="J7" s="82">
        <f>'■2017年度　社員給与詳細'!K13</f>
        <v>0</v>
      </c>
      <c r="K7" s="82">
        <f>'■2017年度　社員給与詳細'!L13</f>
        <v>0</v>
      </c>
      <c r="L7" s="82">
        <f>'■2017年度　社員給与詳細'!M13</f>
        <v>0</v>
      </c>
      <c r="M7" s="82">
        <f>'■2017年度　社員給与詳細'!N13</f>
        <v>0</v>
      </c>
      <c r="N7" s="82">
        <f>'■2017年度　社員給与詳細'!O13</f>
        <v>0</v>
      </c>
      <c r="O7" s="70">
        <f>SUM(C7:N7)</f>
        <v>0</v>
      </c>
      <c r="Q7" s="70">
        <f>'■2017年度　社員給与詳細'!Q13</f>
        <v>0</v>
      </c>
    </row>
    <row r="8" spans="1:17">
      <c r="B8">
        <f>'■2017年度　社員給与詳細'!A14</f>
        <v>0</v>
      </c>
      <c r="C8" s="82">
        <f>'■2017年度　社員給与詳細'!D32</f>
        <v>0</v>
      </c>
      <c r="D8" s="82">
        <f>'■2017年度　社員給与詳細'!E32</f>
        <v>0</v>
      </c>
      <c r="E8" s="82">
        <f>'■2017年度　社員給与詳細'!F32</f>
        <v>0</v>
      </c>
      <c r="F8" s="82">
        <f>'■2017年度　社員給与詳細'!G32</f>
        <v>0</v>
      </c>
      <c r="G8" s="82">
        <f>'■2017年度　社員給与詳細'!H32</f>
        <v>0</v>
      </c>
      <c r="H8" s="82">
        <f>'■2017年度　社員給与詳細'!I32</f>
        <v>0</v>
      </c>
      <c r="I8" s="82">
        <f>'■2017年度　社員給与詳細'!J32</f>
        <v>0</v>
      </c>
      <c r="J8" s="82">
        <f>'■2017年度　社員給与詳細'!K32</f>
        <v>0</v>
      </c>
      <c r="K8" s="82">
        <f>'■2017年度　社員給与詳細'!L32</f>
        <v>0</v>
      </c>
      <c r="L8" s="82">
        <f>'■2017年度　社員給与詳細'!M32</f>
        <v>0</v>
      </c>
      <c r="M8" s="82">
        <f>'■2017年度　社員給与詳細'!N32</f>
        <v>0</v>
      </c>
      <c r="N8" s="82">
        <f>'■2017年度　社員給与詳細'!O32</f>
        <v>0</v>
      </c>
      <c r="O8" s="70">
        <f>SUM(C8:N8)</f>
        <v>0</v>
      </c>
      <c r="Q8" s="70">
        <f>'■2017年度　社員給与詳細'!Q32</f>
        <v>0</v>
      </c>
    </row>
    <row r="9" spans="1:17">
      <c r="B9">
        <f>'■2017年度　社員給与詳細'!$A$33</f>
        <v>0</v>
      </c>
      <c r="C9" s="82">
        <f>'■2017年度　社員給与詳細'!$D$51</f>
        <v>0</v>
      </c>
      <c r="D9" s="82">
        <f>'■2017年度　社員給与詳細'!$D$51</f>
        <v>0</v>
      </c>
      <c r="E9" s="82">
        <f>'■2017年度　社員給与詳細'!$D$51</f>
        <v>0</v>
      </c>
      <c r="F9" s="82">
        <f>'■2017年度　社員給与詳細'!$D$51</f>
        <v>0</v>
      </c>
      <c r="G9" s="82">
        <f>'■2017年度　社員給与詳細'!$D$51</f>
        <v>0</v>
      </c>
      <c r="H9" s="82">
        <f>'■2017年度　社員給与詳細'!$D$51</f>
        <v>0</v>
      </c>
      <c r="I9" s="82">
        <f>'■2017年度　社員給与詳細'!$D$51</f>
        <v>0</v>
      </c>
      <c r="J9" s="82">
        <f>'■2017年度　社員給与詳細'!$D$51</f>
        <v>0</v>
      </c>
      <c r="K9" s="82">
        <f>'■2017年度　社員給与詳細'!$D$51</f>
        <v>0</v>
      </c>
      <c r="L9" s="82">
        <f>'■2017年度　社員給与詳細'!$D$51</f>
        <v>0</v>
      </c>
      <c r="M9" s="82">
        <f>'■2017年度　社員給与詳細'!$D$51</f>
        <v>0</v>
      </c>
      <c r="N9" s="82">
        <f>'■2017年度　社員給与詳細'!$D$51</f>
        <v>0</v>
      </c>
      <c r="O9" s="70">
        <f>SUM(C9:N9)</f>
        <v>0</v>
      </c>
      <c r="Q9" s="70">
        <f>'■2017年度　社員給与詳細'!Q51</f>
        <v>0</v>
      </c>
    </row>
    <row r="10" spans="1:17">
      <c r="B10" t="str">
        <f>IF(Sheet1!A1="","",Sheet1!A1)</f>
        <v/>
      </c>
      <c r="C10" s="82">
        <f>'■2017年度　社員給与詳細'!$D$70</f>
        <v>0</v>
      </c>
      <c r="D10" s="82">
        <f>'■2017年度　社員給与詳細'!$D$70</f>
        <v>0</v>
      </c>
      <c r="E10" s="82">
        <f>'■2017年度　社員給与詳細'!$D$70</f>
        <v>0</v>
      </c>
      <c r="F10" s="82">
        <f>'■2017年度　社員給与詳細'!$D$70</f>
        <v>0</v>
      </c>
      <c r="G10" s="82">
        <f>'■2017年度　社員給与詳細'!$D$70</f>
        <v>0</v>
      </c>
      <c r="H10" s="82">
        <f>'■2017年度　社員給与詳細'!$D$70</f>
        <v>0</v>
      </c>
      <c r="I10" s="82">
        <f>'■2017年度　社員給与詳細'!$D$70</f>
        <v>0</v>
      </c>
      <c r="J10" s="82">
        <f>'■2017年度　社員給与詳細'!$D$70</f>
        <v>0</v>
      </c>
      <c r="K10" s="82">
        <f>'■2017年度　社員給与詳細'!$D$70</f>
        <v>0</v>
      </c>
      <c r="L10" s="82">
        <f>'■2017年度　社員給与詳細'!$D$70</f>
        <v>0</v>
      </c>
      <c r="M10" s="82">
        <f>'■2017年度　社員給与詳細'!$D$70</f>
        <v>0</v>
      </c>
      <c r="N10" s="82">
        <f>'■2017年度　社員給与詳細'!$D$70</f>
        <v>0</v>
      </c>
      <c r="O10" s="70">
        <f>SUM(C10:N10)</f>
        <v>0</v>
      </c>
      <c r="Q10" s="70">
        <f>'■2017年度　社員給与詳細'!Q70</f>
        <v>0</v>
      </c>
    </row>
    <row r="11" spans="1:17">
      <c r="B11" t="str">
        <f>IF(Sheet1!A1="","",Sheet1!A1)</f>
        <v/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70"/>
      <c r="Q11" s="70"/>
    </row>
    <row r="12" spans="1:17"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70"/>
      <c r="Q12" s="70"/>
    </row>
    <row r="13" spans="1:17">
      <c r="C13" s="102"/>
      <c r="D13" s="102"/>
      <c r="E13" s="102"/>
      <c r="F13" s="102"/>
      <c r="G13" s="102" t="e">
        <f>SUM(C14:G14)</f>
        <v>#REF!</v>
      </c>
      <c r="H13" s="102"/>
      <c r="I13" s="102"/>
      <c r="J13" s="102"/>
      <c r="K13" s="102"/>
      <c r="L13" s="83"/>
      <c r="M13" s="83"/>
      <c r="N13" s="83"/>
      <c r="O13" s="69"/>
    </row>
    <row r="14" spans="1:17">
      <c r="A14" s="73" t="s">
        <v>63</v>
      </c>
      <c r="B14" s="74"/>
      <c r="C14" s="83" t="e">
        <f>COUNTIF(#REF!,"&lt;&gt;0")</f>
        <v>#REF!</v>
      </c>
      <c r="D14" s="83" t="e">
        <f>COUNTIF(#REF!,"&lt;&gt;0")</f>
        <v>#REF!</v>
      </c>
      <c r="E14" s="83" t="e">
        <f>COUNTIF(#REF!,"&lt;&gt;0")</f>
        <v>#REF!</v>
      </c>
      <c r="F14" s="83" t="e">
        <f>COUNTIF(#REF!,"&lt;&gt;0")</f>
        <v>#REF!</v>
      </c>
      <c r="G14" s="83" t="e">
        <f>COUNTIF(#REF!,"&lt;&gt;0")</f>
        <v>#REF!</v>
      </c>
      <c r="H14" s="83" t="e">
        <f>COUNTIF(#REF!,"&lt;&gt;0")</f>
        <v>#REF!</v>
      </c>
      <c r="I14" s="83" t="e">
        <f>COUNTIF(#REF!,"&lt;&gt;0")</f>
        <v>#REF!</v>
      </c>
      <c r="J14" s="83" t="e">
        <f>COUNTIF(#REF!,"&lt;&gt;0")</f>
        <v>#REF!</v>
      </c>
      <c r="K14" s="83" t="e">
        <f>COUNTIF(#REF!,"&lt;&gt;0")</f>
        <v>#REF!</v>
      </c>
      <c r="L14" s="83" t="e">
        <f>COUNTIF(#REF!,"&lt;&gt;0")</f>
        <v>#REF!</v>
      </c>
      <c r="M14" s="83" t="e">
        <f>COUNTIF(#REF!,"&lt;&gt;0")</f>
        <v>#REF!</v>
      </c>
      <c r="N14" s="83" t="e">
        <f>COUNTIF(#REF!,"&lt;&gt;0")</f>
        <v>#REF!</v>
      </c>
      <c r="O14" s="69"/>
    </row>
    <row r="15" spans="1:17" s="115" customFormat="1">
      <c r="A15"/>
      <c r="B15" s="123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70"/>
    </row>
    <row r="16" spans="1:17" s="115" customFormat="1">
      <c r="A16"/>
      <c r="B16" s="123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70"/>
    </row>
    <row r="17" spans="1:15" s="115" customFormat="1">
      <c r="A17" s="77" t="s">
        <v>72</v>
      </c>
      <c r="B17"/>
      <c r="C17" s="1">
        <f>C7</f>
        <v>0</v>
      </c>
      <c r="D17" s="1">
        <f>D7</f>
        <v>0</v>
      </c>
      <c r="E17" s="1">
        <f t="shared" ref="E17:M17" si="0">E7</f>
        <v>0</v>
      </c>
      <c r="F17" s="1">
        <f t="shared" si="0"/>
        <v>0</v>
      </c>
      <c r="G17" s="1">
        <f t="shared" si="0"/>
        <v>0</v>
      </c>
      <c r="H17" s="1">
        <f t="shared" si="0"/>
        <v>0</v>
      </c>
      <c r="I17" s="1">
        <f t="shared" si="0"/>
        <v>0</v>
      </c>
      <c r="J17" s="1">
        <f t="shared" si="0"/>
        <v>0</v>
      </c>
      <c r="K17" s="1">
        <f>K7</f>
        <v>0</v>
      </c>
      <c r="L17" s="1">
        <f t="shared" si="0"/>
        <v>0</v>
      </c>
      <c r="M17" s="1">
        <f t="shared" si="0"/>
        <v>0</v>
      </c>
      <c r="N17" s="1">
        <f>N7</f>
        <v>0</v>
      </c>
      <c r="O17" s="71">
        <f>SUM(C17:N17)</f>
        <v>0</v>
      </c>
    </row>
    <row r="18" spans="1:15" s="115" customFormat="1">
      <c r="A18" s="77" t="s">
        <v>65</v>
      </c>
      <c r="B18" s="77"/>
      <c r="C18" s="113">
        <f>SUM(C8:C10)</f>
        <v>0</v>
      </c>
      <c r="D18" s="113">
        <f t="shared" ref="D18:N18" si="1">SUM(D8:D10)</f>
        <v>0</v>
      </c>
      <c r="E18" s="113">
        <f t="shared" si="1"/>
        <v>0</v>
      </c>
      <c r="F18" s="113">
        <f t="shared" si="1"/>
        <v>0</v>
      </c>
      <c r="G18" s="113">
        <f t="shared" si="1"/>
        <v>0</v>
      </c>
      <c r="H18" s="113">
        <f t="shared" si="1"/>
        <v>0</v>
      </c>
      <c r="I18" s="113">
        <f t="shared" si="1"/>
        <v>0</v>
      </c>
      <c r="J18" s="113">
        <f t="shared" si="1"/>
        <v>0</v>
      </c>
      <c r="K18" s="113">
        <f t="shared" si="1"/>
        <v>0</v>
      </c>
      <c r="L18" s="113">
        <f t="shared" si="1"/>
        <v>0</v>
      </c>
      <c r="M18" s="113">
        <f t="shared" si="1"/>
        <v>0</v>
      </c>
      <c r="N18" s="113">
        <f t="shared" si="1"/>
        <v>0</v>
      </c>
      <c r="O18" s="71">
        <f>SUM(C18:N18)</f>
        <v>0</v>
      </c>
    </row>
    <row r="19" spans="1:15">
      <c r="A19" s="114" t="s">
        <v>66</v>
      </c>
      <c r="B19" s="77"/>
      <c r="C19" s="1">
        <f>SUM(C15)</f>
        <v>0</v>
      </c>
      <c r="D19" s="1">
        <f t="shared" ref="D19:N19" si="2">SUM(D15)</f>
        <v>0</v>
      </c>
      <c r="E19" s="1">
        <f t="shared" si="2"/>
        <v>0</v>
      </c>
      <c r="F19" s="1">
        <f t="shared" si="2"/>
        <v>0</v>
      </c>
      <c r="G19" s="1">
        <f t="shared" si="2"/>
        <v>0</v>
      </c>
      <c r="H19" s="1">
        <f t="shared" si="2"/>
        <v>0</v>
      </c>
      <c r="I19" s="1">
        <f t="shared" si="2"/>
        <v>0</v>
      </c>
      <c r="J19" s="1">
        <f t="shared" si="2"/>
        <v>0</v>
      </c>
      <c r="K19" s="1">
        <f t="shared" si="2"/>
        <v>0</v>
      </c>
      <c r="L19" s="1">
        <f t="shared" si="2"/>
        <v>0</v>
      </c>
      <c r="M19" s="1">
        <f t="shared" si="2"/>
        <v>0</v>
      </c>
      <c r="N19" s="1">
        <f t="shared" si="2"/>
        <v>0</v>
      </c>
      <c r="O19" s="71">
        <f>SUM(C19:N19)</f>
        <v>0</v>
      </c>
    </row>
    <row r="20" spans="1:15">
      <c r="A20" s="77" t="s">
        <v>67</v>
      </c>
      <c r="B20" s="77"/>
      <c r="C20" s="1">
        <f>SUM(C17:C19)</f>
        <v>0</v>
      </c>
      <c r="D20" s="1">
        <f>SUM(D17:D19)</f>
        <v>0</v>
      </c>
      <c r="E20" s="1">
        <f t="shared" ref="E20:N20" si="3">SUM(E17:E19)</f>
        <v>0</v>
      </c>
      <c r="F20" s="1">
        <f t="shared" si="3"/>
        <v>0</v>
      </c>
      <c r="G20" s="1">
        <f t="shared" si="3"/>
        <v>0</v>
      </c>
      <c r="H20" s="1">
        <f t="shared" si="3"/>
        <v>0</v>
      </c>
      <c r="I20" s="1">
        <f>SUM(I17:I19)</f>
        <v>0</v>
      </c>
      <c r="J20" s="1">
        <f t="shared" si="3"/>
        <v>0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0</v>
      </c>
      <c r="O20" s="71">
        <f>SUM(C20:N20)</f>
        <v>0</v>
      </c>
    </row>
    <row r="21" spans="1:15">
      <c r="B21" s="77"/>
    </row>
    <row r="23" spans="1:15">
      <c r="C23" t="s">
        <v>79</v>
      </c>
    </row>
    <row r="24" spans="1:15">
      <c r="C24" s="185" t="s">
        <v>73</v>
      </c>
      <c r="D24" s="185"/>
      <c r="E24" s="184" t="s">
        <v>74</v>
      </c>
      <c r="F24" s="184"/>
    </row>
    <row r="25" spans="1:15">
      <c r="B25" s="124" t="s">
        <v>75</v>
      </c>
      <c r="C25" s="100">
        <f>SUM(C18:G18)</f>
        <v>0</v>
      </c>
      <c r="D25" s="133">
        <f>SUM(C6:G6)</f>
        <v>30</v>
      </c>
      <c r="E25" s="100">
        <f>SUM(H18:N18)</f>
        <v>0</v>
      </c>
      <c r="F25" s="133">
        <f>SUM(H6:N6)</f>
        <v>45</v>
      </c>
    </row>
    <row r="26" spans="1:15" ht="14.25" thickBot="1">
      <c r="B26" s="125" t="s">
        <v>76</v>
      </c>
      <c r="C26" s="134">
        <f>SUM(C19:G19)</f>
        <v>0</v>
      </c>
      <c r="D26" s="135" t="e">
        <f>SUM(C14:G14)</f>
        <v>#REF!</v>
      </c>
      <c r="E26" s="136">
        <f>SUM(H19:N19)</f>
        <v>0</v>
      </c>
      <c r="F26" s="133" t="e">
        <f>SUM(H14:N14)</f>
        <v>#REF!</v>
      </c>
    </row>
    <row r="27" spans="1:15" ht="14.25" thickTop="1">
      <c r="B27" s="126" t="s">
        <v>77</v>
      </c>
      <c r="C27" s="137">
        <f>SUM(C25:C26)</f>
        <v>0</v>
      </c>
      <c r="D27" s="138" t="e">
        <f>SUM(D25:D26)</f>
        <v>#REF!</v>
      </c>
      <c r="E27" s="100">
        <f>SUM(E25:E26)</f>
        <v>0</v>
      </c>
      <c r="F27" s="138" t="e">
        <f>SUM(F25:F26)</f>
        <v>#REF!</v>
      </c>
    </row>
    <row r="28" spans="1:15">
      <c r="C28" s="134"/>
      <c r="D28" s="139"/>
      <c r="E28" s="134"/>
      <c r="F28" s="139"/>
    </row>
    <row r="29" spans="1:15">
      <c r="C29" s="103"/>
      <c r="F29" s="100"/>
    </row>
    <row r="30" spans="1:15">
      <c r="C30" s="103"/>
      <c r="F30" s="100"/>
    </row>
    <row r="31" spans="1:15">
      <c r="C31" s="103"/>
      <c r="F31" s="100"/>
    </row>
    <row r="48" ht="18" customHeight="1"/>
  </sheetData>
  <mergeCells count="3">
    <mergeCell ref="A4:B4"/>
    <mergeCell ref="E24:F24"/>
    <mergeCell ref="C24:D24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9" tint="0.59999389629810485"/>
  </sheetPr>
  <dimension ref="A1:Q19"/>
  <sheetViews>
    <sheetView workbookViewId="0">
      <selection activeCell="D25" sqref="D25"/>
    </sheetView>
  </sheetViews>
  <sheetFormatPr defaultRowHeight="13.5"/>
  <cols>
    <col min="3" max="3" width="13.25" customWidth="1"/>
  </cols>
  <sheetData>
    <row r="1" spans="1:17">
      <c r="A1" s="160"/>
      <c r="B1" s="170" t="s">
        <v>12</v>
      </c>
      <c r="C1" s="106" t="s">
        <v>87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78"/>
      <c r="P1" s="30"/>
      <c r="Q1" s="19">
        <f>SUM(D1:P1)</f>
        <v>0</v>
      </c>
    </row>
    <row r="2" spans="1:17">
      <c r="A2" s="161"/>
      <c r="B2" s="171"/>
      <c r="C2" s="107" t="s">
        <v>89</v>
      </c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1"/>
      <c r="P2" s="31"/>
      <c r="Q2" s="20">
        <f t="shared" ref="Q2:Q19" si="0">SUM(D2:P2)</f>
        <v>0</v>
      </c>
    </row>
    <row r="3" spans="1:17">
      <c r="A3" s="161"/>
      <c r="B3" s="172"/>
      <c r="C3" s="108" t="s">
        <v>88</v>
      </c>
      <c r="D3" s="89"/>
      <c r="E3" s="90"/>
      <c r="F3" s="90"/>
      <c r="G3" s="90"/>
      <c r="H3" s="89"/>
      <c r="I3" s="89"/>
      <c r="J3" s="89"/>
      <c r="K3" s="89"/>
      <c r="L3" s="89"/>
      <c r="M3" s="89"/>
      <c r="N3" s="89"/>
      <c r="O3" s="17"/>
      <c r="P3" s="28"/>
      <c r="Q3" s="20">
        <f t="shared" si="0"/>
        <v>0</v>
      </c>
    </row>
    <row r="4" spans="1:17">
      <c r="A4" s="161"/>
      <c r="B4" s="172"/>
      <c r="C4" s="109" t="s">
        <v>90</v>
      </c>
      <c r="D4" s="91"/>
      <c r="E4" s="89"/>
      <c r="F4" s="89"/>
      <c r="G4" s="91"/>
      <c r="H4" s="91"/>
      <c r="I4" s="91"/>
      <c r="J4" s="91"/>
      <c r="K4" s="91"/>
      <c r="L4" s="91"/>
      <c r="M4" s="91"/>
      <c r="N4" s="91"/>
      <c r="O4" s="80"/>
      <c r="P4" s="32"/>
      <c r="Q4" s="20">
        <f t="shared" si="0"/>
        <v>0</v>
      </c>
    </row>
    <row r="5" spans="1:17">
      <c r="A5" s="161"/>
      <c r="B5" s="172"/>
      <c r="C5" s="109" t="s">
        <v>91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80"/>
      <c r="P5" s="32"/>
      <c r="Q5" s="20">
        <f t="shared" si="0"/>
        <v>0</v>
      </c>
    </row>
    <row r="6" spans="1:17">
      <c r="A6" s="161"/>
      <c r="B6" s="172"/>
      <c r="C6" s="109" t="s">
        <v>92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80"/>
      <c r="P6" s="32"/>
      <c r="Q6" s="20">
        <f>SUM(D6:P6)</f>
        <v>0</v>
      </c>
    </row>
    <row r="7" spans="1:17">
      <c r="A7" s="161"/>
      <c r="B7" s="172"/>
      <c r="C7" s="108" t="s">
        <v>93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80"/>
      <c r="P7" s="32"/>
      <c r="Q7" s="20">
        <f t="shared" si="0"/>
        <v>0</v>
      </c>
    </row>
    <row r="8" spans="1:17">
      <c r="A8" s="161"/>
      <c r="B8" s="172"/>
      <c r="C8" s="110" t="s">
        <v>94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18"/>
      <c r="P8" s="33"/>
      <c r="Q8" s="22">
        <f t="shared" si="0"/>
        <v>0</v>
      </c>
    </row>
    <row r="9" spans="1:17">
      <c r="A9" s="161"/>
      <c r="B9" s="172" t="s">
        <v>11</v>
      </c>
      <c r="C9" s="111" t="s">
        <v>7</v>
      </c>
      <c r="D9" s="93"/>
      <c r="E9" s="93"/>
      <c r="F9" s="93"/>
      <c r="G9" s="93"/>
      <c r="H9" s="93"/>
      <c r="I9" s="93"/>
      <c r="J9" s="93"/>
      <c r="K9" s="93"/>
      <c r="L9" s="94"/>
      <c r="M9" s="94"/>
      <c r="N9" s="94"/>
      <c r="O9" s="79"/>
      <c r="P9" s="27"/>
      <c r="Q9" s="21">
        <f t="shared" si="0"/>
        <v>0</v>
      </c>
    </row>
    <row r="10" spans="1:17">
      <c r="A10" s="161"/>
      <c r="B10" s="172"/>
      <c r="C10" s="109" t="s">
        <v>4</v>
      </c>
      <c r="D10" s="95"/>
      <c r="E10" s="95"/>
      <c r="F10" s="95"/>
      <c r="G10" s="95"/>
      <c r="H10" s="95"/>
      <c r="I10" s="95"/>
      <c r="J10" s="95"/>
      <c r="K10" s="95"/>
      <c r="L10" s="91"/>
      <c r="M10" s="91"/>
      <c r="N10" s="91"/>
      <c r="O10" s="80"/>
      <c r="P10" s="32"/>
      <c r="Q10" s="20">
        <f t="shared" si="0"/>
        <v>0</v>
      </c>
    </row>
    <row r="11" spans="1:17">
      <c r="A11" s="161"/>
      <c r="B11" s="172"/>
      <c r="C11" s="109" t="s">
        <v>17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80"/>
      <c r="P11" s="32"/>
      <c r="Q11" s="20">
        <f t="shared" si="0"/>
        <v>0</v>
      </c>
    </row>
    <row r="12" spans="1:17">
      <c r="A12" s="161"/>
      <c r="B12" s="172"/>
      <c r="C12" s="109" t="s">
        <v>18</v>
      </c>
      <c r="D12" s="90"/>
      <c r="E12" s="90"/>
      <c r="F12" s="90"/>
      <c r="G12" s="90"/>
      <c r="H12" s="91"/>
      <c r="I12" s="91"/>
      <c r="J12" s="91"/>
      <c r="K12" s="91"/>
      <c r="L12" s="91"/>
      <c r="M12" s="91"/>
      <c r="N12" s="91"/>
      <c r="O12" s="80"/>
      <c r="P12" s="32"/>
      <c r="Q12" s="20">
        <f t="shared" si="0"/>
        <v>0</v>
      </c>
    </row>
    <row r="13" spans="1:17">
      <c r="A13" s="161"/>
      <c r="B13" s="172"/>
      <c r="C13" s="112" t="s">
        <v>19</v>
      </c>
      <c r="D13" s="96"/>
      <c r="E13" s="96"/>
      <c r="F13" s="96"/>
      <c r="G13" s="96"/>
      <c r="H13" s="92"/>
      <c r="I13" s="92"/>
      <c r="J13" s="92"/>
      <c r="K13" s="92"/>
      <c r="L13" s="92"/>
      <c r="M13" s="92"/>
      <c r="N13" s="92"/>
      <c r="O13" s="18"/>
      <c r="P13" s="33"/>
      <c r="Q13" s="22">
        <f t="shared" si="0"/>
        <v>0</v>
      </c>
    </row>
    <row r="14" spans="1:17">
      <c r="A14" s="161"/>
      <c r="B14" s="172" t="s">
        <v>13</v>
      </c>
      <c r="C14" s="111" t="s">
        <v>10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79"/>
      <c r="P14" s="27"/>
      <c r="Q14" s="21">
        <f t="shared" si="0"/>
        <v>0</v>
      </c>
    </row>
    <row r="15" spans="1:17">
      <c r="A15" s="161"/>
      <c r="B15" s="172"/>
      <c r="C15" s="108" t="s">
        <v>55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17"/>
      <c r="P15" s="28"/>
      <c r="Q15" s="20">
        <f t="shared" si="0"/>
        <v>0</v>
      </c>
    </row>
    <row r="16" spans="1:17">
      <c r="A16" s="161"/>
      <c r="B16" s="172"/>
      <c r="C16" s="108" t="s">
        <v>56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61"/>
      <c r="B17" s="172"/>
      <c r="C17" s="112" t="s">
        <v>61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18"/>
      <c r="P17" s="33"/>
      <c r="Q17" s="22">
        <f t="shared" si="0"/>
        <v>0</v>
      </c>
    </row>
    <row r="18" spans="1:17">
      <c r="A18" s="161"/>
      <c r="B18" s="158" t="s">
        <v>54</v>
      </c>
      <c r="C18" s="159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62"/>
      <c r="B19" s="149" t="s">
        <v>5</v>
      </c>
      <c r="C19" s="150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Q19"/>
  <sheetViews>
    <sheetView workbookViewId="0">
      <selection activeCell="H9" sqref="H9"/>
    </sheetView>
  </sheetViews>
  <sheetFormatPr defaultRowHeight="13.5"/>
  <cols>
    <col min="3" max="3" width="13.625" customWidth="1"/>
  </cols>
  <sheetData>
    <row r="1" spans="1:17">
      <c r="A1" s="151"/>
      <c r="B1" s="180" t="s">
        <v>95</v>
      </c>
      <c r="C1" s="106" t="s">
        <v>84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30"/>
      <c r="Q1" s="120">
        <f>SUM(D1:P1)</f>
        <v>0</v>
      </c>
    </row>
    <row r="2" spans="1:17">
      <c r="A2" s="152"/>
      <c r="B2" s="181"/>
      <c r="C2" s="107" t="s">
        <v>85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28"/>
      <c r="Q2" s="118">
        <f t="shared" ref="Q2:Q18" si="0">SUM(D2:P2)</f>
        <v>0</v>
      </c>
    </row>
    <row r="3" spans="1:17">
      <c r="A3" s="152"/>
      <c r="B3" s="181"/>
      <c r="C3" s="108" t="s">
        <v>86</v>
      </c>
      <c r="D3" s="91">
        <f t="shared" ref="D3:O3" si="1">D1*D2</f>
        <v>0</v>
      </c>
      <c r="E3" s="91">
        <f t="shared" si="1"/>
        <v>0</v>
      </c>
      <c r="F3" s="91">
        <f t="shared" si="1"/>
        <v>0</v>
      </c>
      <c r="G3" s="91">
        <f t="shared" si="1"/>
        <v>0</v>
      </c>
      <c r="H3" s="91">
        <f t="shared" si="1"/>
        <v>0</v>
      </c>
      <c r="I3" s="91">
        <f t="shared" si="1"/>
        <v>0</v>
      </c>
      <c r="J3" s="91">
        <f t="shared" si="1"/>
        <v>0</v>
      </c>
      <c r="K3" s="91">
        <f t="shared" si="1"/>
        <v>0</v>
      </c>
      <c r="L3" s="91">
        <f t="shared" si="1"/>
        <v>0</v>
      </c>
      <c r="M3" s="91">
        <f t="shared" si="1"/>
        <v>0</v>
      </c>
      <c r="N3" s="91">
        <f t="shared" si="1"/>
        <v>0</v>
      </c>
      <c r="O3" s="91">
        <f t="shared" si="1"/>
        <v>0</v>
      </c>
      <c r="P3" s="32"/>
      <c r="Q3" s="118">
        <f t="shared" si="0"/>
        <v>0</v>
      </c>
    </row>
    <row r="4" spans="1:17">
      <c r="A4" s="152"/>
      <c r="B4" s="181"/>
      <c r="C4" s="109" t="s">
        <v>9</v>
      </c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32"/>
      <c r="Q4" s="118">
        <f t="shared" si="0"/>
        <v>0</v>
      </c>
    </row>
    <row r="5" spans="1:17">
      <c r="A5" s="152"/>
      <c r="B5" s="181"/>
      <c r="C5" s="109" t="s">
        <v>38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28"/>
      <c r="Q5" s="118">
        <f>SUM(D5:P5)</f>
        <v>0</v>
      </c>
    </row>
    <row r="6" spans="1:17">
      <c r="A6" s="152"/>
      <c r="B6" s="181"/>
      <c r="C6" s="109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32"/>
      <c r="Q6" s="118">
        <f>SUM(D6:P6)</f>
        <v>0</v>
      </c>
    </row>
    <row r="7" spans="1:17">
      <c r="A7" s="152"/>
      <c r="B7" s="181"/>
      <c r="C7" s="62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32"/>
      <c r="Q7" s="118">
        <f>SUM(D7:P7)</f>
        <v>0</v>
      </c>
    </row>
    <row r="8" spans="1:17">
      <c r="A8" s="152"/>
      <c r="B8" s="171"/>
      <c r="C8" s="6" t="s">
        <v>42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33"/>
      <c r="Q8" s="121">
        <f t="shared" si="0"/>
        <v>0</v>
      </c>
    </row>
    <row r="9" spans="1:17">
      <c r="A9" s="152"/>
      <c r="B9" s="182" t="s">
        <v>11</v>
      </c>
      <c r="C9" s="5" t="s">
        <v>7</v>
      </c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27"/>
      <c r="Q9" s="122">
        <f t="shared" si="0"/>
        <v>0</v>
      </c>
    </row>
    <row r="10" spans="1:17">
      <c r="A10" s="152"/>
      <c r="B10" s="181"/>
      <c r="C10" s="6" t="s">
        <v>4</v>
      </c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32"/>
      <c r="Q10" s="118">
        <f t="shared" si="0"/>
        <v>0</v>
      </c>
    </row>
    <row r="11" spans="1:17">
      <c r="A11" s="152"/>
      <c r="B11" s="181"/>
      <c r="C11" s="6" t="s">
        <v>17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32"/>
      <c r="Q11" s="118">
        <f t="shared" si="0"/>
        <v>0</v>
      </c>
    </row>
    <row r="12" spans="1:17">
      <c r="A12" s="152"/>
      <c r="B12" s="181"/>
      <c r="C12" s="6" t="s">
        <v>18</v>
      </c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32"/>
      <c r="Q12" s="118">
        <f t="shared" si="0"/>
        <v>0</v>
      </c>
    </row>
    <row r="13" spans="1:17">
      <c r="A13" s="152"/>
      <c r="B13" s="181"/>
      <c r="C13" s="6" t="s">
        <v>60</v>
      </c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32"/>
      <c r="Q13" s="121">
        <f t="shared" si="0"/>
        <v>0</v>
      </c>
    </row>
    <row r="14" spans="1:17">
      <c r="A14" s="152"/>
      <c r="B14" s="182" t="s">
        <v>13</v>
      </c>
      <c r="C14" s="5" t="s">
        <v>10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27"/>
      <c r="Q14" s="117">
        <f t="shared" si="0"/>
        <v>0</v>
      </c>
    </row>
    <row r="15" spans="1:17">
      <c r="A15" s="152"/>
      <c r="B15" s="181"/>
      <c r="C15" s="108" t="s">
        <v>55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28"/>
      <c r="Q15" s="118">
        <f t="shared" si="0"/>
        <v>0</v>
      </c>
    </row>
    <row r="16" spans="1:17">
      <c r="A16" s="152"/>
      <c r="B16" s="181"/>
      <c r="C16" s="8" t="s">
        <v>56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28"/>
      <c r="Q16" s="118">
        <f t="shared" si="0"/>
        <v>0</v>
      </c>
    </row>
    <row r="17" spans="1:17" ht="14.25" thickBot="1">
      <c r="A17" s="152"/>
      <c r="B17" s="171"/>
      <c r="C17" s="4" t="s">
        <v>61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33"/>
      <c r="Q17" s="119">
        <f t="shared" si="0"/>
        <v>0</v>
      </c>
    </row>
    <row r="18" spans="1:17" ht="14.25" thickBot="1">
      <c r="A18" s="152"/>
      <c r="B18" s="158" t="s">
        <v>54</v>
      </c>
      <c r="C18" s="159"/>
      <c r="D18" s="56">
        <f>SUM(D3:D8)-SUM(D12:D13)</f>
        <v>0</v>
      </c>
      <c r="E18" s="56">
        <f t="shared" ref="E18:O18" si="2">SUM(E3:E8)-SUM(E12:E13)</f>
        <v>0</v>
      </c>
      <c r="F18" s="56">
        <f t="shared" si="2"/>
        <v>0</v>
      </c>
      <c r="G18" s="56">
        <f t="shared" si="2"/>
        <v>0</v>
      </c>
      <c r="H18" s="56">
        <f t="shared" si="2"/>
        <v>0</v>
      </c>
      <c r="I18" s="56">
        <f t="shared" si="2"/>
        <v>0</v>
      </c>
      <c r="J18" s="56">
        <f t="shared" si="2"/>
        <v>0</v>
      </c>
      <c r="K18" s="56">
        <f t="shared" si="2"/>
        <v>0</v>
      </c>
      <c r="L18" s="56">
        <f t="shared" si="2"/>
        <v>0</v>
      </c>
      <c r="M18" s="56">
        <f t="shared" si="2"/>
        <v>0</v>
      </c>
      <c r="N18" s="56">
        <f t="shared" si="2"/>
        <v>0</v>
      </c>
      <c r="O18" s="56">
        <f t="shared" si="2"/>
        <v>0</v>
      </c>
      <c r="P18" s="58">
        <f>SUM(P1:P8)-SUM(P12:P13)</f>
        <v>0</v>
      </c>
      <c r="Q18" s="116">
        <f t="shared" si="0"/>
        <v>0</v>
      </c>
    </row>
    <row r="19" spans="1:17" ht="14.25" thickBot="1">
      <c r="A19" s="153"/>
      <c r="B19" s="149" t="s">
        <v>5</v>
      </c>
      <c r="C19" s="150"/>
      <c r="D19" s="42">
        <f>SUM(D3:D8)-SUM(D9:D13)+SUM(D14:D17)</f>
        <v>0</v>
      </c>
      <c r="E19" s="42">
        <f t="shared" ref="E19:O19" si="3">SUM(E3:E8)-SUM(E9:E13)+SUM(E14:E17)</f>
        <v>0</v>
      </c>
      <c r="F19" s="42">
        <f t="shared" si="3"/>
        <v>0</v>
      </c>
      <c r="G19" s="42">
        <f t="shared" si="3"/>
        <v>0</v>
      </c>
      <c r="H19" s="42">
        <f t="shared" si="3"/>
        <v>0</v>
      </c>
      <c r="I19" s="42">
        <f t="shared" si="3"/>
        <v>0</v>
      </c>
      <c r="J19" s="42">
        <f t="shared" si="3"/>
        <v>0</v>
      </c>
      <c r="K19" s="42">
        <f t="shared" si="3"/>
        <v>0</v>
      </c>
      <c r="L19" s="42">
        <f t="shared" si="3"/>
        <v>0</v>
      </c>
      <c r="M19" s="42">
        <f t="shared" si="3"/>
        <v>0</v>
      </c>
      <c r="N19" s="42">
        <f t="shared" si="3"/>
        <v>0</v>
      </c>
      <c r="O19" s="42">
        <f t="shared" si="3"/>
        <v>0</v>
      </c>
      <c r="P19" s="44">
        <f>SUM(P1:P8)-SUM(P9:P13)+SUM(P14:P17)</f>
        <v>0</v>
      </c>
      <c r="Q19" s="46">
        <f>SUM(D19:P19)</f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A2" sqref="A2"/>
    </sheetView>
  </sheetViews>
  <sheetFormatPr defaultRowHeight="13.5"/>
  <sheetData/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■2017年度　社員給与詳細 (雛形)</vt:lpstr>
      <vt:lpstr>■2017年度　社員給与詳細</vt:lpstr>
      <vt:lpstr>■振込額一覧</vt:lpstr>
      <vt:lpstr>EmployeeData</vt:lpstr>
      <vt:lpstr>PartData</vt:lpstr>
      <vt:lpstr>Sheet1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2017-08-07T09:28:53Z</dcterms:modified>
</cp:coreProperties>
</file>