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 (ED)" sheetId="13" r:id="rId2"/>
    <sheet name="■振込額一覧" sheetId="6" r:id="rId3"/>
    <sheet name="■振込額一覧 (2)" sheetId="23" r:id="rId4"/>
    <sheet name="Data" sheetId="12" r:id="rId5"/>
    <sheet name="■2017年度　社員給与詳細 (ED) (2)" sheetId="25" r:id="rId6"/>
  </sheets>
  <externalReferences>
    <externalReference r:id="rId7"/>
  </externalReferences>
  <definedNames>
    <definedName name="_xlnm.Print_Area" localSheetId="1">'■2017年度　社員給与詳細 (ED)'!$A$1:$P$59</definedName>
    <definedName name="_xlnm.Print_Area" localSheetId="5">'■2017年度　社員給与詳細 (ED) (2)'!$A$1:$P$3168</definedName>
    <definedName name="_xlnm.Print_Area" localSheetId="0">'■2017年度　社員給与詳細 (雛形)'!$A$1:$P$60</definedName>
    <definedName name="_xlnm.Print_Titles" localSheetId="1">'■2017年度　社員給与詳細 (ED)'!$1:$3</definedName>
    <definedName name="_xlnm.Print_Titles" localSheetId="5">'■2017年度　社員給与詳細 (ED) (2)'!$1:$3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C25" i="6"/>
  <c r="F26"/>
  <c r="D26"/>
  <c r="F25"/>
  <c r="F27" s="1"/>
  <c r="E25"/>
  <c r="D25"/>
  <c r="D27" s="1"/>
  <c r="D13"/>
  <c r="D19" s="1"/>
  <c r="E13"/>
  <c r="E19" s="1"/>
  <c r="F13"/>
  <c r="F19" s="1"/>
  <c r="G13"/>
  <c r="G19" s="1"/>
  <c r="H13"/>
  <c r="H19" s="1"/>
  <c r="I13"/>
  <c r="I19" s="1"/>
  <c r="J13"/>
  <c r="J19" s="1"/>
  <c r="K13"/>
  <c r="K19" s="1"/>
  <c r="L13"/>
  <c r="L19" s="1"/>
  <c r="M13"/>
  <c r="M19" s="1"/>
  <c r="N13"/>
  <c r="N19" s="1"/>
  <c r="C13"/>
  <c r="O13" s="1"/>
  <c r="B13"/>
  <c r="P50" i="13"/>
  <c r="P49"/>
  <c r="Q48"/>
  <c r="Q47"/>
  <c r="Q46"/>
  <c r="Q45"/>
  <c r="Q44"/>
  <c r="Q43"/>
  <c r="Q42"/>
  <c r="Q41"/>
  <c r="Q40"/>
  <c r="Q39"/>
  <c r="Q38"/>
  <c r="Q37"/>
  <c r="Q36"/>
  <c r="O35"/>
  <c r="O50" s="1"/>
  <c r="N35"/>
  <c r="N50" s="1"/>
  <c r="M35"/>
  <c r="M49" s="1"/>
  <c r="L35"/>
  <c r="L49" s="1"/>
  <c r="K35"/>
  <c r="K50" s="1"/>
  <c r="J35"/>
  <c r="J50" s="1"/>
  <c r="I35"/>
  <c r="I49" s="1"/>
  <c r="H35"/>
  <c r="H49" s="1"/>
  <c r="G35"/>
  <c r="G50" s="1"/>
  <c r="F35"/>
  <c r="F50" s="1"/>
  <c r="E35"/>
  <c r="E49" s="1"/>
  <c r="D35"/>
  <c r="D49" s="1"/>
  <c r="Q34"/>
  <c r="Q33"/>
  <c r="E26" i="6" l="1"/>
  <c r="E27" s="1"/>
  <c r="C19"/>
  <c r="C26" s="1"/>
  <c r="C27" s="1"/>
  <c r="G49" i="13"/>
  <c r="K49"/>
  <c r="O49"/>
  <c r="E50"/>
  <c r="I50"/>
  <c r="M50"/>
  <c r="Q35"/>
  <c r="F49"/>
  <c r="Q49" s="1"/>
  <c r="J49"/>
  <c r="N49"/>
  <c r="D50"/>
  <c r="H50"/>
  <c r="L50"/>
  <c r="Q50" l="1"/>
  <c r="G11" i="23" l="1"/>
  <c r="G11" i="6"/>
  <c r="D62" i="13"/>
  <c r="P1305" i="25"/>
  <c r="O1305"/>
  <c r="N1305"/>
  <c r="M1305"/>
  <c r="L1305"/>
  <c r="K1305"/>
  <c r="J1305"/>
  <c r="I1305"/>
  <c r="H1305"/>
  <c r="G1305"/>
  <c r="F1305"/>
  <c r="E1305"/>
  <c r="D1305"/>
  <c r="P1304"/>
  <c r="O1304"/>
  <c r="N1304"/>
  <c r="M1304"/>
  <c r="L1304"/>
  <c r="K1304"/>
  <c r="J1304"/>
  <c r="I1304"/>
  <c r="H1304"/>
  <c r="G1304"/>
  <c r="F1304"/>
  <c r="E1304"/>
  <c r="D1304"/>
  <c r="Q1303"/>
  <c r="Q1302"/>
  <c r="Q1301"/>
  <c r="Q1300"/>
  <c r="Q1299"/>
  <c r="Q1298"/>
  <c r="Q1297"/>
  <c r="Q1296"/>
  <c r="Q1295"/>
  <c r="Q1294"/>
  <c r="Q1293"/>
  <c r="Q1292"/>
  <c r="Q1291"/>
  <c r="Q1290"/>
  <c r="Q1289"/>
  <c r="Q1288"/>
  <c r="Q1287"/>
  <c r="P1286"/>
  <c r="O1286"/>
  <c r="N1286"/>
  <c r="M1286"/>
  <c r="L1286"/>
  <c r="K1286"/>
  <c r="J1286"/>
  <c r="I1286"/>
  <c r="H1286"/>
  <c r="G1286"/>
  <c r="F1286"/>
  <c r="E1286"/>
  <c r="D1286"/>
  <c r="P1285"/>
  <c r="O1285"/>
  <c r="N1285"/>
  <c r="M1285"/>
  <c r="L1285"/>
  <c r="K1285"/>
  <c r="J1285"/>
  <c r="I1285"/>
  <c r="H1285"/>
  <c r="G1285"/>
  <c r="F1285"/>
  <c r="E1285"/>
  <c r="D1285"/>
  <c r="Q1284"/>
  <c r="Q1283"/>
  <c r="Q1282"/>
  <c r="Q1281"/>
  <c r="Q1280"/>
  <c r="Q1279"/>
  <c r="Q1278"/>
  <c r="Q1277"/>
  <c r="Q1276"/>
  <c r="Q1275"/>
  <c r="Q1274"/>
  <c r="Q1273"/>
  <c r="Q1272"/>
  <c r="Q1271"/>
  <c r="Q1270"/>
  <c r="Q1269"/>
  <c r="Q1268"/>
  <c r="P1267"/>
  <c r="O1267"/>
  <c r="N1267"/>
  <c r="M1267"/>
  <c r="L1267"/>
  <c r="K1267"/>
  <c r="J1267"/>
  <c r="I1267"/>
  <c r="H1267"/>
  <c r="G1267"/>
  <c r="F1267"/>
  <c r="E1267"/>
  <c r="D1267"/>
  <c r="P1266"/>
  <c r="O1266"/>
  <c r="N1266"/>
  <c r="M1266"/>
  <c r="L1266"/>
  <c r="K1266"/>
  <c r="J1266"/>
  <c r="I1266"/>
  <c r="H1266"/>
  <c r="G1266"/>
  <c r="F1266"/>
  <c r="E1266"/>
  <c r="D1266"/>
  <c r="Q1265"/>
  <c r="Q1264"/>
  <c r="Q1263"/>
  <c r="Q1262"/>
  <c r="Q1261"/>
  <c r="Q1260"/>
  <c r="Q1259"/>
  <c r="Q1258"/>
  <c r="Q1257"/>
  <c r="Q1256"/>
  <c r="Q1255"/>
  <c r="Q1254"/>
  <c r="Q1253"/>
  <c r="Q1252"/>
  <c r="Q1251"/>
  <c r="Q1250"/>
  <c r="Q1249"/>
  <c r="P1248"/>
  <c r="O1248"/>
  <c r="N1248"/>
  <c r="M1248"/>
  <c r="L1248"/>
  <c r="K1248"/>
  <c r="J1248"/>
  <c r="I1248"/>
  <c r="H1248"/>
  <c r="G1248"/>
  <c r="F1248"/>
  <c r="E1248"/>
  <c r="D1248"/>
  <c r="P1247"/>
  <c r="O1247"/>
  <c r="N1247"/>
  <c r="M1247"/>
  <c r="L1247"/>
  <c r="K1247"/>
  <c r="J1247"/>
  <c r="I1247"/>
  <c r="H1247"/>
  <c r="G1247"/>
  <c r="F1247"/>
  <c r="E1247"/>
  <c r="D1247"/>
  <c r="Q1246"/>
  <c r="Q1245"/>
  <c r="Q1244"/>
  <c r="Q1243"/>
  <c r="Q1242"/>
  <c r="Q1241"/>
  <c r="Q1240"/>
  <c r="Q1239"/>
  <c r="Q1238"/>
  <c r="Q1237"/>
  <c r="Q1236"/>
  <c r="Q1235"/>
  <c r="Q1234"/>
  <c r="Q1233"/>
  <c r="Q1232"/>
  <c r="Q1231"/>
  <c r="Q1230"/>
  <c r="P1229"/>
  <c r="O1229"/>
  <c r="N1229"/>
  <c r="M1229"/>
  <c r="L1229"/>
  <c r="K1229"/>
  <c r="J1229"/>
  <c r="I1229"/>
  <c r="H1229"/>
  <c r="G1229"/>
  <c r="F1229"/>
  <c r="E1229"/>
  <c r="D1229"/>
  <c r="P1228"/>
  <c r="O1228"/>
  <c r="N1228"/>
  <c r="M1228"/>
  <c r="L1228"/>
  <c r="K1228"/>
  <c r="J1228"/>
  <c r="I1228"/>
  <c r="H1228"/>
  <c r="G1228"/>
  <c r="F1228"/>
  <c r="E1228"/>
  <c r="D1228"/>
  <c r="Q1227"/>
  <c r="Q1226"/>
  <c r="Q1225"/>
  <c r="Q1224"/>
  <c r="Q1223"/>
  <c r="Q1222"/>
  <c r="Q1221"/>
  <c r="Q1220"/>
  <c r="Q1219"/>
  <c r="Q1218"/>
  <c r="Q1217"/>
  <c r="Q1216"/>
  <c r="Q1215"/>
  <c r="Q1214"/>
  <c r="Q1213"/>
  <c r="Q1212"/>
  <c r="Q1211"/>
  <c r="P1210"/>
  <c r="O1210"/>
  <c r="N1210"/>
  <c r="M1210"/>
  <c r="L1210"/>
  <c r="K1210"/>
  <c r="J1210"/>
  <c r="I1210"/>
  <c r="H1210"/>
  <c r="G1210"/>
  <c r="F1210"/>
  <c r="E1210"/>
  <c r="D1210"/>
  <c r="P1209"/>
  <c r="O1209"/>
  <c r="N1209"/>
  <c r="M1209"/>
  <c r="L1209"/>
  <c r="K1209"/>
  <c r="J1209"/>
  <c r="I1209"/>
  <c r="H1209"/>
  <c r="G1209"/>
  <c r="F1209"/>
  <c r="E1209"/>
  <c r="D1209"/>
  <c r="Q1208"/>
  <c r="Q1207"/>
  <c r="Q1206"/>
  <c r="Q1205"/>
  <c r="Q1204"/>
  <c r="Q1203"/>
  <c r="Q1202"/>
  <c r="Q1201"/>
  <c r="Q1200"/>
  <c r="Q1199"/>
  <c r="Q1198"/>
  <c r="Q1197"/>
  <c r="Q1196"/>
  <c r="Q1195"/>
  <c r="Q1194"/>
  <c r="Q1193"/>
  <c r="Q1192"/>
  <c r="P1191"/>
  <c r="O1191"/>
  <c r="N1191"/>
  <c r="M1191"/>
  <c r="L1191"/>
  <c r="K1191"/>
  <c r="J1191"/>
  <c r="I1191"/>
  <c r="H1191"/>
  <c r="G1191"/>
  <c r="F1191"/>
  <c r="E1191"/>
  <c r="D1191"/>
  <c r="P1190"/>
  <c r="O1190"/>
  <c r="N1190"/>
  <c r="M1190"/>
  <c r="L1190"/>
  <c r="K1190"/>
  <c r="J1190"/>
  <c r="I1190"/>
  <c r="H1190"/>
  <c r="G1190"/>
  <c r="F1190"/>
  <c r="E1190"/>
  <c r="D1190"/>
  <c r="Q1189"/>
  <c r="Q1188"/>
  <c r="Q1187"/>
  <c r="Q1186"/>
  <c r="Q1185"/>
  <c r="Q1184"/>
  <c r="Q1183"/>
  <c r="Q1182"/>
  <c r="Q1181"/>
  <c r="Q1180"/>
  <c r="Q1179"/>
  <c r="Q1178"/>
  <c r="Q1177"/>
  <c r="Q1176"/>
  <c r="Q1175"/>
  <c r="Q1174"/>
  <c r="Q1173"/>
  <c r="P3159"/>
  <c r="P3158"/>
  <c r="Q3157"/>
  <c r="Q3156"/>
  <c r="Q3155"/>
  <c r="Q3154"/>
  <c r="Q3153"/>
  <c r="Q3152"/>
  <c r="Q3151"/>
  <c r="Q3150"/>
  <c r="Q3149"/>
  <c r="Q3148"/>
  <c r="Q3147"/>
  <c r="Q3146"/>
  <c r="Q3145"/>
  <c r="O3144"/>
  <c r="O3159" s="1"/>
  <c r="N3144"/>
  <c r="N3159" s="1"/>
  <c r="M3144"/>
  <c r="M3158" s="1"/>
  <c r="L3144"/>
  <c r="L3158" s="1"/>
  <c r="K3144"/>
  <c r="K3159" s="1"/>
  <c r="J3144"/>
  <c r="J3159" s="1"/>
  <c r="I3144"/>
  <c r="I3158" s="1"/>
  <c r="H3144"/>
  <c r="H3158" s="1"/>
  <c r="G3144"/>
  <c r="G3159" s="1"/>
  <c r="F3144"/>
  <c r="F3159" s="1"/>
  <c r="E3144"/>
  <c r="E3158" s="1"/>
  <c r="D3144"/>
  <c r="D3158" s="1"/>
  <c r="Q3143"/>
  <c r="Q3142"/>
  <c r="O17" i="6"/>
  <c r="P3141" i="25"/>
  <c r="P3140"/>
  <c r="Q3139"/>
  <c r="Q3138"/>
  <c r="Q3137"/>
  <c r="Q3136"/>
  <c r="Q3135"/>
  <c r="Q3134"/>
  <c r="Q3133"/>
  <c r="Q3132"/>
  <c r="Q3131"/>
  <c r="Q3130"/>
  <c r="Q3129"/>
  <c r="Q3128"/>
  <c r="Q3127"/>
  <c r="O3126"/>
  <c r="O3141" s="1"/>
  <c r="N3126"/>
  <c r="N3141" s="1"/>
  <c r="M3126"/>
  <c r="M3140" s="1"/>
  <c r="L3126"/>
  <c r="L3140" s="1"/>
  <c r="K3126"/>
  <c r="K3141" s="1"/>
  <c r="J3126"/>
  <c r="J3141" s="1"/>
  <c r="I3126"/>
  <c r="I3140" s="1"/>
  <c r="H3126"/>
  <c r="H3140" s="1"/>
  <c r="G3126"/>
  <c r="G3141" s="1"/>
  <c r="F3126"/>
  <c r="F3141" s="1"/>
  <c r="E3126"/>
  <c r="E3140" s="1"/>
  <c r="D3126"/>
  <c r="D3140" s="1"/>
  <c r="Q3125"/>
  <c r="Q3124"/>
  <c r="P3123"/>
  <c r="P3122"/>
  <c r="Q3121"/>
  <c r="Q3120"/>
  <c r="Q3119"/>
  <c r="Q3118"/>
  <c r="Q3117"/>
  <c r="Q3116"/>
  <c r="Q3115"/>
  <c r="Q3114"/>
  <c r="Q3113"/>
  <c r="Q3112"/>
  <c r="Q3111"/>
  <c r="Q3110"/>
  <c r="Q3109"/>
  <c r="O3108"/>
  <c r="O3122" s="1"/>
  <c r="N3108"/>
  <c r="N3122" s="1"/>
  <c r="M3108"/>
  <c r="M3122" s="1"/>
  <c r="L3108"/>
  <c r="L3123" s="1"/>
  <c r="K3108"/>
  <c r="K3122" s="1"/>
  <c r="J3108"/>
  <c r="J3122" s="1"/>
  <c r="I3108"/>
  <c r="I3122" s="1"/>
  <c r="H3108"/>
  <c r="H3123" s="1"/>
  <c r="G3108"/>
  <c r="G3123" s="1"/>
  <c r="F3108"/>
  <c r="F3122" s="1"/>
  <c r="E3108"/>
  <c r="E3122" s="1"/>
  <c r="D3108"/>
  <c r="D3123" s="1"/>
  <c r="Q3107"/>
  <c r="Q3106"/>
  <c r="P3105"/>
  <c r="P3104"/>
  <c r="Q3103"/>
  <c r="Q3102"/>
  <c r="Q3101"/>
  <c r="Q3100"/>
  <c r="Q3099"/>
  <c r="Q3098"/>
  <c r="Q3097"/>
  <c r="Q3096"/>
  <c r="Q3095"/>
  <c r="Q3094"/>
  <c r="Q3093"/>
  <c r="Q3092"/>
  <c r="Q3091"/>
  <c r="O3090"/>
  <c r="O3105" s="1"/>
  <c r="N3090"/>
  <c r="N3105" s="1"/>
  <c r="M3090"/>
  <c r="M3104" s="1"/>
  <c r="L3090"/>
  <c r="L3104" s="1"/>
  <c r="K3090"/>
  <c r="K3105" s="1"/>
  <c r="J3090"/>
  <c r="J3105" s="1"/>
  <c r="I3090"/>
  <c r="I3104" s="1"/>
  <c r="H3090"/>
  <c r="H3104" s="1"/>
  <c r="G3090"/>
  <c r="G3105" s="1"/>
  <c r="F3090"/>
  <c r="F3105" s="1"/>
  <c r="E3090"/>
  <c r="E3104" s="1"/>
  <c r="D3090"/>
  <c r="D3104" s="1"/>
  <c r="Q3089"/>
  <c r="Q3088"/>
  <c r="P3087"/>
  <c r="P3086"/>
  <c r="Q3085"/>
  <c r="Q3084"/>
  <c r="Q3083"/>
  <c r="Q3082"/>
  <c r="Q3081"/>
  <c r="Q3080"/>
  <c r="Q3079"/>
  <c r="Q3078"/>
  <c r="Q3077"/>
  <c r="Q3076"/>
  <c r="Q3075"/>
  <c r="Q3074"/>
  <c r="Q3073"/>
  <c r="O3072"/>
  <c r="O3087" s="1"/>
  <c r="N3072"/>
  <c r="N3087" s="1"/>
  <c r="M3072"/>
  <c r="M3087" s="1"/>
  <c r="L3072"/>
  <c r="L3086" s="1"/>
  <c r="K3072"/>
  <c r="K3087" s="1"/>
  <c r="J3072"/>
  <c r="J3087" s="1"/>
  <c r="I3072"/>
  <c r="I3087" s="1"/>
  <c r="H3072"/>
  <c r="H3086" s="1"/>
  <c r="G3072"/>
  <c r="G3087" s="1"/>
  <c r="F3072"/>
  <c r="F3087" s="1"/>
  <c r="E3072"/>
  <c r="E3087" s="1"/>
  <c r="D3072"/>
  <c r="D3086" s="1"/>
  <c r="Q3071"/>
  <c r="Q3070"/>
  <c r="P3069"/>
  <c r="P3068"/>
  <c r="Q3067"/>
  <c r="Q3066"/>
  <c r="Q3065"/>
  <c r="Q3064"/>
  <c r="Q3063"/>
  <c r="Q3062"/>
  <c r="Q3061"/>
  <c r="Q3060"/>
  <c r="Q3059"/>
  <c r="Q3058"/>
  <c r="Q3057"/>
  <c r="Q3056"/>
  <c r="Q3055"/>
  <c r="O3054"/>
  <c r="O3069" s="1"/>
  <c r="N3054"/>
  <c r="N3069" s="1"/>
  <c r="M3054"/>
  <c r="M3069" s="1"/>
  <c r="L3054"/>
  <c r="L3069" s="1"/>
  <c r="K3054"/>
  <c r="K3069" s="1"/>
  <c r="J3054"/>
  <c r="J3069" s="1"/>
  <c r="I3054"/>
  <c r="I3069" s="1"/>
  <c r="H3054"/>
  <c r="H3069" s="1"/>
  <c r="G3054"/>
  <c r="G3069" s="1"/>
  <c r="F3054"/>
  <c r="F3069" s="1"/>
  <c r="E3054"/>
  <c r="E3069" s="1"/>
  <c r="D3054"/>
  <c r="D3069" s="1"/>
  <c r="Q3053"/>
  <c r="Q3052"/>
  <c r="P3051"/>
  <c r="P3050"/>
  <c r="Q3049"/>
  <c r="Q3048"/>
  <c r="Q3047"/>
  <c r="Q3046"/>
  <c r="Q3045"/>
  <c r="Q3044"/>
  <c r="Q3043"/>
  <c r="Q3042"/>
  <c r="Q3041"/>
  <c r="Q3040"/>
  <c r="Q3039"/>
  <c r="Q3038"/>
  <c r="Q3037"/>
  <c r="O3036"/>
  <c r="O3051" s="1"/>
  <c r="N3036"/>
  <c r="N3051" s="1"/>
  <c r="M3036"/>
  <c r="M3050" s="1"/>
  <c r="L3036"/>
  <c r="L3050" s="1"/>
  <c r="K3036"/>
  <c r="K3051" s="1"/>
  <c r="J3036"/>
  <c r="J3051" s="1"/>
  <c r="I3036"/>
  <c r="I3050" s="1"/>
  <c r="H3036"/>
  <c r="H3050" s="1"/>
  <c r="G3036"/>
  <c r="G3051" s="1"/>
  <c r="F3036"/>
  <c r="F3051" s="1"/>
  <c r="E3036"/>
  <c r="E3050" s="1"/>
  <c r="D3036"/>
  <c r="D3050" s="1"/>
  <c r="Q3035"/>
  <c r="Q3034"/>
  <c r="P3033"/>
  <c r="P3032"/>
  <c r="Q3031"/>
  <c r="Q3030"/>
  <c r="Q3029"/>
  <c r="Q3028"/>
  <c r="Q3027"/>
  <c r="Q3026"/>
  <c r="Q3025"/>
  <c r="Q3024"/>
  <c r="Q3023"/>
  <c r="Q3022"/>
  <c r="Q3021"/>
  <c r="Q3020"/>
  <c r="Q3019"/>
  <c r="O3018"/>
  <c r="O3033" s="1"/>
  <c r="N3018"/>
  <c r="N3033" s="1"/>
  <c r="M3018"/>
  <c r="M3032" s="1"/>
  <c r="L3018"/>
  <c r="L3032" s="1"/>
  <c r="K3018"/>
  <c r="K3033" s="1"/>
  <c r="J3018"/>
  <c r="J3033" s="1"/>
  <c r="I3018"/>
  <c r="I3032" s="1"/>
  <c r="H3018"/>
  <c r="H3032" s="1"/>
  <c r="G3018"/>
  <c r="G3033" s="1"/>
  <c r="F3018"/>
  <c r="F3033" s="1"/>
  <c r="E3018"/>
  <c r="E3032" s="1"/>
  <c r="D3018"/>
  <c r="D3032" s="1"/>
  <c r="Q3017"/>
  <c r="Q3016"/>
  <c r="P3015"/>
  <c r="P3014"/>
  <c r="Q3013"/>
  <c r="Q3012"/>
  <c r="Q3011"/>
  <c r="Q3010"/>
  <c r="Q3009"/>
  <c r="Q3008"/>
  <c r="Q3007"/>
  <c r="Q3006"/>
  <c r="Q3005"/>
  <c r="Q3004"/>
  <c r="Q3003"/>
  <c r="Q3002"/>
  <c r="Q3001"/>
  <c r="O3000"/>
  <c r="O3015" s="1"/>
  <c r="N3000"/>
  <c r="N3015" s="1"/>
  <c r="M3000"/>
  <c r="M3015" s="1"/>
  <c r="L3000"/>
  <c r="L3015" s="1"/>
  <c r="K3000"/>
  <c r="K3015" s="1"/>
  <c r="J3000"/>
  <c r="J3015" s="1"/>
  <c r="I3000"/>
  <c r="I3015" s="1"/>
  <c r="H3000"/>
  <c r="H3015" s="1"/>
  <c r="G3000"/>
  <c r="G3015" s="1"/>
  <c r="F3000"/>
  <c r="F3015" s="1"/>
  <c r="E3000"/>
  <c r="E3015" s="1"/>
  <c r="D3000"/>
  <c r="D3015" s="1"/>
  <c r="Q2999"/>
  <c r="Q2998"/>
  <c r="P2997"/>
  <c r="P2996"/>
  <c r="Q2995"/>
  <c r="Q2994"/>
  <c r="Q2993"/>
  <c r="Q2992"/>
  <c r="Q2991"/>
  <c r="Q2990"/>
  <c r="Q2989"/>
  <c r="Q2988"/>
  <c r="Q2987"/>
  <c r="Q2986"/>
  <c r="Q2985"/>
  <c r="Q2984"/>
  <c r="Q2983"/>
  <c r="O2982"/>
  <c r="O2997" s="1"/>
  <c r="N2982"/>
  <c r="N2997" s="1"/>
  <c r="M2982"/>
  <c r="M2996" s="1"/>
  <c r="L2982"/>
  <c r="L2996" s="1"/>
  <c r="K2982"/>
  <c r="K2997" s="1"/>
  <c r="J2982"/>
  <c r="J2997" s="1"/>
  <c r="I2982"/>
  <c r="I2996" s="1"/>
  <c r="H2982"/>
  <c r="H2996" s="1"/>
  <c r="G2982"/>
  <c r="G2997" s="1"/>
  <c r="F2982"/>
  <c r="F2997" s="1"/>
  <c r="E2982"/>
  <c r="E2996" s="1"/>
  <c r="D2982"/>
  <c r="D2996" s="1"/>
  <c r="Q2981"/>
  <c r="Q2980"/>
  <c r="P2979"/>
  <c r="P2978"/>
  <c r="Q2977"/>
  <c r="Q2976"/>
  <c r="Q2975"/>
  <c r="Q2974"/>
  <c r="Q2973"/>
  <c r="Q2972"/>
  <c r="Q2971"/>
  <c r="Q2970"/>
  <c r="Q2969"/>
  <c r="Q2968"/>
  <c r="Q2967"/>
  <c r="Q2966"/>
  <c r="Q2965"/>
  <c r="O2964"/>
  <c r="O2979" s="1"/>
  <c r="N2964"/>
  <c r="N2979" s="1"/>
  <c r="M2964"/>
  <c r="M2978" s="1"/>
  <c r="L2964"/>
  <c r="L2978" s="1"/>
  <c r="K2964"/>
  <c r="K2979" s="1"/>
  <c r="J2964"/>
  <c r="J2979" s="1"/>
  <c r="I2964"/>
  <c r="I2978" s="1"/>
  <c r="H2964"/>
  <c r="H2978" s="1"/>
  <c r="G2964"/>
  <c r="G2979" s="1"/>
  <c r="F2964"/>
  <c r="F2979" s="1"/>
  <c r="E2964"/>
  <c r="E2978" s="1"/>
  <c r="D2964"/>
  <c r="D2978" s="1"/>
  <c r="Q2963"/>
  <c r="Q2962"/>
  <c r="P2961"/>
  <c r="P2960"/>
  <c r="Q2959"/>
  <c r="Q2958"/>
  <c r="Q2957"/>
  <c r="Q2956"/>
  <c r="Q2955"/>
  <c r="Q2954"/>
  <c r="Q2953"/>
  <c r="Q2952"/>
  <c r="Q2951"/>
  <c r="Q2950"/>
  <c r="Q2949"/>
  <c r="Q2948"/>
  <c r="Q2947"/>
  <c r="O2946"/>
  <c r="O2961" s="1"/>
  <c r="N2946"/>
  <c r="N2961" s="1"/>
  <c r="M2946"/>
  <c r="M2960" s="1"/>
  <c r="L2946"/>
  <c r="L2961" s="1"/>
  <c r="K2946"/>
  <c r="K2961" s="1"/>
  <c r="J2946"/>
  <c r="J2961" s="1"/>
  <c r="I2946"/>
  <c r="I2960" s="1"/>
  <c r="H2946"/>
  <c r="H2961" s="1"/>
  <c r="G2946"/>
  <c r="G2961" s="1"/>
  <c r="F2946"/>
  <c r="F2961" s="1"/>
  <c r="E2946"/>
  <c r="E2960" s="1"/>
  <c r="D2946"/>
  <c r="D2961" s="1"/>
  <c r="Q2945"/>
  <c r="Q2944"/>
  <c r="P2943"/>
  <c r="P2942"/>
  <c r="Q2941"/>
  <c r="Q2940"/>
  <c r="Q2939"/>
  <c r="Q2938"/>
  <c r="Q2937"/>
  <c r="Q2936"/>
  <c r="Q2935"/>
  <c r="Q2934"/>
  <c r="Q2933"/>
  <c r="Q2932"/>
  <c r="Q2931"/>
  <c r="Q2930"/>
  <c r="Q2929"/>
  <c r="O2928"/>
  <c r="O2943" s="1"/>
  <c r="N2928"/>
  <c r="N2943" s="1"/>
  <c r="M2928"/>
  <c r="M2942" s="1"/>
  <c r="L2928"/>
  <c r="L2942" s="1"/>
  <c r="K2928"/>
  <c r="K2943" s="1"/>
  <c r="J2928"/>
  <c r="J2943" s="1"/>
  <c r="I2928"/>
  <c r="I2942" s="1"/>
  <c r="H2928"/>
  <c r="H2942" s="1"/>
  <c r="G2928"/>
  <c r="G2943" s="1"/>
  <c r="F2928"/>
  <c r="F2943" s="1"/>
  <c r="E2928"/>
  <c r="E2942" s="1"/>
  <c r="D2928"/>
  <c r="D2942" s="1"/>
  <c r="Q2927"/>
  <c r="Q2926"/>
  <c r="P2925"/>
  <c r="P2924"/>
  <c r="Q2923"/>
  <c r="Q2922"/>
  <c r="Q2921"/>
  <c r="Q2920"/>
  <c r="Q2919"/>
  <c r="Q2918"/>
  <c r="Q2917"/>
  <c r="Q2916"/>
  <c r="Q2915"/>
  <c r="Q2914"/>
  <c r="Q2913"/>
  <c r="Q2912"/>
  <c r="Q2911"/>
  <c r="O2910"/>
  <c r="O2925" s="1"/>
  <c r="N2910"/>
  <c r="N2925" s="1"/>
  <c r="M2910"/>
  <c r="M2924" s="1"/>
  <c r="L2910"/>
  <c r="L2924" s="1"/>
  <c r="K2910"/>
  <c r="K2925" s="1"/>
  <c r="J2910"/>
  <c r="J2925" s="1"/>
  <c r="I2910"/>
  <c r="I2924" s="1"/>
  <c r="H2910"/>
  <c r="H2924" s="1"/>
  <c r="G2910"/>
  <c r="G2925" s="1"/>
  <c r="F2910"/>
  <c r="F2925" s="1"/>
  <c r="E2910"/>
  <c r="E2924" s="1"/>
  <c r="D2910"/>
  <c r="D2924" s="1"/>
  <c r="Q2909"/>
  <c r="Q2908"/>
  <c r="P2907"/>
  <c r="P2906"/>
  <c r="Q2905"/>
  <c r="Q2904"/>
  <c r="Q2903"/>
  <c r="Q2902"/>
  <c r="Q2901"/>
  <c r="Q2900"/>
  <c r="Q2899"/>
  <c r="Q2898"/>
  <c r="Q2897"/>
  <c r="Q2896"/>
  <c r="Q2895"/>
  <c r="Q2894"/>
  <c r="Q2893"/>
  <c r="O2892"/>
  <c r="O2907" s="1"/>
  <c r="N2892"/>
  <c r="N2907" s="1"/>
  <c r="M2892"/>
  <c r="M2906" s="1"/>
  <c r="L2892"/>
  <c r="L2906" s="1"/>
  <c r="K2892"/>
  <c r="K2907" s="1"/>
  <c r="J2892"/>
  <c r="J2907" s="1"/>
  <c r="I2892"/>
  <c r="I2906" s="1"/>
  <c r="H2892"/>
  <c r="H2906" s="1"/>
  <c r="G2892"/>
  <c r="G2907" s="1"/>
  <c r="F2892"/>
  <c r="F2907" s="1"/>
  <c r="E2892"/>
  <c r="E2906" s="1"/>
  <c r="D2892"/>
  <c r="D2906" s="1"/>
  <c r="Q2891"/>
  <c r="Q2890"/>
  <c r="P2889"/>
  <c r="P2888"/>
  <c r="Q2887"/>
  <c r="Q2886"/>
  <c r="Q2885"/>
  <c r="Q2884"/>
  <c r="Q2883"/>
  <c r="Q2882"/>
  <c r="Q2881"/>
  <c r="Q2880"/>
  <c r="Q2879"/>
  <c r="Q2878"/>
  <c r="Q2877"/>
  <c r="Q2876"/>
  <c r="Q2875"/>
  <c r="O2874"/>
  <c r="O2889" s="1"/>
  <c r="N2874"/>
  <c r="N2889" s="1"/>
  <c r="M2874"/>
  <c r="M2888" s="1"/>
  <c r="L2874"/>
  <c r="L2888" s="1"/>
  <c r="K2874"/>
  <c r="K2889" s="1"/>
  <c r="J2874"/>
  <c r="J2889" s="1"/>
  <c r="I2874"/>
  <c r="I2888" s="1"/>
  <c r="H2874"/>
  <c r="H2888" s="1"/>
  <c r="G2874"/>
  <c r="G2889" s="1"/>
  <c r="F2874"/>
  <c r="F2889" s="1"/>
  <c r="E2874"/>
  <c r="E2888" s="1"/>
  <c r="D2874"/>
  <c r="D2888" s="1"/>
  <c r="Q2873"/>
  <c r="Q2872"/>
  <c r="P2871"/>
  <c r="P2870"/>
  <c r="Q2869"/>
  <c r="Q2868"/>
  <c r="Q2867"/>
  <c r="Q2866"/>
  <c r="Q2865"/>
  <c r="Q2864"/>
  <c r="Q2863"/>
  <c r="Q2862"/>
  <c r="Q2861"/>
  <c r="Q2860"/>
  <c r="Q2859"/>
  <c r="Q2858"/>
  <c r="Q2857"/>
  <c r="O2856"/>
  <c r="O2871" s="1"/>
  <c r="N2856"/>
  <c r="N2871" s="1"/>
  <c r="M2856"/>
  <c r="M2870" s="1"/>
  <c r="L2856"/>
  <c r="L2870" s="1"/>
  <c r="K2856"/>
  <c r="K2871" s="1"/>
  <c r="J2856"/>
  <c r="J2871" s="1"/>
  <c r="I2856"/>
  <c r="I2870" s="1"/>
  <c r="H2856"/>
  <c r="H2870" s="1"/>
  <c r="G2856"/>
  <c r="G2871" s="1"/>
  <c r="F2856"/>
  <c r="F2871" s="1"/>
  <c r="E2856"/>
  <c r="E2870" s="1"/>
  <c r="D2856"/>
  <c r="D2870" s="1"/>
  <c r="Q2855"/>
  <c r="Q2854"/>
  <c r="P2853"/>
  <c r="P2852"/>
  <c r="Q2851"/>
  <c r="Q2850"/>
  <c r="Q2849"/>
  <c r="Q2848"/>
  <c r="Q2847"/>
  <c r="Q2846"/>
  <c r="Q2845"/>
  <c r="Q2844"/>
  <c r="Q2843"/>
  <c r="Q2842"/>
  <c r="Q2841"/>
  <c r="Q2840"/>
  <c r="Q2839"/>
  <c r="O2838"/>
  <c r="O2853" s="1"/>
  <c r="N2838"/>
  <c r="N2853" s="1"/>
  <c r="M2838"/>
  <c r="M2852" s="1"/>
  <c r="L2838"/>
  <c r="L2852" s="1"/>
  <c r="K2838"/>
  <c r="K2853" s="1"/>
  <c r="J2838"/>
  <c r="J2853" s="1"/>
  <c r="I2838"/>
  <c r="I2852" s="1"/>
  <c r="H2838"/>
  <c r="H2852" s="1"/>
  <c r="G2838"/>
  <c r="G2853" s="1"/>
  <c r="F2838"/>
  <c r="F2853" s="1"/>
  <c r="E2838"/>
  <c r="E2852" s="1"/>
  <c r="D2838"/>
  <c r="D2852" s="1"/>
  <c r="Q2837"/>
  <c r="Q2836"/>
  <c r="P2835"/>
  <c r="P2834"/>
  <c r="Q2833"/>
  <c r="Q2832"/>
  <c r="Q2831"/>
  <c r="Q2830"/>
  <c r="Q2829"/>
  <c r="Q2828"/>
  <c r="Q2827"/>
  <c r="Q2826"/>
  <c r="Q2825"/>
  <c r="Q2824"/>
  <c r="Q2823"/>
  <c r="Q2822"/>
  <c r="Q2821"/>
  <c r="O2820"/>
  <c r="O2835" s="1"/>
  <c r="N2820"/>
  <c r="N2835" s="1"/>
  <c r="M2820"/>
  <c r="M2834" s="1"/>
  <c r="L2820"/>
  <c r="L2834" s="1"/>
  <c r="K2820"/>
  <c r="K2835" s="1"/>
  <c r="J2820"/>
  <c r="J2835" s="1"/>
  <c r="I2820"/>
  <c r="I2834" s="1"/>
  <c r="H2820"/>
  <c r="H2834" s="1"/>
  <c r="G2820"/>
  <c r="G2835" s="1"/>
  <c r="F2820"/>
  <c r="F2835" s="1"/>
  <c r="E2820"/>
  <c r="E2834" s="1"/>
  <c r="D2820"/>
  <c r="D2834" s="1"/>
  <c r="Q2819"/>
  <c r="Q2818"/>
  <c r="P2817"/>
  <c r="P2816"/>
  <c r="Q2815"/>
  <c r="Q2814"/>
  <c r="Q2813"/>
  <c r="Q2812"/>
  <c r="Q2811"/>
  <c r="Q2810"/>
  <c r="Q2809"/>
  <c r="Q2808"/>
  <c r="Q2807"/>
  <c r="Q2806"/>
  <c r="Q2805"/>
  <c r="Q2804"/>
  <c r="Q2803"/>
  <c r="O2802"/>
  <c r="O2817" s="1"/>
  <c r="N2802"/>
  <c r="N2817" s="1"/>
  <c r="M2802"/>
  <c r="M2816" s="1"/>
  <c r="L2802"/>
  <c r="L2816" s="1"/>
  <c r="K2802"/>
  <c r="K2817" s="1"/>
  <c r="J2802"/>
  <c r="J2817" s="1"/>
  <c r="I2802"/>
  <c r="I2816" s="1"/>
  <c r="H2802"/>
  <c r="H2816" s="1"/>
  <c r="G2802"/>
  <c r="G2817" s="1"/>
  <c r="F2802"/>
  <c r="F2817" s="1"/>
  <c r="E2802"/>
  <c r="E2816" s="1"/>
  <c r="D2802"/>
  <c r="D2816" s="1"/>
  <c r="Q2801"/>
  <c r="Q2800"/>
  <c r="P2799"/>
  <c r="P2798"/>
  <c r="Q2797"/>
  <c r="Q2796"/>
  <c r="Q2795"/>
  <c r="Q2794"/>
  <c r="Q2793"/>
  <c r="Q2792"/>
  <c r="Q2791"/>
  <c r="Q2790"/>
  <c r="Q2789"/>
  <c r="Q2788"/>
  <c r="Q2787"/>
  <c r="Q2786"/>
  <c r="Q2785"/>
  <c r="O2784"/>
  <c r="O2799" s="1"/>
  <c r="N2784"/>
  <c r="N2799" s="1"/>
  <c r="M2784"/>
  <c r="M2798" s="1"/>
  <c r="L2784"/>
  <c r="L2799" s="1"/>
  <c r="K2784"/>
  <c r="K2799" s="1"/>
  <c r="J2784"/>
  <c r="J2799" s="1"/>
  <c r="I2784"/>
  <c r="I2798" s="1"/>
  <c r="H2784"/>
  <c r="H2799" s="1"/>
  <c r="G2784"/>
  <c r="G2799" s="1"/>
  <c r="F2784"/>
  <c r="F2799" s="1"/>
  <c r="E2784"/>
  <c r="E2798" s="1"/>
  <c r="D2784"/>
  <c r="D2799" s="1"/>
  <c r="Q2783"/>
  <c r="Q2782"/>
  <c r="P2781"/>
  <c r="P2780"/>
  <c r="Q2779"/>
  <c r="Q2778"/>
  <c r="Q2777"/>
  <c r="Q2776"/>
  <c r="Q2775"/>
  <c r="Q2774"/>
  <c r="Q2773"/>
  <c r="Q2772"/>
  <c r="Q2771"/>
  <c r="Q2770"/>
  <c r="Q2769"/>
  <c r="Q2768"/>
  <c r="Q2767"/>
  <c r="O2766"/>
  <c r="O2781" s="1"/>
  <c r="N2766"/>
  <c r="N2781" s="1"/>
  <c r="M2766"/>
  <c r="M2780" s="1"/>
  <c r="L2766"/>
  <c r="L2780" s="1"/>
  <c r="K2766"/>
  <c r="K2781" s="1"/>
  <c r="J2766"/>
  <c r="J2781" s="1"/>
  <c r="I2766"/>
  <c r="I2780" s="1"/>
  <c r="H2766"/>
  <c r="H2780" s="1"/>
  <c r="G2766"/>
  <c r="G2781" s="1"/>
  <c r="F2766"/>
  <c r="F2781" s="1"/>
  <c r="E2766"/>
  <c r="E2780" s="1"/>
  <c r="D2766"/>
  <c r="D2780" s="1"/>
  <c r="Q2765"/>
  <c r="Q2764"/>
  <c r="P2763"/>
  <c r="P2762"/>
  <c r="Q2761"/>
  <c r="Q2760"/>
  <c r="Q2759"/>
  <c r="Q2758"/>
  <c r="Q2757"/>
  <c r="Q2756"/>
  <c r="Q2755"/>
  <c r="Q2754"/>
  <c r="Q2753"/>
  <c r="Q2752"/>
  <c r="Q2751"/>
  <c r="Q2750"/>
  <c r="Q2749"/>
  <c r="O2748"/>
  <c r="O2763" s="1"/>
  <c r="N2748"/>
  <c r="N2763" s="1"/>
  <c r="M2748"/>
  <c r="M2762" s="1"/>
  <c r="L2748"/>
  <c r="L2762" s="1"/>
  <c r="K2748"/>
  <c r="K2763" s="1"/>
  <c r="J2748"/>
  <c r="J2763" s="1"/>
  <c r="I2748"/>
  <c r="I2762" s="1"/>
  <c r="H2748"/>
  <c r="H2762" s="1"/>
  <c r="G2748"/>
  <c r="G2763" s="1"/>
  <c r="F2748"/>
  <c r="F2763" s="1"/>
  <c r="E2748"/>
  <c r="E2762" s="1"/>
  <c r="D2748"/>
  <c r="D2762" s="1"/>
  <c r="Q2747"/>
  <c r="Q2746"/>
  <c r="P2745"/>
  <c r="P2744"/>
  <c r="Q2743"/>
  <c r="Q2742"/>
  <c r="Q2741"/>
  <c r="Q2740"/>
  <c r="Q2739"/>
  <c r="Q2738"/>
  <c r="Q2737"/>
  <c r="Q2736"/>
  <c r="Q2735"/>
  <c r="Q2734"/>
  <c r="Q2733"/>
  <c r="Q2732"/>
  <c r="Q2731"/>
  <c r="O2730"/>
  <c r="O2745" s="1"/>
  <c r="N2730"/>
  <c r="N2745" s="1"/>
  <c r="M2730"/>
  <c r="M2744" s="1"/>
  <c r="L2730"/>
  <c r="L2744" s="1"/>
  <c r="K2730"/>
  <c r="K2745" s="1"/>
  <c r="J2730"/>
  <c r="J2745" s="1"/>
  <c r="I2730"/>
  <c r="I2744" s="1"/>
  <c r="H2730"/>
  <c r="H2744" s="1"/>
  <c r="G2730"/>
  <c r="G2745" s="1"/>
  <c r="F2730"/>
  <c r="F2745" s="1"/>
  <c r="E2730"/>
  <c r="E2744" s="1"/>
  <c r="D2730"/>
  <c r="D2744" s="1"/>
  <c r="Q2729"/>
  <c r="Q2728"/>
  <c r="P2727"/>
  <c r="P2726"/>
  <c r="Q2725"/>
  <c r="Q2724"/>
  <c r="Q2723"/>
  <c r="Q2722"/>
  <c r="Q2721"/>
  <c r="Q2720"/>
  <c r="Q2719"/>
  <c r="Q2718"/>
  <c r="Q2717"/>
  <c r="Q2716"/>
  <c r="Q2715"/>
  <c r="Q2714"/>
  <c r="Q2713"/>
  <c r="O2712"/>
  <c r="O2727" s="1"/>
  <c r="N2712"/>
  <c r="N2727" s="1"/>
  <c r="M2712"/>
  <c r="M2727" s="1"/>
  <c r="L2712"/>
  <c r="L2727" s="1"/>
  <c r="K2712"/>
  <c r="K2727" s="1"/>
  <c r="J2712"/>
  <c r="J2727" s="1"/>
  <c r="I2712"/>
  <c r="I2727" s="1"/>
  <c r="H2712"/>
  <c r="H2727" s="1"/>
  <c r="G2712"/>
  <c r="G2727" s="1"/>
  <c r="F2712"/>
  <c r="F2727" s="1"/>
  <c r="E2712"/>
  <c r="E2727" s="1"/>
  <c r="D2712"/>
  <c r="D2727" s="1"/>
  <c r="Q2711"/>
  <c r="Q2710"/>
  <c r="P2709"/>
  <c r="P2708"/>
  <c r="Q2707"/>
  <c r="Q2706"/>
  <c r="Q2705"/>
  <c r="Q2704"/>
  <c r="Q2703"/>
  <c r="Q2702"/>
  <c r="Q2701"/>
  <c r="Q2700"/>
  <c r="Q2699"/>
  <c r="Q2698"/>
  <c r="Q2697"/>
  <c r="Q2696"/>
  <c r="Q2695"/>
  <c r="O2694"/>
  <c r="O2709" s="1"/>
  <c r="N2694"/>
  <c r="N2709" s="1"/>
  <c r="M2694"/>
  <c r="M2708" s="1"/>
  <c r="L2694"/>
  <c r="L2708" s="1"/>
  <c r="K2694"/>
  <c r="K2709" s="1"/>
  <c r="J2694"/>
  <c r="J2709" s="1"/>
  <c r="I2694"/>
  <c r="I2708" s="1"/>
  <c r="H2694"/>
  <c r="H2708" s="1"/>
  <c r="G2694"/>
  <c r="G2709" s="1"/>
  <c r="F2694"/>
  <c r="F2709" s="1"/>
  <c r="E2694"/>
  <c r="E2708" s="1"/>
  <c r="D2694"/>
  <c r="D2708" s="1"/>
  <c r="Q2693"/>
  <c r="Q2692"/>
  <c r="P2691"/>
  <c r="P2690"/>
  <c r="Q2689"/>
  <c r="Q2688"/>
  <c r="Q2687"/>
  <c r="Q2686"/>
  <c r="Q2685"/>
  <c r="Q2684"/>
  <c r="Q2683"/>
  <c r="Q2682"/>
  <c r="Q2681"/>
  <c r="Q2680"/>
  <c r="Q2679"/>
  <c r="Q2678"/>
  <c r="Q2677"/>
  <c r="O2676"/>
  <c r="O2691" s="1"/>
  <c r="N2676"/>
  <c r="N2691" s="1"/>
  <c r="M2676"/>
  <c r="M2690" s="1"/>
  <c r="L2676"/>
  <c r="L2690" s="1"/>
  <c r="K2676"/>
  <c r="K2691" s="1"/>
  <c r="J2676"/>
  <c r="J2691" s="1"/>
  <c r="I2676"/>
  <c r="I2690" s="1"/>
  <c r="H2676"/>
  <c r="H2690" s="1"/>
  <c r="G2676"/>
  <c r="G2691" s="1"/>
  <c r="F2676"/>
  <c r="F2691" s="1"/>
  <c r="E2676"/>
  <c r="E2690" s="1"/>
  <c r="D2676"/>
  <c r="D2690" s="1"/>
  <c r="Q2675"/>
  <c r="Q2674"/>
  <c r="P2673"/>
  <c r="P2672"/>
  <c r="Q2671"/>
  <c r="Q2670"/>
  <c r="Q2669"/>
  <c r="Q2668"/>
  <c r="Q2667"/>
  <c r="Q2666"/>
  <c r="Q2665"/>
  <c r="Q2664"/>
  <c r="Q2663"/>
  <c r="Q2662"/>
  <c r="Q2661"/>
  <c r="Q2660"/>
  <c r="Q2659"/>
  <c r="O2658"/>
  <c r="O2673" s="1"/>
  <c r="N2658"/>
  <c r="N2673" s="1"/>
  <c r="M2658"/>
  <c r="M2672" s="1"/>
  <c r="L2658"/>
  <c r="L2672" s="1"/>
  <c r="K2658"/>
  <c r="K2673" s="1"/>
  <c r="J2658"/>
  <c r="J2673" s="1"/>
  <c r="I2658"/>
  <c r="I2672" s="1"/>
  <c r="H2658"/>
  <c r="H2672" s="1"/>
  <c r="G2658"/>
  <c r="G2673" s="1"/>
  <c r="F2658"/>
  <c r="F2673" s="1"/>
  <c r="E2658"/>
  <c r="E2672" s="1"/>
  <c r="D2658"/>
  <c r="D2672" s="1"/>
  <c r="Q2657"/>
  <c r="Q2656"/>
  <c r="P2655"/>
  <c r="P2654"/>
  <c r="Q2653"/>
  <c r="Q2652"/>
  <c r="Q2651"/>
  <c r="Q2650"/>
  <c r="Q2649"/>
  <c r="Q2648"/>
  <c r="Q2647"/>
  <c r="Q2646"/>
  <c r="Q2645"/>
  <c r="Q2644"/>
  <c r="Q2643"/>
  <c r="Q2642"/>
  <c r="Q2641"/>
  <c r="O2640"/>
  <c r="O2655" s="1"/>
  <c r="N2640"/>
  <c r="N2655" s="1"/>
  <c r="M2640"/>
  <c r="M2654" s="1"/>
  <c r="L2640"/>
  <c r="L2654" s="1"/>
  <c r="K2640"/>
  <c r="K2655" s="1"/>
  <c r="J2640"/>
  <c r="J2655" s="1"/>
  <c r="I2640"/>
  <c r="I2654" s="1"/>
  <c r="H2640"/>
  <c r="H2654" s="1"/>
  <c r="G2640"/>
  <c r="G2655" s="1"/>
  <c r="F2640"/>
  <c r="F2655" s="1"/>
  <c r="E2640"/>
  <c r="E2654" s="1"/>
  <c r="D2640"/>
  <c r="D2654" s="1"/>
  <c r="Q2639"/>
  <c r="Q2638"/>
  <c r="P2637"/>
  <c r="P2636"/>
  <c r="Q2635"/>
  <c r="Q2634"/>
  <c r="Q2633"/>
  <c r="Q2632"/>
  <c r="Q2631"/>
  <c r="Q2630"/>
  <c r="Q2629"/>
  <c r="Q2628"/>
  <c r="Q2627"/>
  <c r="Q2626"/>
  <c r="Q2625"/>
  <c r="Q2624"/>
  <c r="Q2623"/>
  <c r="O2622"/>
  <c r="O2637" s="1"/>
  <c r="N2622"/>
  <c r="N2637" s="1"/>
  <c r="M2622"/>
  <c r="M2636" s="1"/>
  <c r="L2622"/>
  <c r="L2636" s="1"/>
  <c r="K2622"/>
  <c r="K2637" s="1"/>
  <c r="J2622"/>
  <c r="J2637" s="1"/>
  <c r="I2622"/>
  <c r="I2636" s="1"/>
  <c r="H2622"/>
  <c r="H2636" s="1"/>
  <c r="G2622"/>
  <c r="G2637" s="1"/>
  <c r="F2622"/>
  <c r="F2637" s="1"/>
  <c r="E2622"/>
  <c r="E2636" s="1"/>
  <c r="D2622"/>
  <c r="D2636" s="1"/>
  <c r="Q2621"/>
  <c r="Q2620"/>
  <c r="P2619"/>
  <c r="P2618"/>
  <c r="Q2617"/>
  <c r="Q2616"/>
  <c r="Q2615"/>
  <c r="Q2614"/>
  <c r="Q2613"/>
  <c r="Q2612"/>
  <c r="Q2611"/>
  <c r="Q2610"/>
  <c r="Q2609"/>
  <c r="Q2608"/>
  <c r="Q2607"/>
  <c r="Q2606"/>
  <c r="Q2605"/>
  <c r="O2604"/>
  <c r="O2619" s="1"/>
  <c r="N2604"/>
  <c r="N2619" s="1"/>
  <c r="M2604"/>
  <c r="M2618" s="1"/>
  <c r="L2604"/>
  <c r="L2618" s="1"/>
  <c r="K2604"/>
  <c r="K2619" s="1"/>
  <c r="J2604"/>
  <c r="J2619" s="1"/>
  <c r="I2604"/>
  <c r="I2618" s="1"/>
  <c r="H2604"/>
  <c r="H2618" s="1"/>
  <c r="G2604"/>
  <c r="G2619" s="1"/>
  <c r="F2604"/>
  <c r="F2619" s="1"/>
  <c r="E2604"/>
  <c r="E2618" s="1"/>
  <c r="D2604"/>
  <c r="D2618" s="1"/>
  <c r="Q2603"/>
  <c r="Q2602"/>
  <c r="P2601"/>
  <c r="P2600"/>
  <c r="Q2599"/>
  <c r="Q2598"/>
  <c r="Q2597"/>
  <c r="Q2596"/>
  <c r="Q2595"/>
  <c r="Q2594"/>
  <c r="Q2593"/>
  <c r="Q2592"/>
  <c r="Q2591"/>
  <c r="Q2590"/>
  <c r="Q2589"/>
  <c r="Q2588"/>
  <c r="Q2587"/>
  <c r="O2586"/>
  <c r="O2601" s="1"/>
  <c r="N2586"/>
  <c r="N2601" s="1"/>
  <c r="M2586"/>
  <c r="M2600" s="1"/>
  <c r="L2586"/>
  <c r="L2600" s="1"/>
  <c r="K2586"/>
  <c r="K2601" s="1"/>
  <c r="J2586"/>
  <c r="J2601" s="1"/>
  <c r="I2586"/>
  <c r="I2600" s="1"/>
  <c r="H2586"/>
  <c r="H2600" s="1"/>
  <c r="G2586"/>
  <c r="G2601" s="1"/>
  <c r="F2586"/>
  <c r="F2601" s="1"/>
  <c r="E2586"/>
  <c r="E2600" s="1"/>
  <c r="D2586"/>
  <c r="D2600" s="1"/>
  <c r="Q2585"/>
  <c r="Q2584"/>
  <c r="P2583"/>
  <c r="P2582"/>
  <c r="Q2581"/>
  <c r="Q2580"/>
  <c r="Q2579"/>
  <c r="Q2578"/>
  <c r="Q2577"/>
  <c r="Q2576"/>
  <c r="Q2575"/>
  <c r="Q2574"/>
  <c r="Q2573"/>
  <c r="Q2572"/>
  <c r="Q2571"/>
  <c r="Q2570"/>
  <c r="Q2569"/>
  <c r="O2568"/>
  <c r="O2583" s="1"/>
  <c r="N2568"/>
  <c r="N2583" s="1"/>
  <c r="M2568"/>
  <c r="M2582" s="1"/>
  <c r="L2568"/>
  <c r="L2582" s="1"/>
  <c r="K2568"/>
  <c r="K2583" s="1"/>
  <c r="J2568"/>
  <c r="J2583" s="1"/>
  <c r="I2568"/>
  <c r="I2582" s="1"/>
  <c r="H2568"/>
  <c r="H2582" s="1"/>
  <c r="G2568"/>
  <c r="G2583" s="1"/>
  <c r="F2568"/>
  <c r="F2583" s="1"/>
  <c r="E2568"/>
  <c r="E2582" s="1"/>
  <c r="D2568"/>
  <c r="D2582" s="1"/>
  <c r="Q2567"/>
  <c r="Q2566"/>
  <c r="P2565"/>
  <c r="P2564"/>
  <c r="Q2563"/>
  <c r="Q2562"/>
  <c r="Q2561"/>
  <c r="Q2560"/>
  <c r="Q2559"/>
  <c r="Q2558"/>
  <c r="Q2557"/>
  <c r="Q2556"/>
  <c r="Q2555"/>
  <c r="Q2554"/>
  <c r="Q2553"/>
  <c r="Q2552"/>
  <c r="Q2551"/>
  <c r="O2550"/>
  <c r="O2565" s="1"/>
  <c r="N2550"/>
  <c r="N2565" s="1"/>
  <c r="M2550"/>
  <c r="M2564" s="1"/>
  <c r="L2550"/>
  <c r="L2564" s="1"/>
  <c r="K2550"/>
  <c r="K2565" s="1"/>
  <c r="J2550"/>
  <c r="J2565" s="1"/>
  <c r="I2550"/>
  <c r="I2564" s="1"/>
  <c r="H2550"/>
  <c r="H2564" s="1"/>
  <c r="G2550"/>
  <c r="G2565" s="1"/>
  <c r="F2550"/>
  <c r="F2565" s="1"/>
  <c r="E2550"/>
  <c r="E2564" s="1"/>
  <c r="D2550"/>
  <c r="D2564" s="1"/>
  <c r="Q2549"/>
  <c r="Q2548"/>
  <c r="P2547"/>
  <c r="P2546"/>
  <c r="Q2545"/>
  <c r="Q2544"/>
  <c r="Q2543"/>
  <c r="Q2542"/>
  <c r="Q2541"/>
  <c r="Q2540"/>
  <c r="Q2539"/>
  <c r="Q2538"/>
  <c r="Q2537"/>
  <c r="Q2536"/>
  <c r="Q2535"/>
  <c r="Q2534"/>
  <c r="Q2533"/>
  <c r="O2532"/>
  <c r="O2547" s="1"/>
  <c r="N2532"/>
  <c r="N2547" s="1"/>
  <c r="M2532"/>
  <c r="M2546" s="1"/>
  <c r="L2532"/>
  <c r="L2546" s="1"/>
  <c r="K2532"/>
  <c r="K2547" s="1"/>
  <c r="J2532"/>
  <c r="J2547" s="1"/>
  <c r="I2532"/>
  <c r="I2546" s="1"/>
  <c r="H2532"/>
  <c r="H2546" s="1"/>
  <c r="G2532"/>
  <c r="G2547" s="1"/>
  <c r="F2532"/>
  <c r="F2547" s="1"/>
  <c r="E2532"/>
  <c r="E2546" s="1"/>
  <c r="D2532"/>
  <c r="D2546" s="1"/>
  <c r="Q2531"/>
  <c r="Q2530"/>
  <c r="P2529"/>
  <c r="P2528"/>
  <c r="Q2527"/>
  <c r="Q2526"/>
  <c r="Q2525"/>
  <c r="Q2524"/>
  <c r="Q2523"/>
  <c r="Q2522"/>
  <c r="Q2521"/>
  <c r="Q2520"/>
  <c r="Q2519"/>
  <c r="Q2518"/>
  <c r="Q2517"/>
  <c r="Q2516"/>
  <c r="Q2515"/>
  <c r="O2514"/>
  <c r="O2529" s="1"/>
  <c r="N2514"/>
  <c r="N2529" s="1"/>
  <c r="M2514"/>
  <c r="M2528" s="1"/>
  <c r="L2514"/>
  <c r="L2528" s="1"/>
  <c r="K2514"/>
  <c r="K2529" s="1"/>
  <c r="J2514"/>
  <c r="J2529" s="1"/>
  <c r="I2514"/>
  <c r="I2528" s="1"/>
  <c r="H2514"/>
  <c r="H2528" s="1"/>
  <c r="G2514"/>
  <c r="G2529" s="1"/>
  <c r="F2514"/>
  <c r="F2529" s="1"/>
  <c r="E2514"/>
  <c r="E2528" s="1"/>
  <c r="D2514"/>
  <c r="D2528" s="1"/>
  <c r="Q2513"/>
  <c r="Q2512"/>
  <c r="P2511"/>
  <c r="P2510"/>
  <c r="Q2509"/>
  <c r="Q2508"/>
  <c r="Q2507"/>
  <c r="Q2506"/>
  <c r="Q2505"/>
  <c r="Q2504"/>
  <c r="Q2503"/>
  <c r="Q2502"/>
  <c r="Q2501"/>
  <c r="Q2500"/>
  <c r="Q2499"/>
  <c r="Q2498"/>
  <c r="Q2497"/>
  <c r="O2496"/>
  <c r="O2511" s="1"/>
  <c r="N2496"/>
  <c r="N2511" s="1"/>
  <c r="M2496"/>
  <c r="M2510" s="1"/>
  <c r="L2496"/>
  <c r="L2510" s="1"/>
  <c r="K2496"/>
  <c r="K2511" s="1"/>
  <c r="J2496"/>
  <c r="J2511" s="1"/>
  <c r="I2496"/>
  <c r="I2510" s="1"/>
  <c r="H2496"/>
  <c r="H2510" s="1"/>
  <c r="G2496"/>
  <c r="G2511" s="1"/>
  <c r="F2496"/>
  <c r="F2511" s="1"/>
  <c r="E2496"/>
  <c r="E2510" s="1"/>
  <c r="D2496"/>
  <c r="D2510" s="1"/>
  <c r="Q2495"/>
  <c r="Q2494"/>
  <c r="P2493"/>
  <c r="P2492"/>
  <c r="Q2491"/>
  <c r="Q2490"/>
  <c r="Q2489"/>
  <c r="Q2488"/>
  <c r="Q2487"/>
  <c r="Q2486"/>
  <c r="Q2485"/>
  <c r="Q2484"/>
  <c r="Q2483"/>
  <c r="Q2482"/>
  <c r="Q2481"/>
  <c r="Q2480"/>
  <c r="Q2479"/>
  <c r="O2478"/>
  <c r="O2493" s="1"/>
  <c r="N2478"/>
  <c r="N2493" s="1"/>
  <c r="M2478"/>
  <c r="M2492" s="1"/>
  <c r="L2478"/>
  <c r="L2492" s="1"/>
  <c r="K2478"/>
  <c r="K2493" s="1"/>
  <c r="J2478"/>
  <c r="J2493" s="1"/>
  <c r="I2478"/>
  <c r="I2492" s="1"/>
  <c r="H2478"/>
  <c r="H2492" s="1"/>
  <c r="G2478"/>
  <c r="G2493" s="1"/>
  <c r="F2478"/>
  <c r="F2493" s="1"/>
  <c r="E2478"/>
  <c r="E2492" s="1"/>
  <c r="D2478"/>
  <c r="D2492" s="1"/>
  <c r="Q2477"/>
  <c r="Q2476"/>
  <c r="P2475"/>
  <c r="P2474"/>
  <c r="Q2473"/>
  <c r="Q2472"/>
  <c r="Q2471"/>
  <c r="Q2470"/>
  <c r="Q2469"/>
  <c r="Q2468"/>
  <c r="Q2467"/>
  <c r="Q2466"/>
  <c r="Q2465"/>
  <c r="Q2464"/>
  <c r="Q2463"/>
  <c r="Q2462"/>
  <c r="Q2461"/>
  <c r="O2460"/>
  <c r="O2475" s="1"/>
  <c r="N2460"/>
  <c r="N2475" s="1"/>
  <c r="M2460"/>
  <c r="M2474" s="1"/>
  <c r="L2460"/>
  <c r="L2474" s="1"/>
  <c r="K2460"/>
  <c r="K2475" s="1"/>
  <c r="J2460"/>
  <c r="J2475" s="1"/>
  <c r="I2460"/>
  <c r="I2474" s="1"/>
  <c r="H2460"/>
  <c r="H2474" s="1"/>
  <c r="G2460"/>
  <c r="G2475" s="1"/>
  <c r="F2460"/>
  <c r="F2475" s="1"/>
  <c r="E2460"/>
  <c r="E2474" s="1"/>
  <c r="D2460"/>
  <c r="D2474" s="1"/>
  <c r="Q2459"/>
  <c r="Q2458"/>
  <c r="P2457"/>
  <c r="P2456"/>
  <c r="Q2455"/>
  <c r="Q2454"/>
  <c r="Q2453"/>
  <c r="Q2452"/>
  <c r="Q2451"/>
  <c r="Q2450"/>
  <c r="Q2449"/>
  <c r="Q2448"/>
  <c r="Q2447"/>
  <c r="Q2446"/>
  <c r="Q2445"/>
  <c r="Q2444"/>
  <c r="Q2443"/>
  <c r="O2442"/>
  <c r="O2457" s="1"/>
  <c r="N2442"/>
  <c r="N2457" s="1"/>
  <c r="M2442"/>
  <c r="M2456" s="1"/>
  <c r="L2442"/>
  <c r="L2456" s="1"/>
  <c r="K2442"/>
  <c r="K2457" s="1"/>
  <c r="J2442"/>
  <c r="J2457" s="1"/>
  <c r="I2442"/>
  <c r="I2456" s="1"/>
  <c r="H2442"/>
  <c r="H2456" s="1"/>
  <c r="G2442"/>
  <c r="G2457" s="1"/>
  <c r="F2442"/>
  <c r="F2457" s="1"/>
  <c r="E2442"/>
  <c r="E2456" s="1"/>
  <c r="D2442"/>
  <c r="D2456" s="1"/>
  <c r="Q2441"/>
  <c r="Q2440"/>
  <c r="P2439"/>
  <c r="P2438"/>
  <c r="Q2437"/>
  <c r="Q2436"/>
  <c r="Q2435"/>
  <c r="Q2434"/>
  <c r="Q2433"/>
  <c r="Q2432"/>
  <c r="Q2431"/>
  <c r="Q2430"/>
  <c r="Q2429"/>
  <c r="Q2428"/>
  <c r="Q2427"/>
  <c r="Q2426"/>
  <c r="Q2425"/>
  <c r="O2424"/>
  <c r="O2439" s="1"/>
  <c r="N2424"/>
  <c r="N2439" s="1"/>
  <c r="M2424"/>
  <c r="M2438" s="1"/>
  <c r="L2424"/>
  <c r="L2438" s="1"/>
  <c r="K2424"/>
  <c r="K2439" s="1"/>
  <c r="J2424"/>
  <c r="J2439" s="1"/>
  <c r="I2424"/>
  <c r="I2438" s="1"/>
  <c r="H2424"/>
  <c r="H2438" s="1"/>
  <c r="G2424"/>
  <c r="G2439" s="1"/>
  <c r="F2424"/>
  <c r="F2439" s="1"/>
  <c r="E2424"/>
  <c r="E2438" s="1"/>
  <c r="D2424"/>
  <c r="D2438" s="1"/>
  <c r="Q2423"/>
  <c r="Q2422"/>
  <c r="P2421"/>
  <c r="P2420"/>
  <c r="Q2419"/>
  <c r="Q2418"/>
  <c r="Q2417"/>
  <c r="Q2416"/>
  <c r="Q2415"/>
  <c r="Q2414"/>
  <c r="Q2413"/>
  <c r="Q2412"/>
  <c r="Q2411"/>
  <c r="Q2410"/>
  <c r="Q2409"/>
  <c r="Q2408"/>
  <c r="Q2407"/>
  <c r="O2406"/>
  <c r="O2421" s="1"/>
  <c r="N2406"/>
  <c r="N2421" s="1"/>
  <c r="M2406"/>
  <c r="M2420" s="1"/>
  <c r="L2406"/>
  <c r="L2420" s="1"/>
  <c r="K2406"/>
  <c r="K2421" s="1"/>
  <c r="J2406"/>
  <c r="J2421" s="1"/>
  <c r="I2406"/>
  <c r="I2420" s="1"/>
  <c r="H2406"/>
  <c r="H2420" s="1"/>
  <c r="G2406"/>
  <c r="G2421" s="1"/>
  <c r="F2406"/>
  <c r="F2421" s="1"/>
  <c r="E2406"/>
  <c r="E2420" s="1"/>
  <c r="D2406"/>
  <c r="D2420" s="1"/>
  <c r="Q2405"/>
  <c r="Q2404"/>
  <c r="P2403"/>
  <c r="P2402"/>
  <c r="Q2401"/>
  <c r="Q2400"/>
  <c r="Q2399"/>
  <c r="Q2398"/>
  <c r="Q2397"/>
  <c r="Q2396"/>
  <c r="Q2395"/>
  <c r="Q2394"/>
  <c r="Q2393"/>
  <c r="Q2392"/>
  <c r="Q2391"/>
  <c r="Q2390"/>
  <c r="Q2389"/>
  <c r="O2388"/>
  <c r="O2403" s="1"/>
  <c r="N2388"/>
  <c r="N2403" s="1"/>
  <c r="M2388"/>
  <c r="M2402" s="1"/>
  <c r="L2388"/>
  <c r="L2402" s="1"/>
  <c r="K2388"/>
  <c r="K2403" s="1"/>
  <c r="J2388"/>
  <c r="J2403" s="1"/>
  <c r="I2388"/>
  <c r="I2402" s="1"/>
  <c r="H2388"/>
  <c r="H2402" s="1"/>
  <c r="G2388"/>
  <c r="G2403" s="1"/>
  <c r="F2388"/>
  <c r="F2403" s="1"/>
  <c r="E2388"/>
  <c r="E2402" s="1"/>
  <c r="D2388"/>
  <c r="D2402" s="1"/>
  <c r="Q2387"/>
  <c r="Q2386"/>
  <c r="P2385"/>
  <c r="P2384"/>
  <c r="Q2383"/>
  <c r="Q2382"/>
  <c r="Q2381"/>
  <c r="Q2380"/>
  <c r="Q2379"/>
  <c r="Q2378"/>
  <c r="Q2377"/>
  <c r="Q2376"/>
  <c r="Q2375"/>
  <c r="Q2374"/>
  <c r="Q2373"/>
  <c r="Q2372"/>
  <c r="Q2371"/>
  <c r="O2370"/>
  <c r="O2385" s="1"/>
  <c r="N2370"/>
  <c r="N2385" s="1"/>
  <c r="M2370"/>
  <c r="M2384" s="1"/>
  <c r="L2370"/>
  <c r="L2384" s="1"/>
  <c r="K2370"/>
  <c r="K2385" s="1"/>
  <c r="J2370"/>
  <c r="J2385" s="1"/>
  <c r="I2370"/>
  <c r="I2384" s="1"/>
  <c r="H2370"/>
  <c r="H2384" s="1"/>
  <c r="G2370"/>
  <c r="G2385" s="1"/>
  <c r="F2370"/>
  <c r="F2385" s="1"/>
  <c r="E2370"/>
  <c r="E2384" s="1"/>
  <c r="D2370"/>
  <c r="D2384" s="1"/>
  <c r="Q2369"/>
  <c r="Q2368"/>
  <c r="P2367"/>
  <c r="P2366"/>
  <c r="Q2365"/>
  <c r="Q2364"/>
  <c r="Q2363"/>
  <c r="Q2362"/>
  <c r="Q2361"/>
  <c r="Q2360"/>
  <c r="Q2359"/>
  <c r="Q2358"/>
  <c r="Q2357"/>
  <c r="Q2356"/>
  <c r="Q2355"/>
  <c r="Q2354"/>
  <c r="Q2353"/>
  <c r="O2352"/>
  <c r="O2367" s="1"/>
  <c r="N2352"/>
  <c r="N2367" s="1"/>
  <c r="M2352"/>
  <c r="M2366" s="1"/>
  <c r="L2352"/>
  <c r="L2366" s="1"/>
  <c r="K2352"/>
  <c r="K2367" s="1"/>
  <c r="J2352"/>
  <c r="J2367" s="1"/>
  <c r="I2352"/>
  <c r="I2366" s="1"/>
  <c r="H2352"/>
  <c r="H2366" s="1"/>
  <c r="G2352"/>
  <c r="G2367" s="1"/>
  <c r="F2352"/>
  <c r="F2367" s="1"/>
  <c r="E2352"/>
  <c r="E2366" s="1"/>
  <c r="D2352"/>
  <c r="D2366" s="1"/>
  <c r="Q2351"/>
  <c r="Q2350"/>
  <c r="P2349"/>
  <c r="P2348"/>
  <c r="Q2347"/>
  <c r="Q2346"/>
  <c r="Q2345"/>
  <c r="Q2344"/>
  <c r="Q2343"/>
  <c r="Q2342"/>
  <c r="Q2341"/>
  <c r="Q2340"/>
  <c r="Q2339"/>
  <c r="Q2338"/>
  <c r="Q2337"/>
  <c r="Q2336"/>
  <c r="Q2335"/>
  <c r="O2334"/>
  <c r="O2349" s="1"/>
  <c r="N2334"/>
  <c r="N2349" s="1"/>
  <c r="M2334"/>
  <c r="M2348" s="1"/>
  <c r="L2334"/>
  <c r="L2349" s="1"/>
  <c r="K2334"/>
  <c r="K2349" s="1"/>
  <c r="J2334"/>
  <c r="J2349" s="1"/>
  <c r="I2334"/>
  <c r="I2348" s="1"/>
  <c r="H2334"/>
  <c r="H2349" s="1"/>
  <c r="G2334"/>
  <c r="G2349" s="1"/>
  <c r="F2334"/>
  <c r="F2349" s="1"/>
  <c r="E2334"/>
  <c r="E2348" s="1"/>
  <c r="D2334"/>
  <c r="D2349" s="1"/>
  <c r="Q2333"/>
  <c r="Q2332"/>
  <c r="P2331"/>
  <c r="P2330"/>
  <c r="Q2329"/>
  <c r="Q2328"/>
  <c r="Q2327"/>
  <c r="Q2326"/>
  <c r="Q2325"/>
  <c r="Q2324"/>
  <c r="Q2323"/>
  <c r="Q2322"/>
  <c r="Q2321"/>
  <c r="Q2320"/>
  <c r="Q2319"/>
  <c r="Q2318"/>
  <c r="Q2317"/>
  <c r="O2316"/>
  <c r="O2331" s="1"/>
  <c r="N2316"/>
  <c r="N2331" s="1"/>
  <c r="M2316"/>
  <c r="M2330" s="1"/>
  <c r="L2316"/>
  <c r="L2330" s="1"/>
  <c r="K2316"/>
  <c r="K2331" s="1"/>
  <c r="J2316"/>
  <c r="J2331" s="1"/>
  <c r="I2316"/>
  <c r="I2330" s="1"/>
  <c r="H2316"/>
  <c r="H2330" s="1"/>
  <c r="G2316"/>
  <c r="G2331" s="1"/>
  <c r="F2316"/>
  <c r="F2331" s="1"/>
  <c r="E2316"/>
  <c r="E2330" s="1"/>
  <c r="D2316"/>
  <c r="D2330" s="1"/>
  <c r="Q2315"/>
  <c r="Q2314"/>
  <c r="P2313"/>
  <c r="P2312"/>
  <c r="Q2311"/>
  <c r="Q2310"/>
  <c r="Q2309"/>
  <c r="Q2308"/>
  <c r="Q2307"/>
  <c r="Q2306"/>
  <c r="Q2305"/>
  <c r="Q2304"/>
  <c r="Q2303"/>
  <c r="Q2302"/>
  <c r="Q2301"/>
  <c r="Q2300"/>
  <c r="Q2299"/>
  <c r="O2298"/>
  <c r="O2313" s="1"/>
  <c r="N2298"/>
  <c r="N2313" s="1"/>
  <c r="M2298"/>
  <c r="M2313" s="1"/>
  <c r="L2298"/>
  <c r="L2312" s="1"/>
  <c r="K2298"/>
  <c r="K2313" s="1"/>
  <c r="J2298"/>
  <c r="J2313" s="1"/>
  <c r="I2298"/>
  <c r="I2313" s="1"/>
  <c r="H2298"/>
  <c r="H2312" s="1"/>
  <c r="G2298"/>
  <c r="G2313" s="1"/>
  <c r="F2298"/>
  <c r="F2313" s="1"/>
  <c r="E2298"/>
  <c r="E2313" s="1"/>
  <c r="D2298"/>
  <c r="D2312" s="1"/>
  <c r="Q2297"/>
  <c r="Q2296"/>
  <c r="P2295"/>
  <c r="P2294"/>
  <c r="Q2293"/>
  <c r="Q2292"/>
  <c r="Q2291"/>
  <c r="Q2290"/>
  <c r="Q2289"/>
  <c r="Q2288"/>
  <c r="Q2287"/>
  <c r="Q2286"/>
  <c r="Q2285"/>
  <c r="Q2284"/>
  <c r="Q2283"/>
  <c r="Q2282"/>
  <c r="Q2281"/>
  <c r="O2280"/>
  <c r="O2295" s="1"/>
  <c r="N2280"/>
  <c r="N2295" s="1"/>
  <c r="M2280"/>
  <c r="M2294" s="1"/>
  <c r="L2280"/>
  <c r="L2294" s="1"/>
  <c r="K2280"/>
  <c r="K2295" s="1"/>
  <c r="J2280"/>
  <c r="J2295" s="1"/>
  <c r="I2280"/>
  <c r="I2294" s="1"/>
  <c r="H2280"/>
  <c r="H2294" s="1"/>
  <c r="G2280"/>
  <c r="G2295" s="1"/>
  <c r="F2280"/>
  <c r="F2295" s="1"/>
  <c r="E2280"/>
  <c r="E2294" s="1"/>
  <c r="D2280"/>
  <c r="D2294" s="1"/>
  <c r="Q2279"/>
  <c r="Q2278"/>
  <c r="P2277"/>
  <c r="P2276"/>
  <c r="Q2275"/>
  <c r="Q2274"/>
  <c r="Q2273"/>
  <c r="Q2272"/>
  <c r="Q2271"/>
  <c r="Q2270"/>
  <c r="Q2269"/>
  <c r="Q2268"/>
  <c r="Q2267"/>
  <c r="Q2266"/>
  <c r="Q2265"/>
  <c r="Q2264"/>
  <c r="Q2263"/>
  <c r="O2262"/>
  <c r="O2277" s="1"/>
  <c r="N2262"/>
  <c r="N2277" s="1"/>
  <c r="M2262"/>
  <c r="M2276" s="1"/>
  <c r="L2262"/>
  <c r="L2276" s="1"/>
  <c r="K2262"/>
  <c r="K2277" s="1"/>
  <c r="J2262"/>
  <c r="J2277" s="1"/>
  <c r="I2262"/>
  <c r="I2276" s="1"/>
  <c r="H2262"/>
  <c r="H2276" s="1"/>
  <c r="G2262"/>
  <c r="G2277" s="1"/>
  <c r="F2262"/>
  <c r="F2277" s="1"/>
  <c r="E2262"/>
  <c r="E2276" s="1"/>
  <c r="D2262"/>
  <c r="D2276" s="1"/>
  <c r="Q2261"/>
  <c r="Q2260"/>
  <c r="P2259"/>
  <c r="P2258"/>
  <c r="Q2257"/>
  <c r="Q2256"/>
  <c r="Q2255"/>
  <c r="Q2254"/>
  <c r="Q2253"/>
  <c r="Q2252"/>
  <c r="Q2251"/>
  <c r="Q2250"/>
  <c r="Q2249"/>
  <c r="Q2248"/>
  <c r="Q2247"/>
  <c r="Q2246"/>
  <c r="Q2245"/>
  <c r="O2244"/>
  <c r="O2259" s="1"/>
  <c r="N2244"/>
  <c r="N2259" s="1"/>
  <c r="M2244"/>
  <c r="M2258" s="1"/>
  <c r="L2244"/>
  <c r="L2258" s="1"/>
  <c r="K2244"/>
  <c r="K2259" s="1"/>
  <c r="J2244"/>
  <c r="J2259" s="1"/>
  <c r="I2244"/>
  <c r="I2258" s="1"/>
  <c r="H2244"/>
  <c r="H2258" s="1"/>
  <c r="G2244"/>
  <c r="G2259" s="1"/>
  <c r="F2244"/>
  <c r="F2259" s="1"/>
  <c r="E2244"/>
  <c r="E2258" s="1"/>
  <c r="D2244"/>
  <c r="D2258" s="1"/>
  <c r="Q2243"/>
  <c r="Q2242"/>
  <c r="P2241"/>
  <c r="P2240"/>
  <c r="Q2239"/>
  <c r="Q2238"/>
  <c r="Q2237"/>
  <c r="Q2236"/>
  <c r="Q2235"/>
  <c r="Q2234"/>
  <c r="Q2233"/>
  <c r="Q2232"/>
  <c r="Q2231"/>
  <c r="Q2230"/>
  <c r="Q2229"/>
  <c r="Q2228"/>
  <c r="Q2227"/>
  <c r="O2226"/>
  <c r="O2241" s="1"/>
  <c r="N2226"/>
  <c r="N2241" s="1"/>
  <c r="M2226"/>
  <c r="M2240" s="1"/>
  <c r="L2226"/>
  <c r="L2240" s="1"/>
  <c r="K2226"/>
  <c r="K2241" s="1"/>
  <c r="J2226"/>
  <c r="J2241" s="1"/>
  <c r="I2226"/>
  <c r="I2240" s="1"/>
  <c r="H2226"/>
  <c r="H2240" s="1"/>
  <c r="G2226"/>
  <c r="G2241" s="1"/>
  <c r="F2226"/>
  <c r="F2241" s="1"/>
  <c r="E2226"/>
  <c r="E2240" s="1"/>
  <c r="D2226"/>
  <c r="D2240" s="1"/>
  <c r="Q2225"/>
  <c r="Q2224"/>
  <c r="P2223"/>
  <c r="P2222"/>
  <c r="Q2221"/>
  <c r="Q2220"/>
  <c r="Q2219"/>
  <c r="Q2218"/>
  <c r="Q2217"/>
  <c r="Q2216"/>
  <c r="Q2215"/>
  <c r="Q2214"/>
  <c r="Q2213"/>
  <c r="Q2212"/>
  <c r="Q2211"/>
  <c r="Q2210"/>
  <c r="Q2209"/>
  <c r="O2208"/>
  <c r="O2223" s="1"/>
  <c r="N2208"/>
  <c r="N2223" s="1"/>
  <c r="M2208"/>
  <c r="M2222" s="1"/>
  <c r="L2208"/>
  <c r="L2222" s="1"/>
  <c r="K2208"/>
  <c r="K2223" s="1"/>
  <c r="J2208"/>
  <c r="J2223" s="1"/>
  <c r="I2208"/>
  <c r="I2222" s="1"/>
  <c r="H2208"/>
  <c r="H2222" s="1"/>
  <c r="G2208"/>
  <c r="G2223" s="1"/>
  <c r="F2208"/>
  <c r="F2223" s="1"/>
  <c r="E2208"/>
  <c r="E2222" s="1"/>
  <c r="D2208"/>
  <c r="D2222" s="1"/>
  <c r="Q2207"/>
  <c r="Q2206"/>
  <c r="P2205"/>
  <c r="P2204"/>
  <c r="Q2203"/>
  <c r="Q2202"/>
  <c r="Q2201"/>
  <c r="Q2200"/>
  <c r="Q2199"/>
  <c r="Q2198"/>
  <c r="Q2197"/>
  <c r="Q2196"/>
  <c r="Q2195"/>
  <c r="Q2194"/>
  <c r="Q2193"/>
  <c r="Q2192"/>
  <c r="Q2191"/>
  <c r="O2190"/>
  <c r="O2205" s="1"/>
  <c r="N2190"/>
  <c r="N2205" s="1"/>
  <c r="M2190"/>
  <c r="M2204" s="1"/>
  <c r="L2190"/>
  <c r="L2204" s="1"/>
  <c r="K2190"/>
  <c r="K2205" s="1"/>
  <c r="J2190"/>
  <c r="J2205" s="1"/>
  <c r="I2190"/>
  <c r="I2204" s="1"/>
  <c r="H2190"/>
  <c r="H2204" s="1"/>
  <c r="G2190"/>
  <c r="G2205" s="1"/>
  <c r="F2190"/>
  <c r="F2205" s="1"/>
  <c r="E2190"/>
  <c r="E2204" s="1"/>
  <c r="D2190"/>
  <c r="D2204" s="1"/>
  <c r="Q2189"/>
  <c r="Q2188"/>
  <c r="P1172"/>
  <c r="O1172"/>
  <c r="N1172"/>
  <c r="M1172"/>
  <c r="L1172"/>
  <c r="K1172"/>
  <c r="J1172"/>
  <c r="I1172"/>
  <c r="H1172"/>
  <c r="G1172"/>
  <c r="F1172"/>
  <c r="E1172"/>
  <c r="D1172"/>
  <c r="P1171"/>
  <c r="O1171"/>
  <c r="N1171"/>
  <c r="M1171"/>
  <c r="L1171"/>
  <c r="K1171"/>
  <c r="J1171"/>
  <c r="I1171"/>
  <c r="H1171"/>
  <c r="G1171"/>
  <c r="F1171"/>
  <c r="E1171"/>
  <c r="D1171"/>
  <c r="Q1170"/>
  <c r="Q1169"/>
  <c r="Q1168"/>
  <c r="Q1167"/>
  <c r="Q1166"/>
  <c r="Q1165"/>
  <c r="Q1164"/>
  <c r="Q1163"/>
  <c r="Q1162"/>
  <c r="Q1161"/>
  <c r="Q1160"/>
  <c r="Q1159"/>
  <c r="Q1158"/>
  <c r="Q1157"/>
  <c r="Q1156"/>
  <c r="Q1155"/>
  <c r="Q1154"/>
  <c r="P1153"/>
  <c r="O1153"/>
  <c r="N1153"/>
  <c r="M1153"/>
  <c r="L1153"/>
  <c r="K1153"/>
  <c r="J1153"/>
  <c r="I1153"/>
  <c r="H1153"/>
  <c r="G1153"/>
  <c r="F1153"/>
  <c r="E1153"/>
  <c r="D1153"/>
  <c r="P1152"/>
  <c r="O1152"/>
  <c r="N1152"/>
  <c r="M1152"/>
  <c r="L1152"/>
  <c r="K1152"/>
  <c r="J1152"/>
  <c r="I1152"/>
  <c r="H1152"/>
  <c r="G1152"/>
  <c r="F1152"/>
  <c r="E1152"/>
  <c r="D1152"/>
  <c r="Q1151"/>
  <c r="Q1150"/>
  <c r="Q1149"/>
  <c r="Q1148"/>
  <c r="Q1147"/>
  <c r="Q1146"/>
  <c r="Q1145"/>
  <c r="Q1144"/>
  <c r="Q1143"/>
  <c r="Q1142"/>
  <c r="Q1141"/>
  <c r="Q1140"/>
  <c r="Q1139"/>
  <c r="Q1138"/>
  <c r="Q1137"/>
  <c r="Q1136"/>
  <c r="Q1135"/>
  <c r="P1134"/>
  <c r="O1134"/>
  <c r="N1134"/>
  <c r="M1134"/>
  <c r="L1134"/>
  <c r="K1134"/>
  <c r="J1134"/>
  <c r="I1134"/>
  <c r="H1134"/>
  <c r="G1134"/>
  <c r="F1134"/>
  <c r="E1134"/>
  <c r="D1134"/>
  <c r="P1133"/>
  <c r="O1133"/>
  <c r="N1133"/>
  <c r="M1133"/>
  <c r="L1133"/>
  <c r="K1133"/>
  <c r="J1133"/>
  <c r="I1133"/>
  <c r="H1133"/>
  <c r="G1133"/>
  <c r="F1133"/>
  <c r="E1133"/>
  <c r="D1133"/>
  <c r="Q1132"/>
  <c r="Q1131"/>
  <c r="Q1130"/>
  <c r="Q1129"/>
  <c r="Q1128"/>
  <c r="Q1127"/>
  <c r="Q1126"/>
  <c r="Q1125"/>
  <c r="Q1124"/>
  <c r="Q1123"/>
  <c r="Q1122"/>
  <c r="Q1121"/>
  <c r="Q1120"/>
  <c r="Q1119"/>
  <c r="Q1118"/>
  <c r="Q1117"/>
  <c r="Q1116"/>
  <c r="P1115"/>
  <c r="O1115"/>
  <c r="N1115"/>
  <c r="M1115"/>
  <c r="L1115"/>
  <c r="K1115"/>
  <c r="J1115"/>
  <c r="I1115"/>
  <c r="H1115"/>
  <c r="G1115"/>
  <c r="F1115"/>
  <c r="E1115"/>
  <c r="D1115"/>
  <c r="P1114"/>
  <c r="O1114"/>
  <c r="N1114"/>
  <c r="M1114"/>
  <c r="L1114"/>
  <c r="K1114"/>
  <c r="J1114"/>
  <c r="I1114"/>
  <c r="H1114"/>
  <c r="G1114"/>
  <c r="F1114"/>
  <c r="E1114"/>
  <c r="D1114"/>
  <c r="Q1113"/>
  <c r="Q1112"/>
  <c r="Q1111"/>
  <c r="Q1110"/>
  <c r="Q1109"/>
  <c r="Q1108"/>
  <c r="Q1107"/>
  <c r="Q1106"/>
  <c r="Q1105"/>
  <c r="Q1104"/>
  <c r="Q1103"/>
  <c r="Q1102"/>
  <c r="Q1101"/>
  <c r="Q1100"/>
  <c r="Q1099"/>
  <c r="Q1098"/>
  <c r="Q1097"/>
  <c r="P1096"/>
  <c r="O1096"/>
  <c r="N1096"/>
  <c r="M1096"/>
  <c r="L1096"/>
  <c r="K1096"/>
  <c r="J1096"/>
  <c r="I1096"/>
  <c r="H1096"/>
  <c r="G1096"/>
  <c r="F1096"/>
  <c r="E1096"/>
  <c r="D1096"/>
  <c r="P1095"/>
  <c r="O1095"/>
  <c r="N1095"/>
  <c r="M1095"/>
  <c r="L1095"/>
  <c r="K1095"/>
  <c r="J1095"/>
  <c r="I1095"/>
  <c r="H1095"/>
  <c r="G1095"/>
  <c r="F1095"/>
  <c r="E1095"/>
  <c r="D1095"/>
  <c r="Q1094"/>
  <c r="Q1093"/>
  <c r="Q1092"/>
  <c r="Q1091"/>
  <c r="Q1090"/>
  <c r="Q1089"/>
  <c r="Q1088"/>
  <c r="Q1087"/>
  <c r="Q1086"/>
  <c r="Q1085"/>
  <c r="Q1084"/>
  <c r="Q1083"/>
  <c r="Q1082"/>
  <c r="Q1081"/>
  <c r="Q1080"/>
  <c r="Q1079"/>
  <c r="Q1078"/>
  <c r="P1077"/>
  <c r="O1077"/>
  <c r="N1077"/>
  <c r="M1077"/>
  <c r="L1077"/>
  <c r="K1077"/>
  <c r="J1077"/>
  <c r="I1077"/>
  <c r="H1077"/>
  <c r="G1077"/>
  <c r="F1077"/>
  <c r="E1077"/>
  <c r="D1077"/>
  <c r="P1076"/>
  <c r="O1076"/>
  <c r="N1076"/>
  <c r="M1076"/>
  <c r="L1076"/>
  <c r="K1076"/>
  <c r="J1076"/>
  <c r="I1076"/>
  <c r="H1076"/>
  <c r="G1076"/>
  <c r="F1076"/>
  <c r="E1076"/>
  <c r="D1076"/>
  <c r="Q1075"/>
  <c r="Q1074"/>
  <c r="Q1073"/>
  <c r="Q1072"/>
  <c r="Q1071"/>
  <c r="Q1070"/>
  <c r="Q1069"/>
  <c r="Q1068"/>
  <c r="Q1067"/>
  <c r="Q1066"/>
  <c r="Q1065"/>
  <c r="Q1064"/>
  <c r="Q1063"/>
  <c r="Q1062"/>
  <c r="Q1061"/>
  <c r="Q1060"/>
  <c r="Q1059"/>
  <c r="P1058"/>
  <c r="O1058"/>
  <c r="N1058"/>
  <c r="M1058"/>
  <c r="L1058"/>
  <c r="K1058"/>
  <c r="J1058"/>
  <c r="I1058"/>
  <c r="H1058"/>
  <c r="G1058"/>
  <c r="F1058"/>
  <c r="E1058"/>
  <c r="D1058"/>
  <c r="P1057"/>
  <c r="O1057"/>
  <c r="N1057"/>
  <c r="M1057"/>
  <c r="L1057"/>
  <c r="K1057"/>
  <c r="J1057"/>
  <c r="I1057"/>
  <c r="H1057"/>
  <c r="G1057"/>
  <c r="F1057"/>
  <c r="E1057"/>
  <c r="D1057"/>
  <c r="Q1056"/>
  <c r="Q1055"/>
  <c r="Q1054"/>
  <c r="Q1053"/>
  <c r="Q1052"/>
  <c r="Q1051"/>
  <c r="Q1050"/>
  <c r="Q1049"/>
  <c r="Q1048"/>
  <c r="Q1047"/>
  <c r="Q1046"/>
  <c r="Q1045"/>
  <c r="Q1044"/>
  <c r="Q1043"/>
  <c r="Q1042"/>
  <c r="Q1041"/>
  <c r="Q1040"/>
  <c r="P1039"/>
  <c r="O1039"/>
  <c r="N1039"/>
  <c r="M1039"/>
  <c r="L1039"/>
  <c r="K1039"/>
  <c r="J1039"/>
  <c r="I1039"/>
  <c r="H1039"/>
  <c r="G1039"/>
  <c r="F1039"/>
  <c r="E1039"/>
  <c r="D1039"/>
  <c r="P1038"/>
  <c r="O1038"/>
  <c r="N1038"/>
  <c r="M1038"/>
  <c r="L1038"/>
  <c r="K1038"/>
  <c r="J1038"/>
  <c r="I1038"/>
  <c r="H1038"/>
  <c r="G1038"/>
  <c r="F1038"/>
  <c r="E1038"/>
  <c r="D1038"/>
  <c r="Q1037"/>
  <c r="Q1036"/>
  <c r="Q1035"/>
  <c r="Q1034"/>
  <c r="Q1033"/>
  <c r="Q1032"/>
  <c r="Q1031"/>
  <c r="Q1030"/>
  <c r="Q1029"/>
  <c r="Q1028"/>
  <c r="Q1027"/>
  <c r="Q1026"/>
  <c r="Q1025"/>
  <c r="Q1024"/>
  <c r="Q1023"/>
  <c r="Q1022"/>
  <c r="Q1021"/>
  <c r="P1020"/>
  <c r="O1020"/>
  <c r="N1020"/>
  <c r="M1020"/>
  <c r="L1020"/>
  <c r="K1020"/>
  <c r="J1020"/>
  <c r="I1020"/>
  <c r="H1020"/>
  <c r="G1020"/>
  <c r="F1020"/>
  <c r="E1020"/>
  <c r="D1020"/>
  <c r="P1019"/>
  <c r="O1019"/>
  <c r="N1019"/>
  <c r="M1019"/>
  <c r="L1019"/>
  <c r="K1019"/>
  <c r="J1019"/>
  <c r="I1019"/>
  <c r="H1019"/>
  <c r="G1019"/>
  <c r="F1019"/>
  <c r="E1019"/>
  <c r="D1019"/>
  <c r="Q1018"/>
  <c r="Q1017"/>
  <c r="Q1016"/>
  <c r="Q1015"/>
  <c r="Q1014"/>
  <c r="Q1013"/>
  <c r="Q1012"/>
  <c r="Q1011"/>
  <c r="Q1010"/>
  <c r="Q1009"/>
  <c r="Q1008"/>
  <c r="Q1007"/>
  <c r="Q1006"/>
  <c r="Q1005"/>
  <c r="Q1004"/>
  <c r="Q1003"/>
  <c r="Q1002"/>
  <c r="P1001"/>
  <c r="O1001"/>
  <c r="N1001"/>
  <c r="M1001"/>
  <c r="L1001"/>
  <c r="K1001"/>
  <c r="J1001"/>
  <c r="I1001"/>
  <c r="H1001"/>
  <c r="G1001"/>
  <c r="F1001"/>
  <c r="E1001"/>
  <c r="D1001"/>
  <c r="P1000"/>
  <c r="O1000"/>
  <c r="N1000"/>
  <c r="M1000"/>
  <c r="L1000"/>
  <c r="K1000"/>
  <c r="J1000"/>
  <c r="I1000"/>
  <c r="H1000"/>
  <c r="G1000"/>
  <c r="F1000"/>
  <c r="E1000"/>
  <c r="D1000"/>
  <c r="Q999"/>
  <c r="Q998"/>
  <c r="Q997"/>
  <c r="Q996"/>
  <c r="Q995"/>
  <c r="Q994"/>
  <c r="Q993"/>
  <c r="Q992"/>
  <c r="Q991"/>
  <c r="Q990"/>
  <c r="Q989"/>
  <c r="Q988"/>
  <c r="Q987"/>
  <c r="Q986"/>
  <c r="Q985"/>
  <c r="Q984"/>
  <c r="Q983"/>
  <c r="P982"/>
  <c r="O982"/>
  <c r="N982"/>
  <c r="M982"/>
  <c r="L982"/>
  <c r="K982"/>
  <c r="J982"/>
  <c r="I982"/>
  <c r="H982"/>
  <c r="G982"/>
  <c r="F982"/>
  <c r="E982"/>
  <c r="D982"/>
  <c r="P981"/>
  <c r="O981"/>
  <c r="N981"/>
  <c r="M981"/>
  <c r="L981"/>
  <c r="K981"/>
  <c r="J981"/>
  <c r="I981"/>
  <c r="H981"/>
  <c r="G981"/>
  <c r="F981"/>
  <c r="E981"/>
  <c r="D981"/>
  <c r="Q980"/>
  <c r="Q979"/>
  <c r="Q978"/>
  <c r="Q977"/>
  <c r="Q976"/>
  <c r="Q975"/>
  <c r="Q974"/>
  <c r="Q973"/>
  <c r="Q972"/>
  <c r="Q971"/>
  <c r="Q970"/>
  <c r="Q969"/>
  <c r="Q968"/>
  <c r="Q967"/>
  <c r="Q966"/>
  <c r="Q965"/>
  <c r="Q964"/>
  <c r="P963"/>
  <c r="O963"/>
  <c r="N963"/>
  <c r="M963"/>
  <c r="L963"/>
  <c r="K963"/>
  <c r="J963"/>
  <c r="I963"/>
  <c r="H963"/>
  <c r="G963"/>
  <c r="F963"/>
  <c r="E963"/>
  <c r="D963"/>
  <c r="P962"/>
  <c r="O962"/>
  <c r="N962"/>
  <c r="M962"/>
  <c r="L962"/>
  <c r="K962"/>
  <c r="J962"/>
  <c r="I962"/>
  <c r="H962"/>
  <c r="G962"/>
  <c r="F962"/>
  <c r="E962"/>
  <c r="D962"/>
  <c r="Q961"/>
  <c r="Q960"/>
  <c r="Q959"/>
  <c r="Q958"/>
  <c r="Q957"/>
  <c r="Q956"/>
  <c r="Q955"/>
  <c r="Q954"/>
  <c r="Q953"/>
  <c r="Q952"/>
  <c r="Q951"/>
  <c r="Q950"/>
  <c r="Q949"/>
  <c r="Q948"/>
  <c r="Q947"/>
  <c r="Q946"/>
  <c r="Q945"/>
  <c r="P944"/>
  <c r="O944"/>
  <c r="N944"/>
  <c r="M944"/>
  <c r="L944"/>
  <c r="K944"/>
  <c r="J944"/>
  <c r="I944"/>
  <c r="H944"/>
  <c r="G944"/>
  <c r="F944"/>
  <c r="E944"/>
  <c r="D944"/>
  <c r="P943"/>
  <c r="O943"/>
  <c r="N943"/>
  <c r="M943"/>
  <c r="L943"/>
  <c r="K943"/>
  <c r="J943"/>
  <c r="I943"/>
  <c r="H943"/>
  <c r="G943"/>
  <c r="F943"/>
  <c r="E943"/>
  <c r="D943"/>
  <c r="Q942"/>
  <c r="Q941"/>
  <c r="Q940"/>
  <c r="Q939"/>
  <c r="Q938"/>
  <c r="Q937"/>
  <c r="Q936"/>
  <c r="Q935"/>
  <c r="Q934"/>
  <c r="Q933"/>
  <c r="Q932"/>
  <c r="Q931"/>
  <c r="Q930"/>
  <c r="Q929"/>
  <c r="Q928"/>
  <c r="Q927"/>
  <c r="Q926"/>
  <c r="P925"/>
  <c r="O925"/>
  <c r="N925"/>
  <c r="M925"/>
  <c r="L925"/>
  <c r="K925"/>
  <c r="J925"/>
  <c r="I925"/>
  <c r="H925"/>
  <c r="G925"/>
  <c r="F925"/>
  <c r="E925"/>
  <c r="D925"/>
  <c r="P924"/>
  <c r="O924"/>
  <c r="N924"/>
  <c r="M924"/>
  <c r="L924"/>
  <c r="K924"/>
  <c r="J924"/>
  <c r="I924"/>
  <c r="H924"/>
  <c r="G924"/>
  <c r="F924"/>
  <c r="E924"/>
  <c r="D924"/>
  <c r="Q923"/>
  <c r="Q922"/>
  <c r="Q921"/>
  <c r="Q920"/>
  <c r="Q919"/>
  <c r="Q918"/>
  <c r="Q917"/>
  <c r="Q916"/>
  <c r="Q915"/>
  <c r="Q914"/>
  <c r="Q913"/>
  <c r="Q912"/>
  <c r="Q911"/>
  <c r="Q910"/>
  <c r="Q909"/>
  <c r="Q908"/>
  <c r="Q907"/>
  <c r="P906"/>
  <c r="O906"/>
  <c r="N906"/>
  <c r="M906"/>
  <c r="L906"/>
  <c r="K906"/>
  <c r="J906"/>
  <c r="I906"/>
  <c r="H906"/>
  <c r="G906"/>
  <c r="F906"/>
  <c r="E906"/>
  <c r="D906"/>
  <c r="P905"/>
  <c r="O905"/>
  <c r="N905"/>
  <c r="M905"/>
  <c r="L905"/>
  <c r="K905"/>
  <c r="J905"/>
  <c r="I905"/>
  <c r="H905"/>
  <c r="G905"/>
  <c r="F905"/>
  <c r="E905"/>
  <c r="D905"/>
  <c r="Q904"/>
  <c r="Q903"/>
  <c r="Q902"/>
  <c r="Q901"/>
  <c r="Q900"/>
  <c r="Q899"/>
  <c r="Q898"/>
  <c r="Q897"/>
  <c r="Q896"/>
  <c r="Q895"/>
  <c r="Q894"/>
  <c r="Q893"/>
  <c r="Q892"/>
  <c r="Q891"/>
  <c r="Q890"/>
  <c r="Q889"/>
  <c r="Q888"/>
  <c r="P887"/>
  <c r="O887"/>
  <c r="N887"/>
  <c r="M887"/>
  <c r="L887"/>
  <c r="K887"/>
  <c r="J887"/>
  <c r="I887"/>
  <c r="H887"/>
  <c r="G887"/>
  <c r="F887"/>
  <c r="E887"/>
  <c r="D887"/>
  <c r="P886"/>
  <c r="O886"/>
  <c r="N886"/>
  <c r="M886"/>
  <c r="L886"/>
  <c r="K886"/>
  <c r="J886"/>
  <c r="I886"/>
  <c r="H886"/>
  <c r="G886"/>
  <c r="F886"/>
  <c r="E886"/>
  <c r="D886"/>
  <c r="Q885"/>
  <c r="Q884"/>
  <c r="Q883"/>
  <c r="Q882"/>
  <c r="Q881"/>
  <c r="Q880"/>
  <c r="Q879"/>
  <c r="Q878"/>
  <c r="Q877"/>
  <c r="Q876"/>
  <c r="Q875"/>
  <c r="Q874"/>
  <c r="Q873"/>
  <c r="Q872"/>
  <c r="Q871"/>
  <c r="Q870"/>
  <c r="Q869"/>
  <c r="P868"/>
  <c r="O868"/>
  <c r="N868"/>
  <c r="M868"/>
  <c r="L868"/>
  <c r="K868"/>
  <c r="J868"/>
  <c r="I868"/>
  <c r="H868"/>
  <c r="G868"/>
  <c r="F868"/>
  <c r="E868"/>
  <c r="D868"/>
  <c r="P867"/>
  <c r="O867"/>
  <c r="N867"/>
  <c r="M867"/>
  <c r="L867"/>
  <c r="K867"/>
  <c r="J867"/>
  <c r="I867"/>
  <c r="H867"/>
  <c r="G867"/>
  <c r="F867"/>
  <c r="E867"/>
  <c r="D867"/>
  <c r="Q866"/>
  <c r="Q865"/>
  <c r="Q864"/>
  <c r="Q863"/>
  <c r="Q862"/>
  <c r="Q861"/>
  <c r="Q860"/>
  <c r="Q859"/>
  <c r="Q858"/>
  <c r="Q857"/>
  <c r="Q856"/>
  <c r="Q855"/>
  <c r="Q854"/>
  <c r="Q853"/>
  <c r="Q852"/>
  <c r="Q851"/>
  <c r="Q850"/>
  <c r="P849"/>
  <c r="O849"/>
  <c r="N849"/>
  <c r="M849"/>
  <c r="L849"/>
  <c r="K849"/>
  <c r="J849"/>
  <c r="I849"/>
  <c r="H849"/>
  <c r="G849"/>
  <c r="F849"/>
  <c r="E849"/>
  <c r="D849"/>
  <c r="P848"/>
  <c r="O848"/>
  <c r="N848"/>
  <c r="M848"/>
  <c r="L848"/>
  <c r="K848"/>
  <c r="J848"/>
  <c r="I848"/>
  <c r="H848"/>
  <c r="G848"/>
  <c r="F848"/>
  <c r="E848"/>
  <c r="D848"/>
  <c r="Q847"/>
  <c r="Q846"/>
  <c r="Q845"/>
  <c r="Q844"/>
  <c r="Q843"/>
  <c r="Q842"/>
  <c r="Q841"/>
  <c r="Q840"/>
  <c r="Q839"/>
  <c r="Q838"/>
  <c r="Q837"/>
  <c r="Q836"/>
  <c r="Q835"/>
  <c r="Q834"/>
  <c r="Q833"/>
  <c r="Q832"/>
  <c r="Q831"/>
  <c r="P830"/>
  <c r="O830"/>
  <c r="N830"/>
  <c r="M830"/>
  <c r="L830"/>
  <c r="K830"/>
  <c r="J830"/>
  <c r="I830"/>
  <c r="H830"/>
  <c r="G830"/>
  <c r="F830"/>
  <c r="E830"/>
  <c r="D830"/>
  <c r="P829"/>
  <c r="O829"/>
  <c r="N829"/>
  <c r="M829"/>
  <c r="L829"/>
  <c r="K829"/>
  <c r="J829"/>
  <c r="I829"/>
  <c r="H829"/>
  <c r="G829"/>
  <c r="F829"/>
  <c r="E829"/>
  <c r="D829"/>
  <c r="Q828"/>
  <c r="Q827"/>
  <c r="Q826"/>
  <c r="Q825"/>
  <c r="Q824"/>
  <c r="Q823"/>
  <c r="Q822"/>
  <c r="Q821"/>
  <c r="Q820"/>
  <c r="Q819"/>
  <c r="Q818"/>
  <c r="Q817"/>
  <c r="Q816"/>
  <c r="Q815"/>
  <c r="Q814"/>
  <c r="Q813"/>
  <c r="Q812"/>
  <c r="P811"/>
  <c r="O811"/>
  <c r="N811"/>
  <c r="M811"/>
  <c r="L811"/>
  <c r="K811"/>
  <c r="J811"/>
  <c r="I811"/>
  <c r="H811"/>
  <c r="G811"/>
  <c r="F811"/>
  <c r="E811"/>
  <c r="D811"/>
  <c r="P810"/>
  <c r="O810"/>
  <c r="N810"/>
  <c r="M810"/>
  <c r="L810"/>
  <c r="K810"/>
  <c r="J810"/>
  <c r="I810"/>
  <c r="H810"/>
  <c r="G810"/>
  <c r="F810"/>
  <c r="E810"/>
  <c r="D810"/>
  <c r="Q809"/>
  <c r="Q808"/>
  <c r="Q807"/>
  <c r="Q806"/>
  <c r="Q805"/>
  <c r="Q804"/>
  <c r="Q803"/>
  <c r="Q802"/>
  <c r="Q801"/>
  <c r="Q800"/>
  <c r="Q799"/>
  <c r="Q798"/>
  <c r="Q797"/>
  <c r="Q796"/>
  <c r="Q795"/>
  <c r="Q794"/>
  <c r="Q793"/>
  <c r="P792"/>
  <c r="O792"/>
  <c r="N792"/>
  <c r="M792"/>
  <c r="L792"/>
  <c r="K792"/>
  <c r="J792"/>
  <c r="I792"/>
  <c r="H792"/>
  <c r="G792"/>
  <c r="F792"/>
  <c r="E792"/>
  <c r="D792"/>
  <c r="P791"/>
  <c r="O791"/>
  <c r="N791"/>
  <c r="M791"/>
  <c r="L791"/>
  <c r="K791"/>
  <c r="J791"/>
  <c r="I791"/>
  <c r="H791"/>
  <c r="G791"/>
  <c r="F791"/>
  <c r="E791"/>
  <c r="D791"/>
  <c r="Q790"/>
  <c r="Q789"/>
  <c r="Q788"/>
  <c r="Q787"/>
  <c r="Q786"/>
  <c r="Q785"/>
  <c r="Q784"/>
  <c r="Q783"/>
  <c r="Q782"/>
  <c r="Q781"/>
  <c r="Q780"/>
  <c r="Q779"/>
  <c r="Q778"/>
  <c r="Q777"/>
  <c r="Q776"/>
  <c r="Q775"/>
  <c r="Q774"/>
  <c r="P773"/>
  <c r="O773"/>
  <c r="N773"/>
  <c r="M773"/>
  <c r="L773"/>
  <c r="K773"/>
  <c r="J773"/>
  <c r="I773"/>
  <c r="H773"/>
  <c r="G773"/>
  <c r="F773"/>
  <c r="E773"/>
  <c r="D773"/>
  <c r="P772"/>
  <c r="O772"/>
  <c r="N772"/>
  <c r="M772"/>
  <c r="L772"/>
  <c r="K772"/>
  <c r="J772"/>
  <c r="I772"/>
  <c r="H772"/>
  <c r="G772"/>
  <c r="F772"/>
  <c r="E772"/>
  <c r="D772"/>
  <c r="Q771"/>
  <c r="Q770"/>
  <c r="Q769"/>
  <c r="Q768"/>
  <c r="Q767"/>
  <c r="Q766"/>
  <c r="Q765"/>
  <c r="Q764"/>
  <c r="Q763"/>
  <c r="Q762"/>
  <c r="Q761"/>
  <c r="Q760"/>
  <c r="Q759"/>
  <c r="Q758"/>
  <c r="Q757"/>
  <c r="Q756"/>
  <c r="Q755"/>
  <c r="D37" i="12"/>
  <c r="D36"/>
  <c r="I22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0" i="13"/>
  <c r="Q4"/>
  <c r="Q4" i="9"/>
  <c r="P754" i="25"/>
  <c r="O754"/>
  <c r="N754"/>
  <c r="M754"/>
  <c r="L754"/>
  <c r="K754"/>
  <c r="J754"/>
  <c r="I754"/>
  <c r="H754"/>
  <c r="G754"/>
  <c r="F754"/>
  <c r="E754"/>
  <c r="D754"/>
  <c r="P753"/>
  <c r="O753"/>
  <c r="N753"/>
  <c r="M753"/>
  <c r="L753"/>
  <c r="K753"/>
  <c r="J753"/>
  <c r="I753"/>
  <c r="H753"/>
  <c r="G753"/>
  <c r="F753"/>
  <c r="E753"/>
  <c r="D753"/>
  <c r="Q752"/>
  <c r="Q751"/>
  <c r="Q750"/>
  <c r="Q749"/>
  <c r="Q748"/>
  <c r="Q747"/>
  <c r="Q746"/>
  <c r="Q745"/>
  <c r="Q744"/>
  <c r="Q743"/>
  <c r="Q742"/>
  <c r="Q741"/>
  <c r="Q740"/>
  <c r="Q739"/>
  <c r="Q738"/>
  <c r="Q737"/>
  <c r="Q736"/>
  <c r="P735"/>
  <c r="O735"/>
  <c r="N735"/>
  <c r="M735"/>
  <c r="L735"/>
  <c r="K735"/>
  <c r="J735"/>
  <c r="I735"/>
  <c r="H735"/>
  <c r="G735"/>
  <c r="F735"/>
  <c r="E735"/>
  <c r="D735"/>
  <c r="P734"/>
  <c r="O734"/>
  <c r="N734"/>
  <c r="M734"/>
  <c r="L734"/>
  <c r="K734"/>
  <c r="J734"/>
  <c r="I734"/>
  <c r="H734"/>
  <c r="G734"/>
  <c r="F734"/>
  <c r="E734"/>
  <c r="D734"/>
  <c r="Q733"/>
  <c r="Q732"/>
  <c r="Q731"/>
  <c r="Q730"/>
  <c r="Q729"/>
  <c r="Q728"/>
  <c r="Q727"/>
  <c r="Q726"/>
  <c r="Q725"/>
  <c r="Q724"/>
  <c r="Q723"/>
  <c r="Q722"/>
  <c r="Q721"/>
  <c r="Q720"/>
  <c r="Q719"/>
  <c r="Q718"/>
  <c r="Q717"/>
  <c r="P716"/>
  <c r="O716"/>
  <c r="N716"/>
  <c r="M716"/>
  <c r="L716"/>
  <c r="K716"/>
  <c r="J716"/>
  <c r="I716"/>
  <c r="H716"/>
  <c r="G716"/>
  <c r="F716"/>
  <c r="E716"/>
  <c r="D716"/>
  <c r="P715"/>
  <c r="O715"/>
  <c r="N715"/>
  <c r="M715"/>
  <c r="L715"/>
  <c r="K715"/>
  <c r="J715"/>
  <c r="I715"/>
  <c r="H715"/>
  <c r="G715"/>
  <c r="F715"/>
  <c r="E715"/>
  <c r="D715"/>
  <c r="Q714"/>
  <c r="Q713"/>
  <c r="Q712"/>
  <c r="Q711"/>
  <c r="Q710"/>
  <c r="Q709"/>
  <c r="Q708"/>
  <c r="Q707"/>
  <c r="Q706"/>
  <c r="Q705"/>
  <c r="Q704"/>
  <c r="Q703"/>
  <c r="Q702"/>
  <c r="Q701"/>
  <c r="Q700"/>
  <c r="Q699"/>
  <c r="Q698"/>
  <c r="P697"/>
  <c r="O697"/>
  <c r="N697"/>
  <c r="M697"/>
  <c r="L697"/>
  <c r="K697"/>
  <c r="J697"/>
  <c r="I697"/>
  <c r="H697"/>
  <c r="G697"/>
  <c r="F697"/>
  <c r="E697"/>
  <c r="D697"/>
  <c r="P696"/>
  <c r="O696"/>
  <c r="N696"/>
  <c r="M696"/>
  <c r="L696"/>
  <c r="K696"/>
  <c r="J696"/>
  <c r="I696"/>
  <c r="H696"/>
  <c r="G696"/>
  <c r="F696"/>
  <c r="E696"/>
  <c r="D696"/>
  <c r="Q695"/>
  <c r="Q694"/>
  <c r="Q693"/>
  <c r="Q692"/>
  <c r="Q691"/>
  <c r="Q690"/>
  <c r="Q689"/>
  <c r="Q688"/>
  <c r="Q687"/>
  <c r="Q686"/>
  <c r="Q685"/>
  <c r="Q684"/>
  <c r="Q683"/>
  <c r="Q682"/>
  <c r="Q681"/>
  <c r="Q680"/>
  <c r="Q679"/>
  <c r="P2187"/>
  <c r="Q2187" s="1"/>
  <c r="P2186"/>
  <c r="Q2186" s="1"/>
  <c r="Q2185"/>
  <c r="Q2184"/>
  <c r="Q2183"/>
  <c r="Q2182"/>
  <c r="Q2181"/>
  <c r="Q2180"/>
  <c r="Q2179"/>
  <c r="Q2178"/>
  <c r="Q2177"/>
  <c r="Q2176"/>
  <c r="Q2175"/>
  <c r="Q2174"/>
  <c r="Q2173"/>
  <c r="Q2172"/>
  <c r="O2172"/>
  <c r="O2187" s="1"/>
  <c r="N2172"/>
  <c r="N2187" s="1"/>
  <c r="M2172"/>
  <c r="M2186" s="1"/>
  <c r="L2172"/>
  <c r="L2186" s="1"/>
  <c r="K2172"/>
  <c r="K2187" s="1"/>
  <c r="J2172"/>
  <c r="J2187" s="1"/>
  <c r="I2172"/>
  <c r="I2186" s="1"/>
  <c r="H2172"/>
  <c r="H2186" s="1"/>
  <c r="G2172"/>
  <c r="G2187" s="1"/>
  <c r="F2172"/>
  <c r="F2187" s="1"/>
  <c r="E2172"/>
  <c r="E2186" s="1"/>
  <c r="D2172"/>
  <c r="D2186" s="1"/>
  <c r="Q2171"/>
  <c r="Q2170"/>
  <c r="P2169"/>
  <c r="Q2169" s="1"/>
  <c r="P2168"/>
  <c r="Q2168" s="1"/>
  <c r="Q2167"/>
  <c r="Q2166"/>
  <c r="Q2165"/>
  <c r="Q2164"/>
  <c r="Q2163"/>
  <c r="Q2162"/>
  <c r="Q2161"/>
  <c r="Q2160"/>
  <c r="Q2159"/>
  <c r="Q2158"/>
  <c r="Q2157"/>
  <c r="Q2156"/>
  <c r="Q2155"/>
  <c r="Q2154"/>
  <c r="O2154"/>
  <c r="O2169" s="1"/>
  <c r="N2154"/>
  <c r="N2169" s="1"/>
  <c r="M2154"/>
  <c r="M2168" s="1"/>
  <c r="L2154"/>
  <c r="L2168" s="1"/>
  <c r="K2154"/>
  <c r="K2169" s="1"/>
  <c r="J2154"/>
  <c r="J2169" s="1"/>
  <c r="I2154"/>
  <c r="I2168" s="1"/>
  <c r="H2154"/>
  <c r="H2168" s="1"/>
  <c r="G2154"/>
  <c r="G2169" s="1"/>
  <c r="F2154"/>
  <c r="F2169" s="1"/>
  <c r="E2154"/>
  <c r="E2168" s="1"/>
  <c r="D2154"/>
  <c r="D2168" s="1"/>
  <c r="Q2153"/>
  <c r="Q2152"/>
  <c r="P2151"/>
  <c r="Q2151" s="1"/>
  <c r="P2150"/>
  <c r="Q2150" s="1"/>
  <c r="Q2149"/>
  <c r="Q2148"/>
  <c r="Q2147"/>
  <c r="Q2146"/>
  <c r="Q2145"/>
  <c r="Q2144"/>
  <c r="Q2143"/>
  <c r="Q2142"/>
  <c r="Q2141"/>
  <c r="Q2140"/>
  <c r="Q2139"/>
  <c r="Q2138"/>
  <c r="Q2137"/>
  <c r="Q2136"/>
  <c r="O2136"/>
  <c r="O2151" s="1"/>
  <c r="N2136"/>
  <c r="N2151" s="1"/>
  <c r="M2136"/>
  <c r="M2150" s="1"/>
  <c r="L2136"/>
  <c r="L2150" s="1"/>
  <c r="K2136"/>
  <c r="K2151" s="1"/>
  <c r="J2136"/>
  <c r="J2151" s="1"/>
  <c r="I2136"/>
  <c r="I2150" s="1"/>
  <c r="H2136"/>
  <c r="H2150" s="1"/>
  <c r="G2136"/>
  <c r="G2151" s="1"/>
  <c r="F2136"/>
  <c r="F2151" s="1"/>
  <c r="E2136"/>
  <c r="E2150" s="1"/>
  <c r="D2136"/>
  <c r="D2150" s="1"/>
  <c r="Q2135"/>
  <c r="Q2134"/>
  <c r="P2133"/>
  <c r="Q2133" s="1"/>
  <c r="P2132"/>
  <c r="Q2132" s="1"/>
  <c r="Q2131"/>
  <c r="Q2130"/>
  <c r="Q2129"/>
  <c r="Q2128"/>
  <c r="Q2127"/>
  <c r="Q2126"/>
  <c r="Q2125"/>
  <c r="Q2124"/>
  <c r="Q2123"/>
  <c r="Q2122"/>
  <c r="Q2121"/>
  <c r="Q2120"/>
  <c r="Q2119"/>
  <c r="Q2118"/>
  <c r="O2118"/>
  <c r="O2133" s="1"/>
  <c r="N2118"/>
  <c r="N2133" s="1"/>
  <c r="M2118"/>
  <c r="M2132" s="1"/>
  <c r="L2118"/>
  <c r="L2132" s="1"/>
  <c r="K2118"/>
  <c r="K2133" s="1"/>
  <c r="J2118"/>
  <c r="J2133" s="1"/>
  <c r="I2118"/>
  <c r="I2132" s="1"/>
  <c r="H2118"/>
  <c r="H2132" s="1"/>
  <c r="G2118"/>
  <c r="G2133" s="1"/>
  <c r="F2118"/>
  <c r="F2133" s="1"/>
  <c r="E2118"/>
  <c r="E2132" s="1"/>
  <c r="D2118"/>
  <c r="D2132" s="1"/>
  <c r="Q2117"/>
  <c r="Q2116"/>
  <c r="P2115"/>
  <c r="Q2115" s="1"/>
  <c r="P2114"/>
  <c r="Q2114" s="1"/>
  <c r="Q2113"/>
  <c r="Q2112"/>
  <c r="Q2111"/>
  <c r="Q2110"/>
  <c r="Q2109"/>
  <c r="Q2108"/>
  <c r="Q2107"/>
  <c r="Q2106"/>
  <c r="Q2105"/>
  <c r="Q2104"/>
  <c r="Q2103"/>
  <c r="Q2102"/>
  <c r="Q2101"/>
  <c r="Q2100"/>
  <c r="O2100"/>
  <c r="O2115" s="1"/>
  <c r="N2100"/>
  <c r="N2115" s="1"/>
  <c r="M2100"/>
  <c r="M2114" s="1"/>
  <c r="L2100"/>
  <c r="L2114" s="1"/>
  <c r="K2100"/>
  <c r="K2115" s="1"/>
  <c r="J2100"/>
  <c r="J2115" s="1"/>
  <c r="I2100"/>
  <c r="I2114" s="1"/>
  <c r="H2100"/>
  <c r="H2114" s="1"/>
  <c r="G2100"/>
  <c r="G2115" s="1"/>
  <c r="F2100"/>
  <c r="F2115" s="1"/>
  <c r="E2100"/>
  <c r="E2114" s="1"/>
  <c r="D2100"/>
  <c r="D2114" s="1"/>
  <c r="Q2099"/>
  <c r="Q2098"/>
  <c r="P2097"/>
  <c r="Q2097" s="1"/>
  <c r="P2096"/>
  <c r="Q2096" s="1"/>
  <c r="Q2095"/>
  <c r="Q2094"/>
  <c r="Q2093"/>
  <c r="Q2092"/>
  <c r="Q2091"/>
  <c r="Q2090"/>
  <c r="Q2089"/>
  <c r="Q2088"/>
  <c r="Q2087"/>
  <c r="Q2086"/>
  <c r="Q2085"/>
  <c r="Q2084"/>
  <c r="Q2083"/>
  <c r="Q2082"/>
  <c r="O2082"/>
  <c r="O2097" s="1"/>
  <c r="N2082"/>
  <c r="N2097" s="1"/>
  <c r="M2082"/>
  <c r="M2096" s="1"/>
  <c r="L2082"/>
  <c r="L2096" s="1"/>
  <c r="K2082"/>
  <c r="K2097" s="1"/>
  <c r="J2082"/>
  <c r="J2097" s="1"/>
  <c r="I2082"/>
  <c r="I2096" s="1"/>
  <c r="H2082"/>
  <c r="H2096" s="1"/>
  <c r="G2082"/>
  <c r="G2097" s="1"/>
  <c r="F2082"/>
  <c r="F2097" s="1"/>
  <c r="E2082"/>
  <c r="E2096" s="1"/>
  <c r="D2082"/>
  <c r="D2096" s="1"/>
  <c r="Q2081"/>
  <c r="Q2080"/>
  <c r="P2079"/>
  <c r="Q2079" s="1"/>
  <c r="P2078"/>
  <c r="Q2078" s="1"/>
  <c r="Q2077"/>
  <c r="Q2076"/>
  <c r="Q2075"/>
  <c r="Q2074"/>
  <c r="Q2073"/>
  <c r="Q2072"/>
  <c r="Q2071"/>
  <c r="Q2070"/>
  <c r="Q2069"/>
  <c r="Q2068"/>
  <c r="Q2067"/>
  <c r="Q2066"/>
  <c r="Q2065"/>
  <c r="Q2064"/>
  <c r="O2064"/>
  <c r="O2079" s="1"/>
  <c r="N2064"/>
  <c r="N2079" s="1"/>
  <c r="M2064"/>
  <c r="M2078" s="1"/>
  <c r="L2064"/>
  <c r="L2078" s="1"/>
  <c r="K2064"/>
  <c r="K2079" s="1"/>
  <c r="J2064"/>
  <c r="J2079" s="1"/>
  <c r="I2064"/>
  <c r="I2078" s="1"/>
  <c r="H2064"/>
  <c r="H2078" s="1"/>
  <c r="G2064"/>
  <c r="G2079" s="1"/>
  <c r="F2064"/>
  <c r="F2079" s="1"/>
  <c r="E2064"/>
  <c r="E2078" s="1"/>
  <c r="D2064"/>
  <c r="D2078" s="1"/>
  <c r="Q2063"/>
  <c r="Q2062"/>
  <c r="P2061"/>
  <c r="Q2061" s="1"/>
  <c r="P2060"/>
  <c r="Q2060" s="1"/>
  <c r="Q2059"/>
  <c r="Q2058"/>
  <c r="Q2057"/>
  <c r="Q2056"/>
  <c r="Q2055"/>
  <c r="Q2054"/>
  <c r="Q2053"/>
  <c r="Q2052"/>
  <c r="Q2051"/>
  <c r="Q2050"/>
  <c r="Q2049"/>
  <c r="Q2048"/>
  <c r="Q2047"/>
  <c r="Q2046"/>
  <c r="O2046"/>
  <c r="O2061" s="1"/>
  <c r="N2046"/>
  <c r="N2061" s="1"/>
  <c r="M2046"/>
  <c r="M2060" s="1"/>
  <c r="L2046"/>
  <c r="L2060" s="1"/>
  <c r="K2046"/>
  <c r="K2061" s="1"/>
  <c r="J2046"/>
  <c r="J2061" s="1"/>
  <c r="I2046"/>
  <c r="I2060" s="1"/>
  <c r="H2046"/>
  <c r="H2060" s="1"/>
  <c r="G2046"/>
  <c r="G2061" s="1"/>
  <c r="F2046"/>
  <c r="F2061" s="1"/>
  <c r="E2046"/>
  <c r="E2060" s="1"/>
  <c r="D2046"/>
  <c r="D2060" s="1"/>
  <c r="Q2045"/>
  <c r="Q2044"/>
  <c r="P2043"/>
  <c r="Q2043" s="1"/>
  <c r="P2042"/>
  <c r="Q2042" s="1"/>
  <c r="Q2041"/>
  <c r="Q2040"/>
  <c r="Q2039"/>
  <c r="Q2038"/>
  <c r="Q2037"/>
  <c r="Q2036"/>
  <c r="Q2035"/>
  <c r="Q2034"/>
  <c r="Q2033"/>
  <c r="Q2032"/>
  <c r="Q2031"/>
  <c r="Q2030"/>
  <c r="Q2029"/>
  <c r="Q2028"/>
  <c r="O2028"/>
  <c r="O2043" s="1"/>
  <c r="N2028"/>
  <c r="N2043" s="1"/>
  <c r="M2028"/>
  <c r="M2042" s="1"/>
  <c r="L2028"/>
  <c r="L2042" s="1"/>
  <c r="K2028"/>
  <c r="K2043" s="1"/>
  <c r="J2028"/>
  <c r="J2043" s="1"/>
  <c r="I2028"/>
  <c r="I2042" s="1"/>
  <c r="H2028"/>
  <c r="H2042" s="1"/>
  <c r="G2028"/>
  <c r="G2043" s="1"/>
  <c r="F2028"/>
  <c r="F2043" s="1"/>
  <c r="E2028"/>
  <c r="E2042" s="1"/>
  <c r="D2028"/>
  <c r="D2042" s="1"/>
  <c r="Q2027"/>
  <c r="Q2026"/>
  <c r="P2025"/>
  <c r="Q2025" s="1"/>
  <c r="P2024"/>
  <c r="Q2024" s="1"/>
  <c r="Q2023"/>
  <c r="Q2022"/>
  <c r="Q2021"/>
  <c r="Q2020"/>
  <c r="Q2019"/>
  <c r="Q2018"/>
  <c r="Q2017"/>
  <c r="Q2016"/>
  <c r="Q2015"/>
  <c r="Q2014"/>
  <c r="Q2013"/>
  <c r="Q2012"/>
  <c r="Q2011"/>
  <c r="Q2010"/>
  <c r="O2010"/>
  <c r="O2025" s="1"/>
  <c r="N2010"/>
  <c r="N2025" s="1"/>
  <c r="M2010"/>
  <c r="M2024" s="1"/>
  <c r="L2010"/>
  <c r="L2024" s="1"/>
  <c r="K2010"/>
  <c r="K2025" s="1"/>
  <c r="J2010"/>
  <c r="J2025" s="1"/>
  <c r="I2010"/>
  <c r="I2024" s="1"/>
  <c r="H2010"/>
  <c r="H2024" s="1"/>
  <c r="G2010"/>
  <c r="G2025" s="1"/>
  <c r="F2010"/>
  <c r="F2025" s="1"/>
  <c r="E2010"/>
  <c r="E2024" s="1"/>
  <c r="D2010"/>
  <c r="D2024" s="1"/>
  <c r="Q2009"/>
  <c r="Q2008"/>
  <c r="P2007"/>
  <c r="Q2007" s="1"/>
  <c r="P2006"/>
  <c r="Q2006" s="1"/>
  <c r="Q2005"/>
  <c r="Q2004"/>
  <c r="Q2003"/>
  <c r="Q2002"/>
  <c r="Q2001"/>
  <c r="Q2000"/>
  <c r="Q1999"/>
  <c r="Q1998"/>
  <c r="Q1997"/>
  <c r="Q1996"/>
  <c r="Q1995"/>
  <c r="Q1994"/>
  <c r="Q1993"/>
  <c r="Q1992"/>
  <c r="O1992"/>
  <c r="O2007" s="1"/>
  <c r="N1992"/>
  <c r="N2007" s="1"/>
  <c r="M1992"/>
  <c r="M2006" s="1"/>
  <c r="L1992"/>
  <c r="L2006" s="1"/>
  <c r="K1992"/>
  <c r="K2007" s="1"/>
  <c r="J1992"/>
  <c r="J2007" s="1"/>
  <c r="I1992"/>
  <c r="I2006" s="1"/>
  <c r="H1992"/>
  <c r="H2006" s="1"/>
  <c r="G1992"/>
  <c r="G2007" s="1"/>
  <c r="F1992"/>
  <c r="F2007" s="1"/>
  <c r="E1992"/>
  <c r="E2006" s="1"/>
  <c r="D1992"/>
  <c r="D2006" s="1"/>
  <c r="Q1991"/>
  <c r="Q1990"/>
  <c r="P1989"/>
  <c r="Q1989" s="1"/>
  <c r="P1988"/>
  <c r="Q1988" s="1"/>
  <c r="Q1987"/>
  <c r="Q1986"/>
  <c r="Q1985"/>
  <c r="Q1984"/>
  <c r="Q1983"/>
  <c r="Q1982"/>
  <c r="Q1981"/>
  <c r="Q1980"/>
  <c r="Q1979"/>
  <c r="Q1978"/>
  <c r="Q1977"/>
  <c r="Q1976"/>
  <c r="Q1975"/>
  <c r="Q1974"/>
  <c r="O1974"/>
  <c r="O1989" s="1"/>
  <c r="N1974"/>
  <c r="N1989" s="1"/>
  <c r="M1974"/>
  <c r="M1988" s="1"/>
  <c r="L1974"/>
  <c r="L1988" s="1"/>
  <c r="K1974"/>
  <c r="K1989" s="1"/>
  <c r="J1974"/>
  <c r="J1989" s="1"/>
  <c r="I1974"/>
  <c r="I1988" s="1"/>
  <c r="H1974"/>
  <c r="H1988" s="1"/>
  <c r="G1974"/>
  <c r="G1989" s="1"/>
  <c r="F1974"/>
  <c r="F1989" s="1"/>
  <c r="E1974"/>
  <c r="E1988" s="1"/>
  <c r="D1974"/>
  <c r="D1988" s="1"/>
  <c r="Q1973"/>
  <c r="Q1972"/>
  <c r="P1971"/>
  <c r="Q1971" s="1"/>
  <c r="P1970"/>
  <c r="Q1970" s="1"/>
  <c r="Q1969"/>
  <c r="Q1968"/>
  <c r="Q1967"/>
  <c r="Q1966"/>
  <c r="Q1965"/>
  <c r="Q1964"/>
  <c r="Q1963"/>
  <c r="Q1962"/>
  <c r="Q1961"/>
  <c r="Q1960"/>
  <c r="Q1959"/>
  <c r="Q1958"/>
  <c r="Q1957"/>
  <c r="Q1956"/>
  <c r="O1956"/>
  <c r="O1971" s="1"/>
  <c r="N1956"/>
  <c r="N1971" s="1"/>
  <c r="M1956"/>
  <c r="M1970" s="1"/>
  <c r="L1956"/>
  <c r="L1970" s="1"/>
  <c r="K1956"/>
  <c r="K1971" s="1"/>
  <c r="J1956"/>
  <c r="J1971" s="1"/>
  <c r="I1956"/>
  <c r="I1970" s="1"/>
  <c r="H1956"/>
  <c r="H1970" s="1"/>
  <c r="G1956"/>
  <c r="G1971" s="1"/>
  <c r="F1956"/>
  <c r="F1971" s="1"/>
  <c r="E1956"/>
  <c r="E1970" s="1"/>
  <c r="D1956"/>
  <c r="D1970" s="1"/>
  <c r="Q1955"/>
  <c r="Q1954"/>
  <c r="P1953"/>
  <c r="Q1953" s="1"/>
  <c r="P1952"/>
  <c r="Q1952" s="1"/>
  <c r="Q1951"/>
  <c r="Q1950"/>
  <c r="Q1949"/>
  <c r="Q1948"/>
  <c r="Q1947"/>
  <c r="Q1946"/>
  <c r="Q1945"/>
  <c r="Q1944"/>
  <c r="Q1943"/>
  <c r="Q1942"/>
  <c r="Q1941"/>
  <c r="Q1940"/>
  <c r="Q1939"/>
  <c r="Q1938"/>
  <c r="O1938"/>
  <c r="O1953" s="1"/>
  <c r="N1938"/>
  <c r="N1953" s="1"/>
  <c r="M1938"/>
  <c r="M1952" s="1"/>
  <c r="L1938"/>
  <c r="L1952" s="1"/>
  <c r="K1938"/>
  <c r="K1953" s="1"/>
  <c r="J1938"/>
  <c r="J1953" s="1"/>
  <c r="I1938"/>
  <c r="I1952" s="1"/>
  <c r="H1938"/>
  <c r="H1952" s="1"/>
  <c r="G1938"/>
  <c r="G1953" s="1"/>
  <c r="F1938"/>
  <c r="F1953" s="1"/>
  <c r="E1938"/>
  <c r="E1952" s="1"/>
  <c r="D1938"/>
  <c r="D1952" s="1"/>
  <c r="Q1937"/>
  <c r="Q1936"/>
  <c r="P1935"/>
  <c r="Q1935" s="1"/>
  <c r="P1934"/>
  <c r="Q1934" s="1"/>
  <c r="Q1933"/>
  <c r="Q1932"/>
  <c r="Q1931"/>
  <c r="Q1930"/>
  <c r="Q1929"/>
  <c r="Q1928"/>
  <c r="Q1927"/>
  <c r="Q1926"/>
  <c r="Q1925"/>
  <c r="Q1924"/>
  <c r="Q1923"/>
  <c r="Q1922"/>
  <c r="Q1921"/>
  <c r="Q1920"/>
  <c r="O1920"/>
  <c r="O1935" s="1"/>
  <c r="N1920"/>
  <c r="N1935" s="1"/>
  <c r="M1920"/>
  <c r="M1934" s="1"/>
  <c r="L1920"/>
  <c r="L1934" s="1"/>
  <c r="K1920"/>
  <c r="K1935" s="1"/>
  <c r="J1920"/>
  <c r="J1935" s="1"/>
  <c r="I1920"/>
  <c r="I1934" s="1"/>
  <c r="H1920"/>
  <c r="H1934" s="1"/>
  <c r="G1920"/>
  <c r="G1935" s="1"/>
  <c r="F1920"/>
  <c r="F1935" s="1"/>
  <c r="E1920"/>
  <c r="E1934" s="1"/>
  <c r="D1920"/>
  <c r="D1934" s="1"/>
  <c r="Q1919"/>
  <c r="Q1918"/>
  <c r="P1917"/>
  <c r="Q1917" s="1"/>
  <c r="P1916"/>
  <c r="Q1916" s="1"/>
  <c r="Q1915"/>
  <c r="Q1914"/>
  <c r="Q1913"/>
  <c r="Q1912"/>
  <c r="Q1911"/>
  <c r="Q1910"/>
  <c r="Q1909"/>
  <c r="Q1908"/>
  <c r="Q1907"/>
  <c r="Q1906"/>
  <c r="Q1905"/>
  <c r="Q1904"/>
  <c r="Q1903"/>
  <c r="Q1902"/>
  <c r="O1902"/>
  <c r="O1917" s="1"/>
  <c r="N1902"/>
  <c r="N1917" s="1"/>
  <c r="M1902"/>
  <c r="M1916" s="1"/>
  <c r="L1902"/>
  <c r="L1916" s="1"/>
  <c r="K1902"/>
  <c r="K1917" s="1"/>
  <c r="J1902"/>
  <c r="J1917" s="1"/>
  <c r="I1902"/>
  <c r="I1916" s="1"/>
  <c r="H1902"/>
  <c r="H1916" s="1"/>
  <c r="G1902"/>
  <c r="G1917" s="1"/>
  <c r="F1902"/>
  <c r="F1917" s="1"/>
  <c r="E1902"/>
  <c r="E1916" s="1"/>
  <c r="D1902"/>
  <c r="D1916" s="1"/>
  <c r="Q1901"/>
  <c r="Q1900"/>
  <c r="P1899"/>
  <c r="Q1899" s="1"/>
  <c r="P1898"/>
  <c r="Q1898" s="1"/>
  <c r="Q1897"/>
  <c r="Q1896"/>
  <c r="Q1895"/>
  <c r="Q1894"/>
  <c r="Q1893"/>
  <c r="Q1892"/>
  <c r="Q1891"/>
  <c r="Q1890"/>
  <c r="Q1889"/>
  <c r="Q1888"/>
  <c r="Q1887"/>
  <c r="Q1886"/>
  <c r="Q1885"/>
  <c r="Q1884"/>
  <c r="O1884"/>
  <c r="O1899" s="1"/>
  <c r="N1884"/>
  <c r="N1899" s="1"/>
  <c r="M1884"/>
  <c r="M1898" s="1"/>
  <c r="L1884"/>
  <c r="L1898" s="1"/>
  <c r="K1884"/>
  <c r="K1899" s="1"/>
  <c r="J1884"/>
  <c r="J1899" s="1"/>
  <c r="I1884"/>
  <c r="I1898" s="1"/>
  <c r="H1884"/>
  <c r="H1898" s="1"/>
  <c r="G1884"/>
  <c r="G1899" s="1"/>
  <c r="F1884"/>
  <c r="F1899" s="1"/>
  <c r="E1884"/>
  <c r="E1898" s="1"/>
  <c r="D1884"/>
  <c r="D1898" s="1"/>
  <c r="Q1883"/>
  <c r="Q1882"/>
  <c r="P1881"/>
  <c r="Q1881" s="1"/>
  <c r="P1880"/>
  <c r="Q1880" s="1"/>
  <c r="Q1879"/>
  <c r="Q1878"/>
  <c r="Q1877"/>
  <c r="Q1876"/>
  <c r="Q1875"/>
  <c r="Q1874"/>
  <c r="Q1873"/>
  <c r="Q1872"/>
  <c r="Q1871"/>
  <c r="Q1870"/>
  <c r="Q1869"/>
  <c r="Q1868"/>
  <c r="Q1867"/>
  <c r="Q1866"/>
  <c r="O1866"/>
  <c r="O1881" s="1"/>
  <c r="N1866"/>
  <c r="N1881" s="1"/>
  <c r="M1866"/>
  <c r="M1880" s="1"/>
  <c r="L1866"/>
  <c r="L1880" s="1"/>
  <c r="K1866"/>
  <c r="K1881" s="1"/>
  <c r="J1866"/>
  <c r="J1881" s="1"/>
  <c r="I1866"/>
  <c r="I1880" s="1"/>
  <c r="H1866"/>
  <c r="H1880" s="1"/>
  <c r="G1866"/>
  <c r="G1881" s="1"/>
  <c r="F1866"/>
  <c r="F1881" s="1"/>
  <c r="E1866"/>
  <c r="E1880" s="1"/>
  <c r="D1866"/>
  <c r="D1880" s="1"/>
  <c r="Q1865"/>
  <c r="Q1864"/>
  <c r="P1863"/>
  <c r="Q1863" s="1"/>
  <c r="P1862"/>
  <c r="Q1862" s="1"/>
  <c r="Q1861"/>
  <c r="Q1860"/>
  <c r="Q1859"/>
  <c r="Q1858"/>
  <c r="Q1857"/>
  <c r="Q1856"/>
  <c r="Q1855"/>
  <c r="Q1854"/>
  <c r="Q1853"/>
  <c r="Q1852"/>
  <c r="Q1851"/>
  <c r="Q1850"/>
  <c r="Q1849"/>
  <c r="Q1848"/>
  <c r="O1848"/>
  <c r="O1863" s="1"/>
  <c r="N1848"/>
  <c r="N1863" s="1"/>
  <c r="M1848"/>
  <c r="M1862" s="1"/>
  <c r="L1848"/>
  <c r="L1863" s="1"/>
  <c r="K1848"/>
  <c r="K1863" s="1"/>
  <c r="J1848"/>
  <c r="J1863" s="1"/>
  <c r="I1848"/>
  <c r="I1862" s="1"/>
  <c r="H1848"/>
  <c r="H1863" s="1"/>
  <c r="G1848"/>
  <c r="G1863" s="1"/>
  <c r="F1848"/>
  <c r="F1863" s="1"/>
  <c r="E1848"/>
  <c r="E1862" s="1"/>
  <c r="D1848"/>
  <c r="D1863" s="1"/>
  <c r="Q1847"/>
  <c r="Q1846"/>
  <c r="P1845"/>
  <c r="Q1845" s="1"/>
  <c r="P1844"/>
  <c r="Q1844" s="1"/>
  <c r="Q1843"/>
  <c r="Q1842"/>
  <c r="Q1841"/>
  <c r="Q1840"/>
  <c r="Q1839"/>
  <c r="Q1838"/>
  <c r="Q1837"/>
  <c r="Q1836"/>
  <c r="Q1835"/>
  <c r="Q1834"/>
  <c r="Q1833"/>
  <c r="Q1832"/>
  <c r="Q1831"/>
  <c r="Q1830"/>
  <c r="O1830"/>
  <c r="O1845" s="1"/>
  <c r="N1830"/>
  <c r="N1845" s="1"/>
  <c r="M1830"/>
  <c r="M1844" s="1"/>
  <c r="L1830"/>
  <c r="L1844" s="1"/>
  <c r="K1830"/>
  <c r="K1845" s="1"/>
  <c r="J1830"/>
  <c r="J1845" s="1"/>
  <c r="I1830"/>
  <c r="I1844" s="1"/>
  <c r="H1830"/>
  <c r="H1844" s="1"/>
  <c r="G1830"/>
  <c r="G1845" s="1"/>
  <c r="F1830"/>
  <c r="F1845" s="1"/>
  <c r="E1830"/>
  <c r="E1844" s="1"/>
  <c r="D1830"/>
  <c r="D1844" s="1"/>
  <c r="Q1829"/>
  <c r="Q1828"/>
  <c r="P1827"/>
  <c r="Q1827" s="1"/>
  <c r="P1826"/>
  <c r="Q1826" s="1"/>
  <c r="Q1825"/>
  <c r="Q1824"/>
  <c r="Q1823"/>
  <c r="Q1822"/>
  <c r="Q1821"/>
  <c r="Q1820"/>
  <c r="Q1819"/>
  <c r="Q1818"/>
  <c r="Q1817"/>
  <c r="Q1816"/>
  <c r="Q1815"/>
  <c r="Q1814"/>
  <c r="Q1813"/>
  <c r="Q1812"/>
  <c r="O1812"/>
  <c r="O1827" s="1"/>
  <c r="N1812"/>
  <c r="N1827" s="1"/>
  <c r="M1812"/>
  <c r="M1826" s="1"/>
  <c r="L1812"/>
  <c r="L1826" s="1"/>
  <c r="K1812"/>
  <c r="K1827" s="1"/>
  <c r="J1812"/>
  <c r="J1827" s="1"/>
  <c r="I1812"/>
  <c r="I1826" s="1"/>
  <c r="H1812"/>
  <c r="H1826" s="1"/>
  <c r="G1812"/>
  <c r="G1827" s="1"/>
  <c r="F1812"/>
  <c r="F1827" s="1"/>
  <c r="E1812"/>
  <c r="E1826" s="1"/>
  <c r="D1812"/>
  <c r="D1826" s="1"/>
  <c r="Q1811"/>
  <c r="Q1810"/>
  <c r="P1809"/>
  <c r="Q1809" s="1"/>
  <c r="P1808"/>
  <c r="Q1808" s="1"/>
  <c r="Q1807"/>
  <c r="Q1806"/>
  <c r="Q1805"/>
  <c r="Q1804"/>
  <c r="Q1803"/>
  <c r="Q1802"/>
  <c r="Q1801"/>
  <c r="Q1800"/>
  <c r="Q1799"/>
  <c r="Q1798"/>
  <c r="Q1797"/>
  <c r="Q1796"/>
  <c r="Q1795"/>
  <c r="Q1794"/>
  <c r="O1794"/>
  <c r="O1809" s="1"/>
  <c r="N1794"/>
  <c r="N1809" s="1"/>
  <c r="M1794"/>
  <c r="M1808" s="1"/>
  <c r="L1794"/>
  <c r="L1808" s="1"/>
  <c r="K1794"/>
  <c r="K1809" s="1"/>
  <c r="J1794"/>
  <c r="J1809" s="1"/>
  <c r="I1794"/>
  <c r="I1808" s="1"/>
  <c r="H1794"/>
  <c r="H1808" s="1"/>
  <c r="G1794"/>
  <c r="G1809" s="1"/>
  <c r="F1794"/>
  <c r="F1809" s="1"/>
  <c r="E1794"/>
  <c r="E1808" s="1"/>
  <c r="D1794"/>
  <c r="D1808" s="1"/>
  <c r="Q1793"/>
  <c r="Q1792"/>
  <c r="P1791"/>
  <c r="Q1791" s="1"/>
  <c r="P1790"/>
  <c r="Q1790" s="1"/>
  <c r="Q1789"/>
  <c r="Q1788"/>
  <c r="Q1787"/>
  <c r="Q1786"/>
  <c r="Q1785"/>
  <c r="Q1784"/>
  <c r="Q1783"/>
  <c r="Q1782"/>
  <c r="Q1781"/>
  <c r="Q1780"/>
  <c r="Q1779"/>
  <c r="Q1778"/>
  <c r="Q1777"/>
  <c r="Q1776"/>
  <c r="O1776"/>
  <c r="O1791" s="1"/>
  <c r="N1776"/>
  <c r="N1791" s="1"/>
  <c r="M1776"/>
  <c r="M1790" s="1"/>
  <c r="L1776"/>
  <c r="L1790" s="1"/>
  <c r="K1776"/>
  <c r="K1791" s="1"/>
  <c r="J1776"/>
  <c r="J1791" s="1"/>
  <c r="I1776"/>
  <c r="I1790" s="1"/>
  <c r="H1776"/>
  <c r="H1790" s="1"/>
  <c r="G1776"/>
  <c r="G1791" s="1"/>
  <c r="F1776"/>
  <c r="F1791" s="1"/>
  <c r="E1776"/>
  <c r="E1790" s="1"/>
  <c r="D1776"/>
  <c r="D1790" s="1"/>
  <c r="Q1775"/>
  <c r="Q1774"/>
  <c r="P1773"/>
  <c r="Q1773" s="1"/>
  <c r="P1772"/>
  <c r="Q1772" s="1"/>
  <c r="Q1771"/>
  <c r="Q1770"/>
  <c r="Q1769"/>
  <c r="Q1768"/>
  <c r="Q1767"/>
  <c r="Q1766"/>
  <c r="Q1765"/>
  <c r="Q1764"/>
  <c r="Q1763"/>
  <c r="Q1762"/>
  <c r="Q1761"/>
  <c r="Q1760"/>
  <c r="Q1759"/>
  <c r="Q1758"/>
  <c r="O1758"/>
  <c r="O1773" s="1"/>
  <c r="N1758"/>
  <c r="N1773" s="1"/>
  <c r="M1758"/>
  <c r="M1772" s="1"/>
  <c r="L1758"/>
  <c r="L1772" s="1"/>
  <c r="K1758"/>
  <c r="K1773" s="1"/>
  <c r="J1758"/>
  <c r="J1773" s="1"/>
  <c r="I1758"/>
  <c r="I1772" s="1"/>
  <c r="H1758"/>
  <c r="H1772" s="1"/>
  <c r="G1758"/>
  <c r="G1773" s="1"/>
  <c r="F1758"/>
  <c r="F1773" s="1"/>
  <c r="E1758"/>
  <c r="E1772" s="1"/>
  <c r="D1758"/>
  <c r="D1772" s="1"/>
  <c r="Q1757"/>
  <c r="Q1756"/>
  <c r="P1755"/>
  <c r="Q1755" s="1"/>
  <c r="P1754"/>
  <c r="Q1754" s="1"/>
  <c r="Q1753"/>
  <c r="Q1752"/>
  <c r="Q1751"/>
  <c r="Q1750"/>
  <c r="Q1749"/>
  <c r="Q1748"/>
  <c r="Q1747"/>
  <c r="Q1746"/>
  <c r="Q1745"/>
  <c r="Q1744"/>
  <c r="Q1743"/>
  <c r="Q1742"/>
  <c r="Q1741"/>
  <c r="Q1740"/>
  <c r="O1740"/>
  <c r="O1755" s="1"/>
  <c r="N1740"/>
  <c r="N1755" s="1"/>
  <c r="M1740"/>
  <c r="M1754" s="1"/>
  <c r="L1740"/>
  <c r="L1755" s="1"/>
  <c r="K1740"/>
  <c r="K1755" s="1"/>
  <c r="J1740"/>
  <c r="J1755" s="1"/>
  <c r="I1740"/>
  <c r="I1754" s="1"/>
  <c r="H1740"/>
  <c r="H1755" s="1"/>
  <c r="G1740"/>
  <c r="G1755" s="1"/>
  <c r="F1740"/>
  <c r="F1755" s="1"/>
  <c r="E1740"/>
  <c r="E1754" s="1"/>
  <c r="D1740"/>
  <c r="D1755" s="1"/>
  <c r="Q1739"/>
  <c r="Q1738"/>
  <c r="P1737"/>
  <c r="Q1737" s="1"/>
  <c r="P1736"/>
  <c r="Q1736" s="1"/>
  <c r="Q1735"/>
  <c r="Q1734"/>
  <c r="Q1733"/>
  <c r="Q1732"/>
  <c r="Q1731"/>
  <c r="Q1730"/>
  <c r="Q1729"/>
  <c r="Q1728"/>
  <c r="Q1727"/>
  <c r="Q1726"/>
  <c r="Q1725"/>
  <c r="Q1724"/>
  <c r="Q1723"/>
  <c r="Q1722"/>
  <c r="O1722"/>
  <c r="O1737" s="1"/>
  <c r="N1722"/>
  <c r="N1737" s="1"/>
  <c r="M1722"/>
  <c r="M1736" s="1"/>
  <c r="L1722"/>
  <c r="L1736" s="1"/>
  <c r="K1722"/>
  <c r="K1737" s="1"/>
  <c r="J1722"/>
  <c r="J1737" s="1"/>
  <c r="I1722"/>
  <c r="I1736" s="1"/>
  <c r="H1722"/>
  <c r="H1736" s="1"/>
  <c r="G1722"/>
  <c r="G1737" s="1"/>
  <c r="F1722"/>
  <c r="F1737" s="1"/>
  <c r="E1722"/>
  <c r="E1736" s="1"/>
  <c r="D1722"/>
  <c r="D1736" s="1"/>
  <c r="Q1721"/>
  <c r="Q1720"/>
  <c r="P1719"/>
  <c r="Q1719" s="1"/>
  <c r="P1718"/>
  <c r="Q1718" s="1"/>
  <c r="Q1717"/>
  <c r="Q1716"/>
  <c r="Q1715"/>
  <c r="Q1714"/>
  <c r="Q1713"/>
  <c r="Q1712"/>
  <c r="Q1711"/>
  <c r="Q1710"/>
  <c r="Q1709"/>
  <c r="Q1708"/>
  <c r="Q1707"/>
  <c r="Q1706"/>
  <c r="Q1705"/>
  <c r="Q1704"/>
  <c r="O1704"/>
  <c r="O1719" s="1"/>
  <c r="N1704"/>
  <c r="N1719" s="1"/>
  <c r="M1704"/>
  <c r="M1718" s="1"/>
  <c r="L1704"/>
  <c r="L1719" s="1"/>
  <c r="K1704"/>
  <c r="K1719" s="1"/>
  <c r="J1704"/>
  <c r="J1719" s="1"/>
  <c r="I1704"/>
  <c r="I1718" s="1"/>
  <c r="H1704"/>
  <c r="H1719" s="1"/>
  <c r="G1704"/>
  <c r="G1719" s="1"/>
  <c r="F1704"/>
  <c r="F1719" s="1"/>
  <c r="E1704"/>
  <c r="E1718" s="1"/>
  <c r="D1704"/>
  <c r="D1719" s="1"/>
  <c r="Q1703"/>
  <c r="Q1702"/>
  <c r="P1701"/>
  <c r="Q1701" s="1"/>
  <c r="P1700"/>
  <c r="Q1700" s="1"/>
  <c r="Q1699"/>
  <c r="Q1698"/>
  <c r="Q1697"/>
  <c r="Q1696"/>
  <c r="Q1695"/>
  <c r="Q1694"/>
  <c r="Q1693"/>
  <c r="Q1692"/>
  <c r="Q1691"/>
  <c r="Q1690"/>
  <c r="Q1689"/>
  <c r="Q1688"/>
  <c r="Q1687"/>
  <c r="Q1686"/>
  <c r="O1686"/>
  <c r="O1701" s="1"/>
  <c r="N1686"/>
  <c r="N1701" s="1"/>
  <c r="M1686"/>
  <c r="M1700" s="1"/>
  <c r="L1686"/>
  <c r="L1700" s="1"/>
  <c r="K1686"/>
  <c r="K1701" s="1"/>
  <c r="J1686"/>
  <c r="J1701" s="1"/>
  <c r="I1686"/>
  <c r="I1700" s="1"/>
  <c r="H1686"/>
  <c r="H1700" s="1"/>
  <c r="G1686"/>
  <c r="G1701" s="1"/>
  <c r="F1686"/>
  <c r="F1701" s="1"/>
  <c r="E1686"/>
  <c r="E1700" s="1"/>
  <c r="D1686"/>
  <c r="D1700" s="1"/>
  <c r="Q1685"/>
  <c r="Q1684"/>
  <c r="P1683"/>
  <c r="Q1683" s="1"/>
  <c r="P1682"/>
  <c r="Q1682" s="1"/>
  <c r="Q1681"/>
  <c r="Q1680"/>
  <c r="Q1679"/>
  <c r="Q1678"/>
  <c r="Q1677"/>
  <c r="Q1676"/>
  <c r="Q1675"/>
  <c r="Q1674"/>
  <c r="Q1673"/>
  <c r="Q1672"/>
  <c r="Q1671"/>
  <c r="Q1670"/>
  <c r="Q1669"/>
  <c r="Q1668"/>
  <c r="O1668"/>
  <c r="O1683" s="1"/>
  <c r="N1668"/>
  <c r="N1683" s="1"/>
  <c r="M1668"/>
  <c r="M1682" s="1"/>
  <c r="L1668"/>
  <c r="L1682" s="1"/>
  <c r="K1668"/>
  <c r="K1683" s="1"/>
  <c r="J1668"/>
  <c r="J1683" s="1"/>
  <c r="I1668"/>
  <c r="I1682" s="1"/>
  <c r="H1668"/>
  <c r="H1682" s="1"/>
  <c r="G1668"/>
  <c r="G1683" s="1"/>
  <c r="F1668"/>
  <c r="F1683" s="1"/>
  <c r="E1668"/>
  <c r="E1682" s="1"/>
  <c r="D1668"/>
  <c r="D1682" s="1"/>
  <c r="Q1667"/>
  <c r="Q1666"/>
  <c r="P1665"/>
  <c r="Q1665" s="1"/>
  <c r="P1664"/>
  <c r="Q1664" s="1"/>
  <c r="Q1663"/>
  <c r="Q1662"/>
  <c r="Q1661"/>
  <c r="Q1660"/>
  <c r="Q1659"/>
  <c r="Q1658"/>
  <c r="Q1657"/>
  <c r="Q1656"/>
  <c r="Q1655"/>
  <c r="Q1654"/>
  <c r="Q1653"/>
  <c r="Q1652"/>
  <c r="Q1651"/>
  <c r="Q1650"/>
  <c r="O1650"/>
  <c r="O1665" s="1"/>
  <c r="N1650"/>
  <c r="N1665" s="1"/>
  <c r="M1650"/>
  <c r="M1664" s="1"/>
  <c r="L1650"/>
  <c r="L1664" s="1"/>
  <c r="K1650"/>
  <c r="K1665" s="1"/>
  <c r="J1650"/>
  <c r="J1665" s="1"/>
  <c r="I1650"/>
  <c r="I1664" s="1"/>
  <c r="H1650"/>
  <c r="H1664" s="1"/>
  <c r="G1650"/>
  <c r="G1665" s="1"/>
  <c r="F1650"/>
  <c r="F1665" s="1"/>
  <c r="E1650"/>
  <c r="E1664" s="1"/>
  <c r="D1650"/>
  <c r="D1664" s="1"/>
  <c r="Q1649"/>
  <c r="Q1648"/>
  <c r="P1647"/>
  <c r="Q1647" s="1"/>
  <c r="P1646"/>
  <c r="Q1646" s="1"/>
  <c r="Q1645"/>
  <c r="Q1644"/>
  <c r="Q1643"/>
  <c r="Q1642"/>
  <c r="Q1641"/>
  <c r="Q1640"/>
  <c r="Q1639"/>
  <c r="Q1638"/>
  <c r="Q1637"/>
  <c r="Q1636"/>
  <c r="Q1635"/>
  <c r="Q1634"/>
  <c r="Q1633"/>
  <c r="Q1632"/>
  <c r="O1632"/>
  <c r="O1647" s="1"/>
  <c r="N1632"/>
  <c r="N1647" s="1"/>
  <c r="M1632"/>
  <c r="M1646" s="1"/>
  <c r="L1632"/>
  <c r="L1646" s="1"/>
  <c r="K1632"/>
  <c r="K1647" s="1"/>
  <c r="J1632"/>
  <c r="J1647" s="1"/>
  <c r="I1632"/>
  <c r="I1646" s="1"/>
  <c r="H1632"/>
  <c r="H1646" s="1"/>
  <c r="G1632"/>
  <c r="G1647" s="1"/>
  <c r="F1632"/>
  <c r="F1647" s="1"/>
  <c r="E1632"/>
  <c r="E1646" s="1"/>
  <c r="D1632"/>
  <c r="D1646" s="1"/>
  <c r="Q1631"/>
  <c r="Q1630"/>
  <c r="P1629"/>
  <c r="Q1629" s="1"/>
  <c r="P1628"/>
  <c r="Q1628" s="1"/>
  <c r="Q1627"/>
  <c r="Q1626"/>
  <c r="Q1625"/>
  <c r="Q1624"/>
  <c r="Q1623"/>
  <c r="Q1622"/>
  <c r="Q1621"/>
  <c r="Q1620"/>
  <c r="Q1619"/>
  <c r="Q1618"/>
  <c r="Q1617"/>
  <c r="Q1616"/>
  <c r="Q1615"/>
  <c r="Q1614"/>
  <c r="O1614"/>
  <c r="O1629" s="1"/>
  <c r="N1614"/>
  <c r="N1629" s="1"/>
  <c r="M1614"/>
  <c r="M1628" s="1"/>
  <c r="L1614"/>
  <c r="L1628" s="1"/>
  <c r="K1614"/>
  <c r="K1629" s="1"/>
  <c r="J1614"/>
  <c r="J1629" s="1"/>
  <c r="I1614"/>
  <c r="I1628" s="1"/>
  <c r="H1614"/>
  <c r="H1628" s="1"/>
  <c r="G1614"/>
  <c r="G1629" s="1"/>
  <c r="F1614"/>
  <c r="F1629" s="1"/>
  <c r="E1614"/>
  <c r="E1628" s="1"/>
  <c r="D1614"/>
  <c r="D1628" s="1"/>
  <c r="Q1613"/>
  <c r="Q1612"/>
  <c r="P1611"/>
  <c r="Q1611" s="1"/>
  <c r="P1610"/>
  <c r="Q1610" s="1"/>
  <c r="Q1609"/>
  <c r="Q1608"/>
  <c r="Q1607"/>
  <c r="Q1606"/>
  <c r="Q1605"/>
  <c r="Q1604"/>
  <c r="Q1603"/>
  <c r="Q1602"/>
  <c r="Q1601"/>
  <c r="Q1600"/>
  <c r="Q1599"/>
  <c r="Q1598"/>
  <c r="Q1597"/>
  <c r="Q1596"/>
  <c r="O1596"/>
  <c r="O1611" s="1"/>
  <c r="N1596"/>
  <c r="N1611" s="1"/>
  <c r="M1596"/>
  <c r="M1610" s="1"/>
  <c r="L1596"/>
  <c r="L1610" s="1"/>
  <c r="K1596"/>
  <c r="K1611" s="1"/>
  <c r="J1596"/>
  <c r="J1611" s="1"/>
  <c r="I1596"/>
  <c r="I1610" s="1"/>
  <c r="H1596"/>
  <c r="H1610" s="1"/>
  <c r="G1596"/>
  <c r="G1611" s="1"/>
  <c r="F1596"/>
  <c r="F1611" s="1"/>
  <c r="E1596"/>
  <c r="E1610" s="1"/>
  <c r="D1596"/>
  <c r="D1610" s="1"/>
  <c r="Q1595"/>
  <c r="Q1594"/>
  <c r="C7" i="6"/>
  <c r="C17" s="1"/>
  <c r="P1593" i="25"/>
  <c r="Q1593" s="1"/>
  <c r="P1592"/>
  <c r="Q1592" s="1"/>
  <c r="Q1591"/>
  <c r="Q1590"/>
  <c r="Q1589"/>
  <c r="Q1588"/>
  <c r="Q1587"/>
  <c r="Q1586"/>
  <c r="Q1585"/>
  <c r="Q1584"/>
  <c r="Q1583"/>
  <c r="Q1582"/>
  <c r="Q1581"/>
  <c r="Q1580"/>
  <c r="Q1579"/>
  <c r="Q1578"/>
  <c r="O1578"/>
  <c r="O1593" s="1"/>
  <c r="N1578"/>
  <c r="N1593" s="1"/>
  <c r="M1578"/>
  <c r="M1592" s="1"/>
  <c r="L1578"/>
  <c r="L1593" s="1"/>
  <c r="K1578"/>
  <c r="K1593" s="1"/>
  <c r="J1578"/>
  <c r="J1593" s="1"/>
  <c r="I1578"/>
  <c r="I1592" s="1"/>
  <c r="H1578"/>
  <c r="H1593" s="1"/>
  <c r="G1578"/>
  <c r="G1593" s="1"/>
  <c r="F1578"/>
  <c r="F1593" s="1"/>
  <c r="E1578"/>
  <c r="E1592" s="1"/>
  <c r="D1578"/>
  <c r="D1593" s="1"/>
  <c r="Q1577"/>
  <c r="Q1576"/>
  <c r="P1575"/>
  <c r="Q1575" s="1"/>
  <c r="P1574"/>
  <c r="Q1574" s="1"/>
  <c r="Q1573"/>
  <c r="Q1572"/>
  <c r="Q1571"/>
  <c r="Q1570"/>
  <c r="Q1569"/>
  <c r="Q1568"/>
  <c r="Q1567"/>
  <c r="Q1566"/>
  <c r="Q1565"/>
  <c r="Q1564"/>
  <c r="Q1563"/>
  <c r="Q1562"/>
  <c r="Q1561"/>
  <c r="Q1560"/>
  <c r="O1560"/>
  <c r="O1575" s="1"/>
  <c r="N1560"/>
  <c r="N1575" s="1"/>
  <c r="M1560"/>
  <c r="M1574" s="1"/>
  <c r="L1560"/>
  <c r="L1574" s="1"/>
  <c r="K1560"/>
  <c r="K1575" s="1"/>
  <c r="J1560"/>
  <c r="J1575" s="1"/>
  <c r="I1560"/>
  <c r="I1574" s="1"/>
  <c r="H1560"/>
  <c r="H1574" s="1"/>
  <c r="G1560"/>
  <c r="G1575" s="1"/>
  <c r="F1560"/>
  <c r="F1575" s="1"/>
  <c r="E1560"/>
  <c r="E1574" s="1"/>
  <c r="D1560"/>
  <c r="D1574" s="1"/>
  <c r="Q1559"/>
  <c r="Q1558"/>
  <c r="P678"/>
  <c r="O678"/>
  <c r="N678"/>
  <c r="M678"/>
  <c r="L678"/>
  <c r="K678"/>
  <c r="J678"/>
  <c r="I678"/>
  <c r="H678"/>
  <c r="G678"/>
  <c r="F678"/>
  <c r="E678"/>
  <c r="D678"/>
  <c r="P677"/>
  <c r="O677"/>
  <c r="N677"/>
  <c r="M677"/>
  <c r="L677"/>
  <c r="K677"/>
  <c r="J677"/>
  <c r="I677"/>
  <c r="H677"/>
  <c r="G677"/>
  <c r="F677"/>
  <c r="E677"/>
  <c r="D677"/>
  <c r="Q676"/>
  <c r="Q675"/>
  <c r="Q674"/>
  <c r="Q673"/>
  <c r="Q672"/>
  <c r="Q671"/>
  <c r="Q670"/>
  <c r="Q669"/>
  <c r="Q668"/>
  <c r="Q667"/>
  <c r="Q666"/>
  <c r="Q665"/>
  <c r="Q664"/>
  <c r="Q663"/>
  <c r="Q662"/>
  <c r="Q661"/>
  <c r="Q660"/>
  <c r="P659"/>
  <c r="O659"/>
  <c r="N659"/>
  <c r="M659"/>
  <c r="L659"/>
  <c r="K659"/>
  <c r="J659"/>
  <c r="I659"/>
  <c r="H659"/>
  <c r="G659"/>
  <c r="F659"/>
  <c r="E659"/>
  <c r="D659"/>
  <c r="P658"/>
  <c r="O658"/>
  <c r="N658"/>
  <c r="M658"/>
  <c r="L658"/>
  <c r="K658"/>
  <c r="J658"/>
  <c r="I658"/>
  <c r="H658"/>
  <c r="G658"/>
  <c r="F658"/>
  <c r="E658"/>
  <c r="D658"/>
  <c r="Q657"/>
  <c r="Q656"/>
  <c r="Q655"/>
  <c r="Q654"/>
  <c r="Q653"/>
  <c r="Q652"/>
  <c r="Q651"/>
  <c r="Q650"/>
  <c r="Q649"/>
  <c r="Q648"/>
  <c r="Q647"/>
  <c r="Q646"/>
  <c r="Q645"/>
  <c r="Q644"/>
  <c r="Q643"/>
  <c r="Q642"/>
  <c r="Q641"/>
  <c r="P640"/>
  <c r="O640"/>
  <c r="N640"/>
  <c r="M640"/>
  <c r="L640"/>
  <c r="K640"/>
  <c r="J640"/>
  <c r="I640"/>
  <c r="H640"/>
  <c r="G640"/>
  <c r="F640"/>
  <c r="E640"/>
  <c r="D640"/>
  <c r="P639"/>
  <c r="O639"/>
  <c r="N639"/>
  <c r="M639"/>
  <c r="L639"/>
  <c r="K639"/>
  <c r="J639"/>
  <c r="I639"/>
  <c r="H639"/>
  <c r="G639"/>
  <c r="F639"/>
  <c r="E639"/>
  <c r="D639"/>
  <c r="Q638"/>
  <c r="Q637"/>
  <c r="Q636"/>
  <c r="Q635"/>
  <c r="Q634"/>
  <c r="Q633"/>
  <c r="Q632"/>
  <c r="Q631"/>
  <c r="Q630"/>
  <c r="Q629"/>
  <c r="Q628"/>
  <c r="Q627"/>
  <c r="Q626"/>
  <c r="Q625"/>
  <c r="Q624"/>
  <c r="Q623"/>
  <c r="Q622"/>
  <c r="P621"/>
  <c r="O621"/>
  <c r="N621"/>
  <c r="M621"/>
  <c r="L621"/>
  <c r="K621"/>
  <c r="J621"/>
  <c r="I621"/>
  <c r="H621"/>
  <c r="G621"/>
  <c r="F621"/>
  <c r="E621"/>
  <c r="D621"/>
  <c r="P620"/>
  <c r="O620"/>
  <c r="N620"/>
  <c r="M620"/>
  <c r="L620"/>
  <c r="K620"/>
  <c r="J620"/>
  <c r="I620"/>
  <c r="H620"/>
  <c r="G620"/>
  <c r="F620"/>
  <c r="E620"/>
  <c r="D620"/>
  <c r="Q619"/>
  <c r="Q618"/>
  <c r="Q617"/>
  <c r="Q616"/>
  <c r="Q615"/>
  <c r="Q614"/>
  <c r="Q613"/>
  <c r="Q612"/>
  <c r="Q611"/>
  <c r="Q610"/>
  <c r="Q609"/>
  <c r="Q608"/>
  <c r="Q607"/>
  <c r="Q606"/>
  <c r="Q605"/>
  <c r="Q604"/>
  <c r="Q603"/>
  <c r="P602"/>
  <c r="O602"/>
  <c r="N602"/>
  <c r="M602"/>
  <c r="L602"/>
  <c r="K602"/>
  <c r="J602"/>
  <c r="I602"/>
  <c r="H602"/>
  <c r="G602"/>
  <c r="F602"/>
  <c r="E602"/>
  <c r="D602"/>
  <c r="P601"/>
  <c r="O601"/>
  <c r="N601"/>
  <c r="M601"/>
  <c r="L601"/>
  <c r="K601"/>
  <c r="J601"/>
  <c r="I601"/>
  <c r="H601"/>
  <c r="G601"/>
  <c r="F601"/>
  <c r="E601"/>
  <c r="D601"/>
  <c r="Q600"/>
  <c r="Q599"/>
  <c r="Q598"/>
  <c r="Q597"/>
  <c r="Q596"/>
  <c r="Q595"/>
  <c r="Q594"/>
  <c r="Q593"/>
  <c r="Q592"/>
  <c r="Q591"/>
  <c r="Q590"/>
  <c r="Q589"/>
  <c r="Q588"/>
  <c r="Q587"/>
  <c r="Q586"/>
  <c r="Q585"/>
  <c r="Q584"/>
  <c r="P583"/>
  <c r="O583"/>
  <c r="N583"/>
  <c r="M583"/>
  <c r="L583"/>
  <c r="K583"/>
  <c r="J583"/>
  <c r="I583"/>
  <c r="H583"/>
  <c r="G583"/>
  <c r="F583"/>
  <c r="E583"/>
  <c r="D583"/>
  <c r="P582"/>
  <c r="O582"/>
  <c r="N582"/>
  <c r="M582"/>
  <c r="L582"/>
  <c r="K582"/>
  <c r="J582"/>
  <c r="I582"/>
  <c r="H582"/>
  <c r="G582"/>
  <c r="F582"/>
  <c r="E582"/>
  <c r="D582"/>
  <c r="Q581"/>
  <c r="Q580"/>
  <c r="Q579"/>
  <c r="Q578"/>
  <c r="Q577"/>
  <c r="Q576"/>
  <c r="Q575"/>
  <c r="Q574"/>
  <c r="Q573"/>
  <c r="Q572"/>
  <c r="Q571"/>
  <c r="Q570"/>
  <c r="Q569"/>
  <c r="Q568"/>
  <c r="Q567"/>
  <c r="Q566"/>
  <c r="Q565"/>
  <c r="P564"/>
  <c r="O564"/>
  <c r="N564"/>
  <c r="M564"/>
  <c r="L564"/>
  <c r="K564"/>
  <c r="J564"/>
  <c r="I564"/>
  <c r="H564"/>
  <c r="G564"/>
  <c r="F564"/>
  <c r="E564"/>
  <c r="D564"/>
  <c r="P563"/>
  <c r="O563"/>
  <c r="N563"/>
  <c r="M563"/>
  <c r="L563"/>
  <c r="K563"/>
  <c r="J563"/>
  <c r="I563"/>
  <c r="H563"/>
  <c r="G563"/>
  <c r="F563"/>
  <c r="E563"/>
  <c r="D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P545"/>
  <c r="O545"/>
  <c r="N545"/>
  <c r="M545"/>
  <c r="L545"/>
  <c r="K545"/>
  <c r="J545"/>
  <c r="I545"/>
  <c r="H545"/>
  <c r="G545"/>
  <c r="F545"/>
  <c r="E545"/>
  <c r="D545"/>
  <c r="P544"/>
  <c r="O544"/>
  <c r="N544"/>
  <c r="M544"/>
  <c r="L544"/>
  <c r="K544"/>
  <c r="J544"/>
  <c r="I544"/>
  <c r="H544"/>
  <c r="G544"/>
  <c r="F544"/>
  <c r="E544"/>
  <c r="D544"/>
  <c r="Q543"/>
  <c r="Q542"/>
  <c r="Q541"/>
  <c r="Q540"/>
  <c r="Q539"/>
  <c r="Q538"/>
  <c r="Q537"/>
  <c r="Q536"/>
  <c r="Q535"/>
  <c r="Q534"/>
  <c r="Q533"/>
  <c r="Q532"/>
  <c r="Q531"/>
  <c r="Q530"/>
  <c r="Q529"/>
  <c r="Q528"/>
  <c r="Q527"/>
  <c r="P526"/>
  <c r="O526"/>
  <c r="N526"/>
  <c r="M526"/>
  <c r="L526"/>
  <c r="K526"/>
  <c r="J526"/>
  <c r="I526"/>
  <c r="H526"/>
  <c r="G526"/>
  <c r="F526"/>
  <c r="E526"/>
  <c r="D526"/>
  <c r="P525"/>
  <c r="O525"/>
  <c r="N525"/>
  <c r="M525"/>
  <c r="L525"/>
  <c r="K525"/>
  <c r="J525"/>
  <c r="I525"/>
  <c r="H525"/>
  <c r="G525"/>
  <c r="F525"/>
  <c r="E525"/>
  <c r="D525"/>
  <c r="Q524"/>
  <c r="Q523"/>
  <c r="Q522"/>
  <c r="Q521"/>
  <c r="Q520"/>
  <c r="Q519"/>
  <c r="Q518"/>
  <c r="Q517"/>
  <c r="Q516"/>
  <c r="Q515"/>
  <c r="Q514"/>
  <c r="Q513"/>
  <c r="Q512"/>
  <c r="Q511"/>
  <c r="Q510"/>
  <c r="Q509"/>
  <c r="Q508"/>
  <c r="P507"/>
  <c r="O507"/>
  <c r="N507"/>
  <c r="M507"/>
  <c r="L507"/>
  <c r="K507"/>
  <c r="J507"/>
  <c r="I507"/>
  <c r="H507"/>
  <c r="G507"/>
  <c r="F507"/>
  <c r="E507"/>
  <c r="D507"/>
  <c r="P506"/>
  <c r="O506"/>
  <c r="N506"/>
  <c r="M506"/>
  <c r="L506"/>
  <c r="K506"/>
  <c r="J506"/>
  <c r="I506"/>
  <c r="H506"/>
  <c r="G506"/>
  <c r="F506"/>
  <c r="E506"/>
  <c r="D506"/>
  <c r="Q505"/>
  <c r="Q504"/>
  <c r="Q503"/>
  <c r="Q502"/>
  <c r="Q501"/>
  <c r="Q500"/>
  <c r="Q499"/>
  <c r="Q498"/>
  <c r="Q497"/>
  <c r="Q496"/>
  <c r="Q495"/>
  <c r="Q494"/>
  <c r="Q493"/>
  <c r="Q492"/>
  <c r="Q491"/>
  <c r="Q490"/>
  <c r="Q489"/>
  <c r="P488"/>
  <c r="O488"/>
  <c r="N488"/>
  <c r="M488"/>
  <c r="L488"/>
  <c r="K488"/>
  <c r="J488"/>
  <c r="I488"/>
  <c r="H488"/>
  <c r="G488"/>
  <c r="F488"/>
  <c r="E488"/>
  <c r="D488"/>
  <c r="P487"/>
  <c r="O487"/>
  <c r="N487"/>
  <c r="M487"/>
  <c r="L487"/>
  <c r="K487"/>
  <c r="J487"/>
  <c r="I487"/>
  <c r="H487"/>
  <c r="G487"/>
  <c r="F487"/>
  <c r="E487"/>
  <c r="D487"/>
  <c r="Q486"/>
  <c r="Q485"/>
  <c r="Q484"/>
  <c r="Q483"/>
  <c r="Q482"/>
  <c r="Q481"/>
  <c r="Q480"/>
  <c r="Q479"/>
  <c r="Q478"/>
  <c r="Q477"/>
  <c r="Q476"/>
  <c r="Q475"/>
  <c r="Q474"/>
  <c r="Q473"/>
  <c r="Q472"/>
  <c r="Q471"/>
  <c r="Q470"/>
  <c r="P469"/>
  <c r="O469"/>
  <c r="N469"/>
  <c r="M469"/>
  <c r="L469"/>
  <c r="K469"/>
  <c r="J469"/>
  <c r="I469"/>
  <c r="H469"/>
  <c r="G469"/>
  <c r="F469"/>
  <c r="E469"/>
  <c r="D469"/>
  <c r="P468"/>
  <c r="O468"/>
  <c r="N468"/>
  <c r="M468"/>
  <c r="L468"/>
  <c r="K468"/>
  <c r="J468"/>
  <c r="I468"/>
  <c r="H468"/>
  <c r="G468"/>
  <c r="F468"/>
  <c r="E468"/>
  <c r="D468"/>
  <c r="Q467"/>
  <c r="Q466"/>
  <c r="Q465"/>
  <c r="Q464"/>
  <c r="Q463"/>
  <c r="Q462"/>
  <c r="Q461"/>
  <c r="Q460"/>
  <c r="Q459"/>
  <c r="Q458"/>
  <c r="Q457"/>
  <c r="Q456"/>
  <c r="Q455"/>
  <c r="Q454"/>
  <c r="Q453"/>
  <c r="Q452"/>
  <c r="Q451"/>
  <c r="P450"/>
  <c r="O450"/>
  <c r="N450"/>
  <c r="M450"/>
  <c r="L450"/>
  <c r="K450"/>
  <c r="J450"/>
  <c r="I450"/>
  <c r="H450"/>
  <c r="G450"/>
  <c r="F450"/>
  <c r="E450"/>
  <c r="D450"/>
  <c r="P449"/>
  <c r="O449"/>
  <c r="N449"/>
  <c r="M449"/>
  <c r="L449"/>
  <c r="K449"/>
  <c r="J449"/>
  <c r="I449"/>
  <c r="H449"/>
  <c r="G449"/>
  <c r="F449"/>
  <c r="E449"/>
  <c r="D449"/>
  <c r="Q448"/>
  <c r="Q447"/>
  <c r="Q446"/>
  <c r="Q445"/>
  <c r="Q444"/>
  <c r="Q443"/>
  <c r="Q442"/>
  <c r="Q441"/>
  <c r="Q440"/>
  <c r="Q439"/>
  <c r="Q438"/>
  <c r="Q437"/>
  <c r="Q436"/>
  <c r="Q435"/>
  <c r="Q434"/>
  <c r="Q433"/>
  <c r="Q432"/>
  <c r="P431"/>
  <c r="O431"/>
  <c r="N431"/>
  <c r="M431"/>
  <c r="L431"/>
  <c r="K431"/>
  <c r="J431"/>
  <c r="I431"/>
  <c r="H431"/>
  <c r="G431"/>
  <c r="F431"/>
  <c r="E431"/>
  <c r="D431"/>
  <c r="P430"/>
  <c r="O430"/>
  <c r="N430"/>
  <c r="M430"/>
  <c r="L430"/>
  <c r="K430"/>
  <c r="J430"/>
  <c r="I430"/>
  <c r="H430"/>
  <c r="G430"/>
  <c r="F430"/>
  <c r="E430"/>
  <c r="D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P412"/>
  <c r="O412"/>
  <c r="N412"/>
  <c r="M412"/>
  <c r="L412"/>
  <c r="K412"/>
  <c r="J412"/>
  <c r="I412"/>
  <c r="H412"/>
  <c r="G412"/>
  <c r="F412"/>
  <c r="E412"/>
  <c r="D412"/>
  <c r="P411"/>
  <c r="O411"/>
  <c r="N411"/>
  <c r="M411"/>
  <c r="L411"/>
  <c r="K411"/>
  <c r="J411"/>
  <c r="I411"/>
  <c r="H411"/>
  <c r="G411"/>
  <c r="F411"/>
  <c r="E411"/>
  <c r="D411"/>
  <c r="Q410"/>
  <c r="Q409"/>
  <c r="Q408"/>
  <c r="Q407"/>
  <c r="Q406"/>
  <c r="Q405"/>
  <c r="Q404"/>
  <c r="Q403"/>
  <c r="Q402"/>
  <c r="Q401"/>
  <c r="Q400"/>
  <c r="Q399"/>
  <c r="Q398"/>
  <c r="Q397"/>
  <c r="Q396"/>
  <c r="Q395"/>
  <c r="Q394"/>
  <c r="P393"/>
  <c r="O393"/>
  <c r="N393"/>
  <c r="M393"/>
  <c r="L393"/>
  <c r="K393"/>
  <c r="J393"/>
  <c r="I393"/>
  <c r="H393"/>
  <c r="G393"/>
  <c r="F393"/>
  <c r="E393"/>
  <c r="D393"/>
  <c r="P392"/>
  <c r="O392"/>
  <c r="N392"/>
  <c r="M392"/>
  <c r="L392"/>
  <c r="K392"/>
  <c r="J392"/>
  <c r="I392"/>
  <c r="H392"/>
  <c r="G392"/>
  <c r="F392"/>
  <c r="E392"/>
  <c r="D392"/>
  <c r="Q391"/>
  <c r="Q390"/>
  <c r="Q389"/>
  <c r="Q388"/>
  <c r="Q387"/>
  <c r="Q386"/>
  <c r="Q385"/>
  <c r="Q384"/>
  <c r="Q383"/>
  <c r="Q382"/>
  <c r="Q381"/>
  <c r="Q380"/>
  <c r="Q379"/>
  <c r="Q378"/>
  <c r="Q377"/>
  <c r="Q376"/>
  <c r="Q375"/>
  <c r="P374"/>
  <c r="O374"/>
  <c r="N374"/>
  <c r="M374"/>
  <c r="L374"/>
  <c r="K374"/>
  <c r="J374"/>
  <c r="I374"/>
  <c r="H374"/>
  <c r="G374"/>
  <c r="F374"/>
  <c r="E374"/>
  <c r="D374"/>
  <c r="P373"/>
  <c r="O373"/>
  <c r="N373"/>
  <c r="M373"/>
  <c r="L373"/>
  <c r="K373"/>
  <c r="J373"/>
  <c r="I373"/>
  <c r="H373"/>
  <c r="G373"/>
  <c r="F373"/>
  <c r="E373"/>
  <c r="D373"/>
  <c r="Q372"/>
  <c r="Q371"/>
  <c r="Q370"/>
  <c r="Q369"/>
  <c r="Q368"/>
  <c r="Q367"/>
  <c r="Q366"/>
  <c r="Q365"/>
  <c r="Q364"/>
  <c r="Q363"/>
  <c r="Q362"/>
  <c r="Q361"/>
  <c r="Q360"/>
  <c r="Q359"/>
  <c r="Q358"/>
  <c r="Q357"/>
  <c r="Q356"/>
  <c r="P355"/>
  <c r="O355"/>
  <c r="N355"/>
  <c r="M355"/>
  <c r="L355"/>
  <c r="K355"/>
  <c r="J355"/>
  <c r="I355"/>
  <c r="H355"/>
  <c r="G355"/>
  <c r="F355"/>
  <c r="E355"/>
  <c r="D355"/>
  <c r="P354"/>
  <c r="O354"/>
  <c r="N354"/>
  <c r="M354"/>
  <c r="L354"/>
  <c r="K354"/>
  <c r="J354"/>
  <c r="I354"/>
  <c r="H354"/>
  <c r="G354"/>
  <c r="F354"/>
  <c r="E354"/>
  <c r="D354"/>
  <c r="Q353"/>
  <c r="Q352"/>
  <c r="Q351"/>
  <c r="Q350"/>
  <c r="Q349"/>
  <c r="Q348"/>
  <c r="Q347"/>
  <c r="Q346"/>
  <c r="Q345"/>
  <c r="Q344"/>
  <c r="Q343"/>
  <c r="Q342"/>
  <c r="Q341"/>
  <c r="Q340"/>
  <c r="Q339"/>
  <c r="Q338"/>
  <c r="Q337"/>
  <c r="P1557"/>
  <c r="Q1557" s="1"/>
  <c r="P1556"/>
  <c r="Q1556" s="1"/>
  <c r="Q1555"/>
  <c r="Q1554"/>
  <c r="Q1553"/>
  <c r="Q1552"/>
  <c r="Q1551"/>
  <c r="Q1550"/>
  <c r="Q1549"/>
  <c r="Q1548"/>
  <c r="Q1547"/>
  <c r="Q1546"/>
  <c r="Q1545"/>
  <c r="Q1544"/>
  <c r="Q1543"/>
  <c r="Q1542"/>
  <c r="O1542"/>
  <c r="O1557" s="1"/>
  <c r="N1542"/>
  <c r="N1557" s="1"/>
  <c r="M1542"/>
  <c r="M1556" s="1"/>
  <c r="L1542"/>
  <c r="L1556" s="1"/>
  <c r="K1542"/>
  <c r="K1557" s="1"/>
  <c r="J1542"/>
  <c r="J1557" s="1"/>
  <c r="I1542"/>
  <c r="I1556" s="1"/>
  <c r="H1542"/>
  <c r="H1556" s="1"/>
  <c r="G1542"/>
  <c r="G1557" s="1"/>
  <c r="F1542"/>
  <c r="F1557" s="1"/>
  <c r="E1542"/>
  <c r="E1556" s="1"/>
  <c r="D1542"/>
  <c r="D1556" s="1"/>
  <c r="Q1541"/>
  <c r="Q1540"/>
  <c r="P1539"/>
  <c r="Q1539" s="1"/>
  <c r="P1538"/>
  <c r="Q1538" s="1"/>
  <c r="Q1537"/>
  <c r="Q1536"/>
  <c r="Q1535"/>
  <c r="Q1534"/>
  <c r="Q1533"/>
  <c r="Q1532"/>
  <c r="Q1531"/>
  <c r="Q1530"/>
  <c r="Q1529"/>
  <c r="Q1528"/>
  <c r="Q1527"/>
  <c r="Q1526"/>
  <c r="Q1525"/>
  <c r="Q1524"/>
  <c r="O1524"/>
  <c r="O1539" s="1"/>
  <c r="N1524"/>
  <c r="N1539" s="1"/>
  <c r="M1524"/>
  <c r="M1538" s="1"/>
  <c r="L1524"/>
  <c r="L1538" s="1"/>
  <c r="K1524"/>
  <c r="K1539" s="1"/>
  <c r="J1524"/>
  <c r="J1539" s="1"/>
  <c r="I1524"/>
  <c r="I1538" s="1"/>
  <c r="H1524"/>
  <c r="H1538" s="1"/>
  <c r="G1524"/>
  <c r="G1539" s="1"/>
  <c r="F1524"/>
  <c r="F1539" s="1"/>
  <c r="E1524"/>
  <c r="E1538" s="1"/>
  <c r="D1524"/>
  <c r="D1538" s="1"/>
  <c r="Q1523"/>
  <c r="Q1522"/>
  <c r="P1521"/>
  <c r="Q1521" s="1"/>
  <c r="P1520"/>
  <c r="Q1520" s="1"/>
  <c r="Q1519"/>
  <c r="Q1518"/>
  <c r="Q1517"/>
  <c r="Q1516"/>
  <c r="Q1515"/>
  <c r="Q1514"/>
  <c r="Q1513"/>
  <c r="Q1512"/>
  <c r="Q1511"/>
  <c r="Q1510"/>
  <c r="Q1509"/>
  <c r="Q1508"/>
  <c r="Q1507"/>
  <c r="Q1506"/>
  <c r="O1506"/>
  <c r="O1521" s="1"/>
  <c r="N1506"/>
  <c r="N1521" s="1"/>
  <c r="M1506"/>
  <c r="M1520" s="1"/>
  <c r="L1506"/>
  <c r="L1520" s="1"/>
  <c r="K1506"/>
  <c r="K1521" s="1"/>
  <c r="J1506"/>
  <c r="J1521" s="1"/>
  <c r="I1506"/>
  <c r="I1520" s="1"/>
  <c r="H1506"/>
  <c r="H1520" s="1"/>
  <c r="G1506"/>
  <c r="G1521" s="1"/>
  <c r="F1506"/>
  <c r="F1521" s="1"/>
  <c r="E1506"/>
  <c r="E1520" s="1"/>
  <c r="D1506"/>
  <c r="D1520" s="1"/>
  <c r="Q1505"/>
  <c r="Q1504"/>
  <c r="P1503"/>
  <c r="Q1503" s="1"/>
  <c r="P1502"/>
  <c r="Q1502" s="1"/>
  <c r="Q1501"/>
  <c r="Q1500"/>
  <c r="Q1499"/>
  <c r="Q1498"/>
  <c r="Q1497"/>
  <c r="Q1496"/>
  <c r="Q1495"/>
  <c r="Q1494"/>
  <c r="Q1493"/>
  <c r="Q1492"/>
  <c r="Q1491"/>
  <c r="Q1490"/>
  <c r="Q1489"/>
  <c r="Q1488"/>
  <c r="O1488"/>
  <c r="O1503" s="1"/>
  <c r="N1488"/>
  <c r="N1503" s="1"/>
  <c r="M1488"/>
  <c r="M1502" s="1"/>
  <c r="L1488"/>
  <c r="L1502" s="1"/>
  <c r="K1488"/>
  <c r="K1503" s="1"/>
  <c r="J1488"/>
  <c r="J1503" s="1"/>
  <c r="I1488"/>
  <c r="I1502" s="1"/>
  <c r="H1488"/>
  <c r="H1502" s="1"/>
  <c r="G1488"/>
  <c r="G1503" s="1"/>
  <c r="F1488"/>
  <c r="F1503" s="1"/>
  <c r="E1488"/>
  <c r="E1502" s="1"/>
  <c r="D1488"/>
  <c r="D1502" s="1"/>
  <c r="Q1487"/>
  <c r="Q1486"/>
  <c r="P1485"/>
  <c r="Q1485" s="1"/>
  <c r="P1484"/>
  <c r="Q1484" s="1"/>
  <c r="Q1483"/>
  <c r="Q1482"/>
  <c r="Q1481"/>
  <c r="Q1480"/>
  <c r="Q1479"/>
  <c r="Q1478"/>
  <c r="Q1477"/>
  <c r="Q1476"/>
  <c r="Q1475"/>
  <c r="Q1474"/>
  <c r="Q1473"/>
  <c r="Q1472"/>
  <c r="Q1471"/>
  <c r="Q1470"/>
  <c r="O1470"/>
  <c r="O1485" s="1"/>
  <c r="N1470"/>
  <c r="N1485" s="1"/>
  <c r="M1470"/>
  <c r="M1484" s="1"/>
  <c r="L1470"/>
  <c r="L1485" s="1"/>
  <c r="K1470"/>
  <c r="K1485" s="1"/>
  <c r="J1470"/>
  <c r="J1485" s="1"/>
  <c r="I1470"/>
  <c r="I1484" s="1"/>
  <c r="H1470"/>
  <c r="H1485" s="1"/>
  <c r="G1470"/>
  <c r="G1485" s="1"/>
  <c r="F1470"/>
  <c r="F1485" s="1"/>
  <c r="E1470"/>
  <c r="E1484" s="1"/>
  <c r="D1470"/>
  <c r="D1485" s="1"/>
  <c r="Q1469"/>
  <c r="Q1468"/>
  <c r="P1467"/>
  <c r="Q1467" s="1"/>
  <c r="P1466"/>
  <c r="Q1466" s="1"/>
  <c r="Q1465"/>
  <c r="Q1464"/>
  <c r="Q1463"/>
  <c r="Q1462"/>
  <c r="Q1461"/>
  <c r="Q1460"/>
  <c r="Q1459"/>
  <c r="Q1458"/>
  <c r="Q1457"/>
  <c r="Q1456"/>
  <c r="Q1455"/>
  <c r="Q1454"/>
  <c r="Q1453"/>
  <c r="Q1452"/>
  <c r="O1452"/>
  <c r="O1467" s="1"/>
  <c r="N1452"/>
  <c r="N1467" s="1"/>
  <c r="M1452"/>
  <c r="M1466" s="1"/>
  <c r="L1452"/>
  <c r="L1466" s="1"/>
  <c r="K1452"/>
  <c r="K1467" s="1"/>
  <c r="J1452"/>
  <c r="J1467" s="1"/>
  <c r="I1452"/>
  <c r="I1466" s="1"/>
  <c r="H1452"/>
  <c r="H1466" s="1"/>
  <c r="G1452"/>
  <c r="G1467" s="1"/>
  <c r="F1452"/>
  <c r="F1467" s="1"/>
  <c r="E1452"/>
  <c r="E1466" s="1"/>
  <c r="D1452"/>
  <c r="D1466" s="1"/>
  <c r="Q1451"/>
  <c r="Q1450"/>
  <c r="P1449"/>
  <c r="Q1449" s="1"/>
  <c r="P1448"/>
  <c r="Q1448" s="1"/>
  <c r="Q1447"/>
  <c r="Q1446"/>
  <c r="Q1445"/>
  <c r="Q1444"/>
  <c r="Q1443"/>
  <c r="Q1442"/>
  <c r="Q1441"/>
  <c r="Q1440"/>
  <c r="Q1439"/>
  <c r="Q1438"/>
  <c r="Q1437"/>
  <c r="Q1436"/>
  <c r="Q1435"/>
  <c r="Q1434"/>
  <c r="O1434"/>
  <c r="O1449" s="1"/>
  <c r="N1434"/>
  <c r="N1449" s="1"/>
  <c r="M1434"/>
  <c r="M1448" s="1"/>
  <c r="L1434"/>
  <c r="L1448" s="1"/>
  <c r="K1434"/>
  <c r="K1449" s="1"/>
  <c r="J1434"/>
  <c r="J1449" s="1"/>
  <c r="I1434"/>
  <c r="I1448" s="1"/>
  <c r="H1434"/>
  <c r="H1448" s="1"/>
  <c r="G1434"/>
  <c r="G1449" s="1"/>
  <c r="F1434"/>
  <c r="F1449" s="1"/>
  <c r="E1434"/>
  <c r="E1448" s="1"/>
  <c r="D1434"/>
  <c r="D1448" s="1"/>
  <c r="Q1433"/>
  <c r="Q1432"/>
  <c r="P1431"/>
  <c r="Q1431" s="1"/>
  <c r="P1430"/>
  <c r="Q1430" s="1"/>
  <c r="Q1429"/>
  <c r="Q1428"/>
  <c r="Q1427"/>
  <c r="Q1426"/>
  <c r="Q1425"/>
  <c r="Q1424"/>
  <c r="Q1423"/>
  <c r="Q1422"/>
  <c r="Q1421"/>
  <c r="Q1420"/>
  <c r="Q1419"/>
  <c r="Q1418"/>
  <c r="Q1417"/>
  <c r="Q1416"/>
  <c r="O1416"/>
  <c r="O1431" s="1"/>
  <c r="N1416"/>
  <c r="N1431" s="1"/>
  <c r="M1416"/>
  <c r="M1430" s="1"/>
  <c r="L1416"/>
  <c r="L1430" s="1"/>
  <c r="K1416"/>
  <c r="K1431" s="1"/>
  <c r="J1416"/>
  <c r="J1431" s="1"/>
  <c r="I1416"/>
  <c r="I1430" s="1"/>
  <c r="H1416"/>
  <c r="H1430" s="1"/>
  <c r="G1416"/>
  <c r="G1431" s="1"/>
  <c r="F1416"/>
  <c r="F1431" s="1"/>
  <c r="E1416"/>
  <c r="E1430" s="1"/>
  <c r="D1416"/>
  <c r="D1430" s="1"/>
  <c r="Q1415"/>
  <c r="Q1414"/>
  <c r="P1413"/>
  <c r="Q1413" s="1"/>
  <c r="P1412"/>
  <c r="Q1412" s="1"/>
  <c r="Q1411"/>
  <c r="Q1410"/>
  <c r="Q1409"/>
  <c r="Q1408"/>
  <c r="Q1407"/>
  <c r="Q1406"/>
  <c r="Q1405"/>
  <c r="Q1404"/>
  <c r="Q1403"/>
  <c r="Q1402"/>
  <c r="Q1401"/>
  <c r="Q1400"/>
  <c r="Q1399"/>
  <c r="Q1398"/>
  <c r="O1398"/>
  <c r="O1413" s="1"/>
  <c r="N1398"/>
  <c r="N1413" s="1"/>
  <c r="M1398"/>
  <c r="M1412" s="1"/>
  <c r="L1398"/>
  <c r="L1413" s="1"/>
  <c r="K1398"/>
  <c r="K1413" s="1"/>
  <c r="J1398"/>
  <c r="J1413" s="1"/>
  <c r="I1398"/>
  <c r="I1412" s="1"/>
  <c r="H1398"/>
  <c r="H1413" s="1"/>
  <c r="G1398"/>
  <c r="G1413" s="1"/>
  <c r="F1398"/>
  <c r="F1413" s="1"/>
  <c r="E1398"/>
  <c r="E1412" s="1"/>
  <c r="D1398"/>
  <c r="D1413" s="1"/>
  <c r="Q1397"/>
  <c r="Q1396"/>
  <c r="P1395"/>
  <c r="Q1395" s="1"/>
  <c r="P1394"/>
  <c r="Q1394" s="1"/>
  <c r="Q1393"/>
  <c r="Q1392"/>
  <c r="Q1391"/>
  <c r="Q1390"/>
  <c r="Q1389"/>
  <c r="Q1388"/>
  <c r="Q1387"/>
  <c r="Q1386"/>
  <c r="Q1385"/>
  <c r="Q1384"/>
  <c r="Q1383"/>
  <c r="Q1382"/>
  <c r="Q1381"/>
  <c r="Q1380"/>
  <c r="O1380"/>
  <c r="O1395" s="1"/>
  <c r="N1380"/>
  <c r="N1395" s="1"/>
  <c r="M1380"/>
  <c r="M1395" s="1"/>
  <c r="L1380"/>
  <c r="L1395" s="1"/>
  <c r="K1380"/>
  <c r="K1395" s="1"/>
  <c r="J1380"/>
  <c r="J1395" s="1"/>
  <c r="I1380"/>
  <c r="I1395" s="1"/>
  <c r="H1380"/>
  <c r="H1395" s="1"/>
  <c r="G1380"/>
  <c r="G1395" s="1"/>
  <c r="F1380"/>
  <c r="F1395" s="1"/>
  <c r="E1380"/>
  <c r="E1395" s="1"/>
  <c r="D1380"/>
  <c r="D1395" s="1"/>
  <c r="Q1379"/>
  <c r="Q1378"/>
  <c r="P1377"/>
  <c r="Q1377" s="1"/>
  <c r="P1376"/>
  <c r="Q1376" s="1"/>
  <c r="Q1375"/>
  <c r="Q1374"/>
  <c r="Q1373"/>
  <c r="Q1372"/>
  <c r="Q1371"/>
  <c r="Q1370"/>
  <c r="Q1369"/>
  <c r="Q1368"/>
  <c r="Q1367"/>
  <c r="Q1366"/>
  <c r="Q1365"/>
  <c r="Q1364"/>
  <c r="Q1363"/>
  <c r="Q1362"/>
  <c r="O1362"/>
  <c r="O1377" s="1"/>
  <c r="N1362"/>
  <c r="N1377" s="1"/>
  <c r="M1362"/>
  <c r="M1376" s="1"/>
  <c r="L1362"/>
  <c r="L1376" s="1"/>
  <c r="K1362"/>
  <c r="K1377" s="1"/>
  <c r="J1362"/>
  <c r="J1377" s="1"/>
  <c r="I1362"/>
  <c r="I1376" s="1"/>
  <c r="H1362"/>
  <c r="H1376" s="1"/>
  <c r="G1362"/>
  <c r="G1377" s="1"/>
  <c r="F1362"/>
  <c r="F1377" s="1"/>
  <c r="E1362"/>
  <c r="E1376" s="1"/>
  <c r="D1362"/>
  <c r="D1376" s="1"/>
  <c r="Q1361"/>
  <c r="Q1360"/>
  <c r="P1359"/>
  <c r="Q1359" s="1"/>
  <c r="P1358"/>
  <c r="Q1358" s="1"/>
  <c r="Q1357"/>
  <c r="Q1356"/>
  <c r="Q1355"/>
  <c r="Q1354"/>
  <c r="Q1353"/>
  <c r="Q1352"/>
  <c r="Q1351"/>
  <c r="Q1350"/>
  <c r="Q1349"/>
  <c r="Q1348"/>
  <c r="Q1347"/>
  <c r="Q1346"/>
  <c r="Q1345"/>
  <c r="Q1344"/>
  <c r="O1344"/>
  <c r="O1359" s="1"/>
  <c r="N1344"/>
  <c r="N1359" s="1"/>
  <c r="M1344"/>
  <c r="M1358" s="1"/>
  <c r="L1344"/>
  <c r="L1358" s="1"/>
  <c r="K1344"/>
  <c r="K1359" s="1"/>
  <c r="J1344"/>
  <c r="J1359" s="1"/>
  <c r="I1344"/>
  <c r="I1358" s="1"/>
  <c r="H1344"/>
  <c r="H1358" s="1"/>
  <c r="G1344"/>
  <c r="G1359" s="1"/>
  <c r="F1344"/>
  <c r="F1359" s="1"/>
  <c r="E1344"/>
  <c r="E1358" s="1"/>
  <c r="D1344"/>
  <c r="D1358" s="1"/>
  <c r="Q1343"/>
  <c r="Q1342"/>
  <c r="P1341"/>
  <c r="Q1341" s="1"/>
  <c r="P1340"/>
  <c r="Q1340" s="1"/>
  <c r="Q1339"/>
  <c r="Q1338"/>
  <c r="Q1337"/>
  <c r="Q1336"/>
  <c r="Q1335"/>
  <c r="Q1334"/>
  <c r="Q1333"/>
  <c r="Q1332"/>
  <c r="Q1331"/>
  <c r="Q1330"/>
  <c r="Q1329"/>
  <c r="Q1328"/>
  <c r="Q1327"/>
  <c r="Q1326"/>
  <c r="O1326"/>
  <c r="O1341" s="1"/>
  <c r="N1326"/>
  <c r="N1341" s="1"/>
  <c r="M1326"/>
  <c r="M1341" s="1"/>
  <c r="L1326"/>
  <c r="L1341" s="1"/>
  <c r="K1326"/>
  <c r="K1341" s="1"/>
  <c r="J1326"/>
  <c r="J1341" s="1"/>
  <c r="I1326"/>
  <c r="I1341" s="1"/>
  <c r="H1326"/>
  <c r="H1341" s="1"/>
  <c r="G1326"/>
  <c r="G1341" s="1"/>
  <c r="F1326"/>
  <c r="F1341" s="1"/>
  <c r="E1326"/>
  <c r="E1341" s="1"/>
  <c r="D1326"/>
  <c r="D1341" s="1"/>
  <c r="Q1325"/>
  <c r="Q1324"/>
  <c r="P336"/>
  <c r="O336"/>
  <c r="N336"/>
  <c r="M336"/>
  <c r="L336"/>
  <c r="K336"/>
  <c r="J336"/>
  <c r="I336"/>
  <c r="H336"/>
  <c r="G336"/>
  <c r="F336"/>
  <c r="E336"/>
  <c r="D336"/>
  <c r="P335"/>
  <c r="O335"/>
  <c r="N335"/>
  <c r="M335"/>
  <c r="L335"/>
  <c r="K335"/>
  <c r="J335"/>
  <c r="I335"/>
  <c r="H335"/>
  <c r="G335"/>
  <c r="F335"/>
  <c r="E335"/>
  <c r="D335"/>
  <c r="Q334"/>
  <c r="Q333"/>
  <c r="Q332"/>
  <c r="Q331"/>
  <c r="Q330"/>
  <c r="Q329"/>
  <c r="Q328"/>
  <c r="Q327"/>
  <c r="Q326"/>
  <c r="Q325"/>
  <c r="Q324"/>
  <c r="Q323"/>
  <c r="Q322"/>
  <c r="Q321"/>
  <c r="Q320"/>
  <c r="Q319"/>
  <c r="Q318"/>
  <c r="P317"/>
  <c r="O317"/>
  <c r="N317"/>
  <c r="M317"/>
  <c r="L317"/>
  <c r="K317"/>
  <c r="J317"/>
  <c r="I317"/>
  <c r="H317"/>
  <c r="G317"/>
  <c r="F317"/>
  <c r="E317"/>
  <c r="D317"/>
  <c r="P316"/>
  <c r="O316"/>
  <c r="N316"/>
  <c r="M316"/>
  <c r="L316"/>
  <c r="K316"/>
  <c r="J316"/>
  <c r="I316"/>
  <c r="H316"/>
  <c r="G316"/>
  <c r="F316"/>
  <c r="E316"/>
  <c r="D316"/>
  <c r="Q315"/>
  <c r="Q314"/>
  <c r="Q313"/>
  <c r="Q312"/>
  <c r="Q311"/>
  <c r="Q310"/>
  <c r="Q309"/>
  <c r="Q308"/>
  <c r="Q307"/>
  <c r="Q306"/>
  <c r="Q305"/>
  <c r="Q304"/>
  <c r="Q303"/>
  <c r="Q302"/>
  <c r="Q301"/>
  <c r="Q300"/>
  <c r="Q299"/>
  <c r="P298"/>
  <c r="O298"/>
  <c r="N298"/>
  <c r="M298"/>
  <c r="L298"/>
  <c r="K298"/>
  <c r="J298"/>
  <c r="I298"/>
  <c r="H298"/>
  <c r="G298"/>
  <c r="F298"/>
  <c r="E298"/>
  <c r="D298"/>
  <c r="P297"/>
  <c r="O297"/>
  <c r="N297"/>
  <c r="M297"/>
  <c r="L297"/>
  <c r="K297"/>
  <c r="J297"/>
  <c r="I297"/>
  <c r="H297"/>
  <c r="G297"/>
  <c r="F297"/>
  <c r="E297"/>
  <c r="D297"/>
  <c r="Q296"/>
  <c r="Q295"/>
  <c r="Q294"/>
  <c r="Q293"/>
  <c r="Q292"/>
  <c r="Q291"/>
  <c r="Q290"/>
  <c r="Q289"/>
  <c r="Q288"/>
  <c r="Q287"/>
  <c r="Q286"/>
  <c r="Q285"/>
  <c r="Q284"/>
  <c r="Q283"/>
  <c r="Q282"/>
  <c r="Q281"/>
  <c r="Q280"/>
  <c r="P279"/>
  <c r="O279"/>
  <c r="N279"/>
  <c r="M279"/>
  <c r="L279"/>
  <c r="K279"/>
  <c r="J279"/>
  <c r="I279"/>
  <c r="H279"/>
  <c r="G279"/>
  <c r="F279"/>
  <c r="E279"/>
  <c r="D279"/>
  <c r="P278"/>
  <c r="O278"/>
  <c r="N278"/>
  <c r="M278"/>
  <c r="L278"/>
  <c r="K278"/>
  <c r="J278"/>
  <c r="I278"/>
  <c r="H278"/>
  <c r="G278"/>
  <c r="F278"/>
  <c r="E278"/>
  <c r="D278"/>
  <c r="Q277"/>
  <c r="Q276"/>
  <c r="Q275"/>
  <c r="Q274"/>
  <c r="Q273"/>
  <c r="Q272"/>
  <c r="Q271"/>
  <c r="Q270"/>
  <c r="Q269"/>
  <c r="Q268"/>
  <c r="Q267"/>
  <c r="Q266"/>
  <c r="Q265"/>
  <c r="Q264"/>
  <c r="Q263"/>
  <c r="Q262"/>
  <c r="Q261"/>
  <c r="P260"/>
  <c r="O260"/>
  <c r="N260"/>
  <c r="M260"/>
  <c r="L260"/>
  <c r="K260"/>
  <c r="J260"/>
  <c r="I260"/>
  <c r="H260"/>
  <c r="G260"/>
  <c r="F260"/>
  <c r="E260"/>
  <c r="D260"/>
  <c r="P259"/>
  <c r="O259"/>
  <c r="N259"/>
  <c r="M259"/>
  <c r="L259"/>
  <c r="K259"/>
  <c r="J259"/>
  <c r="I259"/>
  <c r="H259"/>
  <c r="G259"/>
  <c r="F259"/>
  <c r="E259"/>
  <c r="D259"/>
  <c r="Q258"/>
  <c r="Q257"/>
  <c r="Q256"/>
  <c r="Q255"/>
  <c r="Q254"/>
  <c r="Q253"/>
  <c r="Q252"/>
  <c r="Q251"/>
  <c r="Q250"/>
  <c r="Q249"/>
  <c r="Q248"/>
  <c r="Q247"/>
  <c r="Q246"/>
  <c r="Q245"/>
  <c r="Q244"/>
  <c r="Q243"/>
  <c r="Q242"/>
  <c r="P241"/>
  <c r="O241"/>
  <c r="N241"/>
  <c r="M241"/>
  <c r="L241"/>
  <c r="K241"/>
  <c r="J241"/>
  <c r="I241"/>
  <c r="H241"/>
  <c r="G241"/>
  <c r="F241"/>
  <c r="E241"/>
  <c r="D241"/>
  <c r="P240"/>
  <c r="O240"/>
  <c r="N240"/>
  <c r="M240"/>
  <c r="L240"/>
  <c r="K240"/>
  <c r="J240"/>
  <c r="I240"/>
  <c r="H240"/>
  <c r="G240"/>
  <c r="F240"/>
  <c r="E240"/>
  <c r="D240"/>
  <c r="Q239"/>
  <c r="Q238"/>
  <c r="Q237"/>
  <c r="Q236"/>
  <c r="Q235"/>
  <c r="Q234"/>
  <c r="Q233"/>
  <c r="Q232"/>
  <c r="Q231"/>
  <c r="Q230"/>
  <c r="Q229"/>
  <c r="Q228"/>
  <c r="Q227"/>
  <c r="Q226"/>
  <c r="Q225"/>
  <c r="Q224"/>
  <c r="Q223"/>
  <c r="P222"/>
  <c r="O222"/>
  <c r="N222"/>
  <c r="M222"/>
  <c r="L222"/>
  <c r="K222"/>
  <c r="J222"/>
  <c r="I222"/>
  <c r="H222"/>
  <c r="G222"/>
  <c r="F222"/>
  <c r="E222"/>
  <c r="D222"/>
  <c r="P221"/>
  <c r="O221"/>
  <c r="N221"/>
  <c r="M221"/>
  <c r="L221"/>
  <c r="K221"/>
  <c r="J221"/>
  <c r="I221"/>
  <c r="H221"/>
  <c r="G221"/>
  <c r="F221"/>
  <c r="E221"/>
  <c r="D221"/>
  <c r="Q220"/>
  <c r="Q219"/>
  <c r="Q218"/>
  <c r="Q217"/>
  <c r="Q216"/>
  <c r="Q215"/>
  <c r="Q214"/>
  <c r="Q213"/>
  <c r="Q212"/>
  <c r="Q211"/>
  <c r="Q210"/>
  <c r="Q209"/>
  <c r="Q208"/>
  <c r="Q207"/>
  <c r="Q206"/>
  <c r="Q205"/>
  <c r="Q204"/>
  <c r="P203"/>
  <c r="O203"/>
  <c r="N203"/>
  <c r="M203"/>
  <c r="L203"/>
  <c r="K203"/>
  <c r="J203"/>
  <c r="I203"/>
  <c r="H203"/>
  <c r="G203"/>
  <c r="F203"/>
  <c r="E203"/>
  <c r="D203"/>
  <c r="P202"/>
  <c r="O202"/>
  <c r="N202"/>
  <c r="M202"/>
  <c r="L202"/>
  <c r="K202"/>
  <c r="J202"/>
  <c r="I202"/>
  <c r="H202"/>
  <c r="G202"/>
  <c r="F202"/>
  <c r="E202"/>
  <c r="D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P184"/>
  <c r="O184"/>
  <c r="N184"/>
  <c r="M184"/>
  <c r="L184"/>
  <c r="K184"/>
  <c r="J184"/>
  <c r="I184"/>
  <c r="H184"/>
  <c r="G184"/>
  <c r="F184"/>
  <c r="E184"/>
  <c r="D184"/>
  <c r="P183"/>
  <c r="O183"/>
  <c r="N183"/>
  <c r="M183"/>
  <c r="L183"/>
  <c r="K183"/>
  <c r="J183"/>
  <c r="I183"/>
  <c r="H183"/>
  <c r="G183"/>
  <c r="F183"/>
  <c r="E183"/>
  <c r="D183"/>
  <c r="Q182"/>
  <c r="Q181"/>
  <c r="Q180"/>
  <c r="Q179"/>
  <c r="Q178"/>
  <c r="Q177"/>
  <c r="Q176"/>
  <c r="Q175"/>
  <c r="Q174"/>
  <c r="Q173"/>
  <c r="Q172"/>
  <c r="Q171"/>
  <c r="Q170"/>
  <c r="Q169"/>
  <c r="Q168"/>
  <c r="Q167"/>
  <c r="Q166"/>
  <c r="P165"/>
  <c r="O165"/>
  <c r="N165"/>
  <c r="M165"/>
  <c r="L165"/>
  <c r="K165"/>
  <c r="J165"/>
  <c r="I165"/>
  <c r="H165"/>
  <c r="G165"/>
  <c r="F165"/>
  <c r="E165"/>
  <c r="D165"/>
  <c r="P164"/>
  <c r="O164"/>
  <c r="N164"/>
  <c r="M164"/>
  <c r="L164"/>
  <c r="K164"/>
  <c r="J164"/>
  <c r="I164"/>
  <c r="H164"/>
  <c r="G164"/>
  <c r="F164"/>
  <c r="E164"/>
  <c r="D164"/>
  <c r="Q163"/>
  <c r="Q162"/>
  <c r="Q161"/>
  <c r="Q160"/>
  <c r="Q159"/>
  <c r="Q158"/>
  <c r="Q157"/>
  <c r="Q156"/>
  <c r="Q155"/>
  <c r="Q154"/>
  <c r="Q153"/>
  <c r="Q152"/>
  <c r="Q151"/>
  <c r="Q150"/>
  <c r="Q149"/>
  <c r="Q148"/>
  <c r="Q147"/>
  <c r="P146"/>
  <c r="O146"/>
  <c r="N146"/>
  <c r="M146"/>
  <c r="L146"/>
  <c r="K146"/>
  <c r="J146"/>
  <c r="I146"/>
  <c r="H146"/>
  <c r="G146"/>
  <c r="F146"/>
  <c r="E146"/>
  <c r="D146"/>
  <c r="P145"/>
  <c r="O145"/>
  <c r="N145"/>
  <c r="M145"/>
  <c r="L145"/>
  <c r="K145"/>
  <c r="J145"/>
  <c r="I145"/>
  <c r="H145"/>
  <c r="G145"/>
  <c r="F145"/>
  <c r="E145"/>
  <c r="D145"/>
  <c r="Q144"/>
  <c r="Q143"/>
  <c r="Q142"/>
  <c r="Q141"/>
  <c r="Q140"/>
  <c r="Q139"/>
  <c r="Q138"/>
  <c r="Q137"/>
  <c r="Q136"/>
  <c r="Q135"/>
  <c r="Q134"/>
  <c r="Q133"/>
  <c r="Q132"/>
  <c r="Q131"/>
  <c r="Q130"/>
  <c r="Q129"/>
  <c r="Q128"/>
  <c r="P127"/>
  <c r="O127"/>
  <c r="N127"/>
  <c r="M127"/>
  <c r="L127"/>
  <c r="K127"/>
  <c r="J127"/>
  <c r="I127"/>
  <c r="H127"/>
  <c r="G127"/>
  <c r="F127"/>
  <c r="E127"/>
  <c r="D127"/>
  <c r="P126"/>
  <c r="O126"/>
  <c r="N126"/>
  <c r="M126"/>
  <c r="L126"/>
  <c r="K126"/>
  <c r="J126"/>
  <c r="I126"/>
  <c r="H126"/>
  <c r="G126"/>
  <c r="F126"/>
  <c r="E126"/>
  <c r="D126"/>
  <c r="Q125"/>
  <c r="Q124"/>
  <c r="Q123"/>
  <c r="Q122"/>
  <c r="Q121"/>
  <c r="Q120"/>
  <c r="Q119"/>
  <c r="Q118"/>
  <c r="Q117"/>
  <c r="Q116"/>
  <c r="Q115"/>
  <c r="Q114"/>
  <c r="Q113"/>
  <c r="Q112"/>
  <c r="Q111"/>
  <c r="Q110"/>
  <c r="Q109"/>
  <c r="P108"/>
  <c r="O108"/>
  <c r="N108"/>
  <c r="M108"/>
  <c r="L108"/>
  <c r="K108"/>
  <c r="J108"/>
  <c r="I108"/>
  <c r="H108"/>
  <c r="G108"/>
  <c r="F108"/>
  <c r="E108"/>
  <c r="D108"/>
  <c r="P107"/>
  <c r="O107"/>
  <c r="N107"/>
  <c r="M107"/>
  <c r="L107"/>
  <c r="K107"/>
  <c r="J107"/>
  <c r="I107"/>
  <c r="H107"/>
  <c r="G107"/>
  <c r="F107"/>
  <c r="E107"/>
  <c r="D107"/>
  <c r="Q106"/>
  <c r="Q105"/>
  <c r="Q104"/>
  <c r="Q103"/>
  <c r="Q102"/>
  <c r="Q101"/>
  <c r="Q100"/>
  <c r="Q99"/>
  <c r="Q98"/>
  <c r="Q97"/>
  <c r="Q96"/>
  <c r="Q95"/>
  <c r="Q94"/>
  <c r="Q93"/>
  <c r="Q92"/>
  <c r="Q91"/>
  <c r="Q90"/>
  <c r="C9" i="23"/>
  <c r="P89" i="25"/>
  <c r="O89"/>
  <c r="N89"/>
  <c r="M89"/>
  <c r="L89"/>
  <c r="K89"/>
  <c r="J89"/>
  <c r="I89"/>
  <c r="H89"/>
  <c r="G89"/>
  <c r="F89"/>
  <c r="E89"/>
  <c r="D89"/>
  <c r="P88"/>
  <c r="O88"/>
  <c r="N88"/>
  <c r="M88"/>
  <c r="L88"/>
  <c r="K88"/>
  <c r="J88"/>
  <c r="I88"/>
  <c r="H88"/>
  <c r="G88"/>
  <c r="F88"/>
  <c r="E88"/>
  <c r="D88"/>
  <c r="Q87"/>
  <c r="Q86"/>
  <c r="Q85"/>
  <c r="Q84"/>
  <c r="Q83"/>
  <c r="Q82"/>
  <c r="Q81"/>
  <c r="Q80"/>
  <c r="Q79"/>
  <c r="Q78"/>
  <c r="Q77"/>
  <c r="Q76"/>
  <c r="Q75"/>
  <c r="Q74"/>
  <c r="Q73"/>
  <c r="Q72"/>
  <c r="Q71"/>
  <c r="P70"/>
  <c r="O70"/>
  <c r="N70"/>
  <c r="M70"/>
  <c r="L70"/>
  <c r="K70"/>
  <c r="J70"/>
  <c r="I70"/>
  <c r="H70"/>
  <c r="G70"/>
  <c r="F70"/>
  <c r="E70"/>
  <c r="D70"/>
  <c r="P69"/>
  <c r="O69"/>
  <c r="N69"/>
  <c r="M69"/>
  <c r="L69"/>
  <c r="K69"/>
  <c r="J69"/>
  <c r="I69"/>
  <c r="H69"/>
  <c r="G69"/>
  <c r="F69"/>
  <c r="E69"/>
  <c r="D69"/>
  <c r="Q68"/>
  <c r="Q67"/>
  <c r="Q66"/>
  <c r="Q65"/>
  <c r="Q64"/>
  <c r="Q63"/>
  <c r="Q62"/>
  <c r="Q61"/>
  <c r="Q60"/>
  <c r="Q59"/>
  <c r="Q58"/>
  <c r="Q57"/>
  <c r="Q56"/>
  <c r="Q55"/>
  <c r="Q54"/>
  <c r="Q53"/>
  <c r="Q52"/>
  <c r="P51"/>
  <c r="O51"/>
  <c r="N51"/>
  <c r="M51"/>
  <c r="L51"/>
  <c r="K51"/>
  <c r="J51"/>
  <c r="I51"/>
  <c r="H51"/>
  <c r="G51"/>
  <c r="F51"/>
  <c r="E51"/>
  <c r="D51"/>
  <c r="P50"/>
  <c r="O50"/>
  <c r="N50"/>
  <c r="M50"/>
  <c r="L50"/>
  <c r="K50"/>
  <c r="J50"/>
  <c r="I50"/>
  <c r="H50"/>
  <c r="G50"/>
  <c r="F50"/>
  <c r="E50"/>
  <c r="D50"/>
  <c r="Q49"/>
  <c r="Q48"/>
  <c r="Q47"/>
  <c r="Q46"/>
  <c r="Q45"/>
  <c r="Q44"/>
  <c r="Q43"/>
  <c r="Q42"/>
  <c r="Q41"/>
  <c r="Q40"/>
  <c r="Q39"/>
  <c r="Q38"/>
  <c r="Q37"/>
  <c r="Q36"/>
  <c r="Q35"/>
  <c r="Q34"/>
  <c r="Q33"/>
  <c r="R63"/>
  <c r="R62"/>
  <c r="O3171"/>
  <c r="N3171"/>
  <c r="M3171"/>
  <c r="L3171"/>
  <c r="K3171"/>
  <c r="J3171"/>
  <c r="I3171"/>
  <c r="H3171"/>
  <c r="G3171"/>
  <c r="F3171"/>
  <c r="E3171"/>
  <c r="D3171"/>
  <c r="P3168"/>
  <c r="Q3168" s="1"/>
  <c r="O3168"/>
  <c r="N3168"/>
  <c r="M3168"/>
  <c r="L3168"/>
  <c r="K3168"/>
  <c r="J3168"/>
  <c r="I3168"/>
  <c r="H3168"/>
  <c r="G3168"/>
  <c r="F3168"/>
  <c r="E3168"/>
  <c r="D3168"/>
  <c r="P3167"/>
  <c r="Q3167" s="1"/>
  <c r="O3167"/>
  <c r="N3167"/>
  <c r="M3167"/>
  <c r="L3167"/>
  <c r="K3167"/>
  <c r="J3167"/>
  <c r="I3167"/>
  <c r="H3167"/>
  <c r="G3167"/>
  <c r="F3167"/>
  <c r="E3167"/>
  <c r="D3167"/>
  <c r="P3166"/>
  <c r="Q3166" s="1"/>
  <c r="O3166"/>
  <c r="N3166"/>
  <c r="M3166"/>
  <c r="L3166"/>
  <c r="K3166"/>
  <c r="J3166"/>
  <c r="I3166"/>
  <c r="H3166"/>
  <c r="G3166"/>
  <c r="F3166"/>
  <c r="E3166"/>
  <c r="D3166"/>
  <c r="P3165"/>
  <c r="Q3165" s="1"/>
  <c r="O3165"/>
  <c r="N3165"/>
  <c r="M3165"/>
  <c r="L3165"/>
  <c r="K3165"/>
  <c r="J3165"/>
  <c r="I3165"/>
  <c r="H3165"/>
  <c r="G3165"/>
  <c r="F3165"/>
  <c r="E3165"/>
  <c r="D3165"/>
  <c r="P3164"/>
  <c r="Q3164" s="1"/>
  <c r="O3164"/>
  <c r="N3164"/>
  <c r="M3164"/>
  <c r="L3164"/>
  <c r="K3164"/>
  <c r="J3164"/>
  <c r="I3164"/>
  <c r="H3164"/>
  <c r="G3164"/>
  <c r="F3164"/>
  <c r="E3164"/>
  <c r="D3164"/>
  <c r="P3163"/>
  <c r="Q3163" s="1"/>
  <c r="O3163"/>
  <c r="N3163"/>
  <c r="M3163"/>
  <c r="L3163"/>
  <c r="K3163"/>
  <c r="J3163"/>
  <c r="I3163"/>
  <c r="H3163"/>
  <c r="G3163"/>
  <c r="F3163"/>
  <c r="E3163"/>
  <c r="D3163"/>
  <c r="P3161"/>
  <c r="Q3161" s="1"/>
  <c r="P3160"/>
  <c r="Q3160" s="1"/>
  <c r="O3160"/>
  <c r="N3160"/>
  <c r="M3160"/>
  <c r="L3160"/>
  <c r="K3160"/>
  <c r="I3160"/>
  <c r="H3160"/>
  <c r="G3160"/>
  <c r="F3160"/>
  <c r="E3160"/>
  <c r="P1323"/>
  <c r="Q1323" s="1"/>
  <c r="P1322"/>
  <c r="Q1322" s="1"/>
  <c r="Q1321"/>
  <c r="Q1320"/>
  <c r="Q1319"/>
  <c r="Q1318"/>
  <c r="Q1317"/>
  <c r="Q1316"/>
  <c r="Q1315"/>
  <c r="Q1314"/>
  <c r="Q1313"/>
  <c r="Q1312"/>
  <c r="Q1311"/>
  <c r="Q1310"/>
  <c r="Q1309"/>
  <c r="Q1308"/>
  <c r="O1308"/>
  <c r="N1308"/>
  <c r="N1322" s="1"/>
  <c r="N3172" s="1"/>
  <c r="M1308"/>
  <c r="L1308"/>
  <c r="K1308"/>
  <c r="K1323" s="1"/>
  <c r="J1308"/>
  <c r="I1308"/>
  <c r="H1308"/>
  <c r="G1308"/>
  <c r="F1308"/>
  <c r="F1322" s="1"/>
  <c r="F3172" s="1"/>
  <c r="E1308"/>
  <c r="D1308"/>
  <c r="Q1307"/>
  <c r="Q1306"/>
  <c r="P32"/>
  <c r="O32"/>
  <c r="N32"/>
  <c r="M32"/>
  <c r="L32"/>
  <c r="K32"/>
  <c r="J32"/>
  <c r="I32"/>
  <c r="H32"/>
  <c r="G32"/>
  <c r="F32"/>
  <c r="E32"/>
  <c r="D32"/>
  <c r="P31"/>
  <c r="O31"/>
  <c r="N31"/>
  <c r="M31"/>
  <c r="L31"/>
  <c r="K31"/>
  <c r="J31"/>
  <c r="I31"/>
  <c r="H31"/>
  <c r="G31"/>
  <c r="F31"/>
  <c r="E31"/>
  <c r="D3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9" i="23" s="1"/>
  <c r="N13" i="25"/>
  <c r="M9" i="23" s="1"/>
  <c r="M13" i="25"/>
  <c r="L9" i="23" s="1"/>
  <c r="L13" i="25"/>
  <c r="K9" i="23" s="1"/>
  <c r="K13" i="25"/>
  <c r="J13"/>
  <c r="I9" i="23" s="1"/>
  <c r="I13" i="25"/>
  <c r="H9" i="23" s="1"/>
  <c r="H13" i="25"/>
  <c r="G9" i="23" s="1"/>
  <c r="G13" i="25"/>
  <c r="F9" i="23" s="1"/>
  <c r="F13" i="25"/>
  <c r="E9" i="23" s="1"/>
  <c r="E13" i="25"/>
  <c r="D9" i="23" s="1"/>
  <c r="D13" i="25"/>
  <c r="Q12"/>
  <c r="Q11"/>
  <c r="Q10"/>
  <c r="Q9"/>
  <c r="Q8"/>
  <c r="Q7"/>
  <c r="Q6"/>
  <c r="Q5"/>
  <c r="Q4"/>
  <c r="D8" i="6"/>
  <c r="D18" s="1"/>
  <c r="E8"/>
  <c r="E18" s="1"/>
  <c r="F8"/>
  <c r="F18" s="1"/>
  <c r="G8"/>
  <c r="H8"/>
  <c r="H18" s="1"/>
  <c r="I8"/>
  <c r="I18" s="1"/>
  <c r="J8"/>
  <c r="J18" s="1"/>
  <c r="K8"/>
  <c r="K18" s="1"/>
  <c r="L8"/>
  <c r="L18" s="1"/>
  <c r="M8"/>
  <c r="M18" s="1"/>
  <c r="N8"/>
  <c r="N18" s="1"/>
  <c r="C8"/>
  <c r="C18" s="1"/>
  <c r="C8" i="23"/>
  <c r="B8" i="6"/>
  <c r="B7"/>
  <c r="B8" i="23"/>
  <c r="F7" i="6"/>
  <c r="G7"/>
  <c r="H7"/>
  <c r="I7"/>
  <c r="J7"/>
  <c r="K7"/>
  <c r="K17" s="1"/>
  <c r="L7"/>
  <c r="M7"/>
  <c r="N7"/>
  <c r="N17" s="1"/>
  <c r="D7" i="23"/>
  <c r="D15" s="1"/>
  <c r="E7" i="6"/>
  <c r="D7"/>
  <c r="D17" s="1"/>
  <c r="C7" i="23"/>
  <c r="C15" s="1"/>
  <c r="F24"/>
  <c r="D24"/>
  <c r="F23"/>
  <c r="D23"/>
  <c r="L17"/>
  <c r="D17"/>
  <c r="H16"/>
  <c r="E23" s="1"/>
  <c r="E25" s="1"/>
  <c r="D16"/>
  <c r="N13"/>
  <c r="N17" s="1"/>
  <c r="M13"/>
  <c r="M17" s="1"/>
  <c r="L13"/>
  <c r="K13"/>
  <c r="K17" s="1"/>
  <c r="J13"/>
  <c r="J17" s="1"/>
  <c r="I13"/>
  <c r="I17" s="1"/>
  <c r="H13"/>
  <c r="H17" s="1"/>
  <c r="E24" s="1"/>
  <c r="G13"/>
  <c r="G17" s="1"/>
  <c r="F13"/>
  <c r="F17" s="1"/>
  <c r="E13"/>
  <c r="E17" s="1"/>
  <c r="D13"/>
  <c r="C13"/>
  <c r="C17" s="1"/>
  <c r="B13"/>
  <c r="Q9"/>
  <c r="B9"/>
  <c r="Q8"/>
  <c r="N8"/>
  <c r="N16" s="1"/>
  <c r="M8"/>
  <c r="M16" s="1"/>
  <c r="L8"/>
  <c r="L16" s="1"/>
  <c r="K8"/>
  <c r="K16" s="1"/>
  <c r="J8"/>
  <c r="J16" s="1"/>
  <c r="I8"/>
  <c r="I16" s="1"/>
  <c r="H8"/>
  <c r="G8"/>
  <c r="G16" s="1"/>
  <c r="F8"/>
  <c r="F16" s="1"/>
  <c r="E8"/>
  <c r="E16" s="1"/>
  <c r="D8"/>
  <c r="N7"/>
  <c r="N15" s="1"/>
  <c r="N18" s="1"/>
  <c r="M7"/>
  <c r="M15" s="1"/>
  <c r="M18" s="1"/>
  <c r="L7"/>
  <c r="L15" s="1"/>
  <c r="L18" s="1"/>
  <c r="K7"/>
  <c r="K15" s="1"/>
  <c r="K18" s="1"/>
  <c r="J7"/>
  <c r="J15" s="1"/>
  <c r="J18" s="1"/>
  <c r="I7"/>
  <c r="I15" s="1"/>
  <c r="I18" s="1"/>
  <c r="H7"/>
  <c r="H15" s="1"/>
  <c r="H18" s="1"/>
  <c r="G7"/>
  <c r="G15" s="1"/>
  <c r="G18" s="1"/>
  <c r="F7"/>
  <c r="F15" s="1"/>
  <c r="F18" s="1"/>
  <c r="E7"/>
  <c r="E15" s="1"/>
  <c r="E18" s="1"/>
  <c r="B7"/>
  <c r="G2"/>
  <c r="F25" l="1"/>
  <c r="D25"/>
  <c r="O8"/>
  <c r="Q1285" i="25"/>
  <c r="Q1305"/>
  <c r="Q1304"/>
  <c r="Q1266"/>
  <c r="Q1286"/>
  <c r="H3122"/>
  <c r="Q1248"/>
  <c r="Q1267"/>
  <c r="Q1247"/>
  <c r="Q1229"/>
  <c r="Q1228"/>
  <c r="G3122"/>
  <c r="Q1210"/>
  <c r="Q1209"/>
  <c r="O3086"/>
  <c r="Q1191"/>
  <c r="O3123"/>
  <c r="Q1190"/>
  <c r="G3158"/>
  <c r="K3158"/>
  <c r="O3158"/>
  <c r="E3159"/>
  <c r="I3159"/>
  <c r="M3159"/>
  <c r="Q3144"/>
  <c r="F3158"/>
  <c r="J3158"/>
  <c r="N3158"/>
  <c r="D3159"/>
  <c r="H3159"/>
  <c r="L3159"/>
  <c r="G3086"/>
  <c r="D3122"/>
  <c r="L3122"/>
  <c r="K3123"/>
  <c r="I3068"/>
  <c r="G3140"/>
  <c r="K3140"/>
  <c r="O3140"/>
  <c r="E3141"/>
  <c r="I3141"/>
  <c r="M3141"/>
  <c r="Q3126"/>
  <c r="F3140"/>
  <c r="J3140"/>
  <c r="N3140"/>
  <c r="D3141"/>
  <c r="H3141"/>
  <c r="L3141"/>
  <c r="E3068"/>
  <c r="F3086"/>
  <c r="N3086"/>
  <c r="F3123"/>
  <c r="J3123"/>
  <c r="N3123"/>
  <c r="K3086"/>
  <c r="Q3108"/>
  <c r="E3123"/>
  <c r="I3123"/>
  <c r="M3123"/>
  <c r="M3068"/>
  <c r="J3086"/>
  <c r="G3104"/>
  <c r="K3104"/>
  <c r="O3104"/>
  <c r="E3105"/>
  <c r="I3105"/>
  <c r="M3105"/>
  <c r="Q3090"/>
  <c r="F3104"/>
  <c r="J3104"/>
  <c r="N3104"/>
  <c r="D3105"/>
  <c r="H3105"/>
  <c r="L3105"/>
  <c r="Q3072"/>
  <c r="D3087"/>
  <c r="H3087"/>
  <c r="L3087"/>
  <c r="E3086"/>
  <c r="I3086"/>
  <c r="M3086"/>
  <c r="H3068"/>
  <c r="D3068"/>
  <c r="L3068"/>
  <c r="Q3069"/>
  <c r="G3068"/>
  <c r="K3068"/>
  <c r="O3068"/>
  <c r="Q3054"/>
  <c r="F3068"/>
  <c r="J3068"/>
  <c r="N3068"/>
  <c r="G3050"/>
  <c r="K3050"/>
  <c r="O3050"/>
  <c r="E3051"/>
  <c r="I3051"/>
  <c r="M3051"/>
  <c r="Q3036"/>
  <c r="F3050"/>
  <c r="J3050"/>
  <c r="N3050"/>
  <c r="D3051"/>
  <c r="H3051"/>
  <c r="L3051"/>
  <c r="E3014"/>
  <c r="M3014"/>
  <c r="I3014"/>
  <c r="G3032"/>
  <c r="K3032"/>
  <c r="O3032"/>
  <c r="E3033"/>
  <c r="I3033"/>
  <c r="M3033"/>
  <c r="Q3018"/>
  <c r="F3032"/>
  <c r="J3032"/>
  <c r="N3032"/>
  <c r="D3033"/>
  <c r="H3033"/>
  <c r="L3033"/>
  <c r="D3014"/>
  <c r="L3014"/>
  <c r="H3014"/>
  <c r="Q3015"/>
  <c r="G3014"/>
  <c r="K3014"/>
  <c r="O3014"/>
  <c r="Q3000"/>
  <c r="F3014"/>
  <c r="J3014"/>
  <c r="N3014"/>
  <c r="G2996"/>
  <c r="K2996"/>
  <c r="O2996"/>
  <c r="E2997"/>
  <c r="I2997"/>
  <c r="M2997"/>
  <c r="Q2982"/>
  <c r="F2996"/>
  <c r="J2996"/>
  <c r="N2996"/>
  <c r="D2997"/>
  <c r="H2997"/>
  <c r="L2997"/>
  <c r="H2960"/>
  <c r="G2978"/>
  <c r="K2978"/>
  <c r="O2978"/>
  <c r="E2979"/>
  <c r="I2979"/>
  <c r="M2979"/>
  <c r="Q2964"/>
  <c r="F2978"/>
  <c r="J2978"/>
  <c r="N2978"/>
  <c r="D2979"/>
  <c r="H2979"/>
  <c r="L2979"/>
  <c r="G2960"/>
  <c r="O2960"/>
  <c r="D2960"/>
  <c r="L2960"/>
  <c r="K2960"/>
  <c r="E2961"/>
  <c r="I2961"/>
  <c r="M2961"/>
  <c r="Q2946"/>
  <c r="F2960"/>
  <c r="J2960"/>
  <c r="N2960"/>
  <c r="F2870"/>
  <c r="K2924"/>
  <c r="G2942"/>
  <c r="K2942"/>
  <c r="O2942"/>
  <c r="E2943"/>
  <c r="I2943"/>
  <c r="M2943"/>
  <c r="Q2928"/>
  <c r="F2942"/>
  <c r="J2942"/>
  <c r="N2942"/>
  <c r="D2943"/>
  <c r="H2943"/>
  <c r="L2943"/>
  <c r="G2924"/>
  <c r="O2924"/>
  <c r="E2925"/>
  <c r="I2925"/>
  <c r="M2925"/>
  <c r="Q2910"/>
  <c r="F2924"/>
  <c r="J2924"/>
  <c r="N2924"/>
  <c r="D2925"/>
  <c r="H2925"/>
  <c r="L2925"/>
  <c r="G2906"/>
  <c r="K2906"/>
  <c r="O2906"/>
  <c r="E2907"/>
  <c r="I2907"/>
  <c r="M2907"/>
  <c r="Q2892"/>
  <c r="F2906"/>
  <c r="J2906"/>
  <c r="N2906"/>
  <c r="D2907"/>
  <c r="H2907"/>
  <c r="L2907"/>
  <c r="N2870"/>
  <c r="G2888"/>
  <c r="K2888"/>
  <c r="O2888"/>
  <c r="E2889"/>
  <c r="I2889"/>
  <c r="M2889"/>
  <c r="Q2874"/>
  <c r="F2888"/>
  <c r="J2888"/>
  <c r="N2888"/>
  <c r="D2889"/>
  <c r="H2889"/>
  <c r="L2889"/>
  <c r="J2870"/>
  <c r="G2870"/>
  <c r="K2870"/>
  <c r="O2870"/>
  <c r="E2871"/>
  <c r="I2871"/>
  <c r="M2871"/>
  <c r="Q2856"/>
  <c r="D2871"/>
  <c r="H2871"/>
  <c r="L2871"/>
  <c r="G2852"/>
  <c r="K2852"/>
  <c r="O2852"/>
  <c r="E2853"/>
  <c r="I2853"/>
  <c r="M2853"/>
  <c r="Q2838"/>
  <c r="F2852"/>
  <c r="J2852"/>
  <c r="N2852"/>
  <c r="D2853"/>
  <c r="H2853"/>
  <c r="L2853"/>
  <c r="G2834"/>
  <c r="K2834"/>
  <c r="O2834"/>
  <c r="E2835"/>
  <c r="I2835"/>
  <c r="M2835"/>
  <c r="Q2820"/>
  <c r="F2834"/>
  <c r="J2834"/>
  <c r="N2834"/>
  <c r="D2835"/>
  <c r="H2835"/>
  <c r="L2835"/>
  <c r="L2798"/>
  <c r="H2798"/>
  <c r="D2798"/>
  <c r="G2816"/>
  <c r="K2816"/>
  <c r="O2816"/>
  <c r="E2817"/>
  <c r="I2817"/>
  <c r="M2817"/>
  <c r="Q2802"/>
  <c r="F2816"/>
  <c r="J2816"/>
  <c r="N2816"/>
  <c r="D2817"/>
  <c r="H2817"/>
  <c r="L2817"/>
  <c r="K2798"/>
  <c r="G2798"/>
  <c r="O2798"/>
  <c r="E2799"/>
  <c r="I2799"/>
  <c r="M2799"/>
  <c r="Q2784"/>
  <c r="F2798"/>
  <c r="J2798"/>
  <c r="N2798"/>
  <c r="G2780"/>
  <c r="K2780"/>
  <c r="O2780"/>
  <c r="E2781"/>
  <c r="I2781"/>
  <c r="M2781"/>
  <c r="Q2766"/>
  <c r="F2780"/>
  <c r="J2780"/>
  <c r="N2780"/>
  <c r="D2781"/>
  <c r="H2781"/>
  <c r="L2781"/>
  <c r="G2762"/>
  <c r="K2762"/>
  <c r="O2762"/>
  <c r="E2763"/>
  <c r="I2763"/>
  <c r="M2763"/>
  <c r="Q2748"/>
  <c r="F2762"/>
  <c r="J2762"/>
  <c r="N2762"/>
  <c r="D2763"/>
  <c r="H2763"/>
  <c r="L2763"/>
  <c r="K2708"/>
  <c r="L2726"/>
  <c r="G2708"/>
  <c r="D2726"/>
  <c r="G2744"/>
  <c r="K2744"/>
  <c r="O2744"/>
  <c r="E2745"/>
  <c r="I2745"/>
  <c r="M2745"/>
  <c r="Q2730"/>
  <c r="F2744"/>
  <c r="J2744"/>
  <c r="N2744"/>
  <c r="D2745"/>
  <c r="H2745"/>
  <c r="L2745"/>
  <c r="Q2727"/>
  <c r="I2726"/>
  <c r="H2726"/>
  <c r="E2726"/>
  <c r="M2726"/>
  <c r="G2726"/>
  <c r="K2726"/>
  <c r="O2726"/>
  <c r="Q2712"/>
  <c r="F2726"/>
  <c r="J2726"/>
  <c r="N2726"/>
  <c r="O2708"/>
  <c r="E2709"/>
  <c r="I2709"/>
  <c r="M2709"/>
  <c r="Q2694"/>
  <c r="F2708"/>
  <c r="J2708"/>
  <c r="N2708"/>
  <c r="D2709"/>
  <c r="H2709"/>
  <c r="L2709"/>
  <c r="J2690"/>
  <c r="F2690"/>
  <c r="N2690"/>
  <c r="G2690"/>
  <c r="K2690"/>
  <c r="O2690"/>
  <c r="E2691"/>
  <c r="I2691"/>
  <c r="M2691"/>
  <c r="H2691"/>
  <c r="L2691"/>
  <c r="Q2676"/>
  <c r="D2691"/>
  <c r="G2672"/>
  <c r="K2672"/>
  <c r="O2672"/>
  <c r="E2673"/>
  <c r="I2673"/>
  <c r="M2673"/>
  <c r="Q2658"/>
  <c r="F2672"/>
  <c r="J2672"/>
  <c r="N2672"/>
  <c r="D2673"/>
  <c r="H2673"/>
  <c r="L2673"/>
  <c r="G2654"/>
  <c r="K2654"/>
  <c r="O2654"/>
  <c r="E2655"/>
  <c r="I2655"/>
  <c r="M2655"/>
  <c r="Q2640"/>
  <c r="F2654"/>
  <c r="J2654"/>
  <c r="N2654"/>
  <c r="D2655"/>
  <c r="H2655"/>
  <c r="L2655"/>
  <c r="G2636"/>
  <c r="K2636"/>
  <c r="O2636"/>
  <c r="E2637"/>
  <c r="I2637"/>
  <c r="M2637"/>
  <c r="Q2622"/>
  <c r="F2636"/>
  <c r="J2636"/>
  <c r="N2636"/>
  <c r="D2637"/>
  <c r="H2637"/>
  <c r="L2637"/>
  <c r="G2618"/>
  <c r="K2618"/>
  <c r="O2618"/>
  <c r="E2619"/>
  <c r="I2619"/>
  <c r="M2619"/>
  <c r="Q2604"/>
  <c r="F2618"/>
  <c r="J2618"/>
  <c r="N2618"/>
  <c r="D2619"/>
  <c r="H2619"/>
  <c r="L2619"/>
  <c r="G2600"/>
  <c r="K2600"/>
  <c r="O2600"/>
  <c r="E2601"/>
  <c r="I2601"/>
  <c r="M2601"/>
  <c r="Q2586"/>
  <c r="F2600"/>
  <c r="J2600"/>
  <c r="N2600"/>
  <c r="D2601"/>
  <c r="H2601"/>
  <c r="L2601"/>
  <c r="G2582"/>
  <c r="K2582"/>
  <c r="O2582"/>
  <c r="E2583"/>
  <c r="I2583"/>
  <c r="M2583"/>
  <c r="Q2568"/>
  <c r="F2582"/>
  <c r="J2582"/>
  <c r="N2582"/>
  <c r="D2583"/>
  <c r="H2583"/>
  <c r="L2583"/>
  <c r="G2564"/>
  <c r="K2564"/>
  <c r="O2564"/>
  <c r="E2565"/>
  <c r="I2565"/>
  <c r="M2565"/>
  <c r="Q2550"/>
  <c r="F2564"/>
  <c r="J2564"/>
  <c r="N2564"/>
  <c r="D2565"/>
  <c r="H2565"/>
  <c r="L2565"/>
  <c r="G2546"/>
  <c r="K2546"/>
  <c r="O2546"/>
  <c r="E2547"/>
  <c r="I2547"/>
  <c r="M2547"/>
  <c r="Q2532"/>
  <c r="F2546"/>
  <c r="J2546"/>
  <c r="N2546"/>
  <c r="D2547"/>
  <c r="H2547"/>
  <c r="L2547"/>
  <c r="G2528"/>
  <c r="K2528"/>
  <c r="O2528"/>
  <c r="E2529"/>
  <c r="I2529"/>
  <c r="M2529"/>
  <c r="Q2514"/>
  <c r="F2528"/>
  <c r="J2528"/>
  <c r="N2528"/>
  <c r="D2529"/>
  <c r="H2529"/>
  <c r="L2529"/>
  <c r="G2510"/>
  <c r="K2510"/>
  <c r="O2510"/>
  <c r="E2511"/>
  <c r="I2511"/>
  <c r="M2511"/>
  <c r="Q2496"/>
  <c r="F2510"/>
  <c r="J2510"/>
  <c r="N2510"/>
  <c r="D2511"/>
  <c r="H2511"/>
  <c r="L2511"/>
  <c r="G2492"/>
  <c r="K2492"/>
  <c r="O2492"/>
  <c r="E2493"/>
  <c r="I2493"/>
  <c r="M2493"/>
  <c r="Q2478"/>
  <c r="F2492"/>
  <c r="J2492"/>
  <c r="N2492"/>
  <c r="D2493"/>
  <c r="H2493"/>
  <c r="L2493"/>
  <c r="G2474"/>
  <c r="K2474"/>
  <c r="O2474"/>
  <c r="E2475"/>
  <c r="I2475"/>
  <c r="M2475"/>
  <c r="Q2460"/>
  <c r="F2474"/>
  <c r="J2474"/>
  <c r="N2474"/>
  <c r="D2475"/>
  <c r="H2475"/>
  <c r="L2475"/>
  <c r="G2456"/>
  <c r="K2456"/>
  <c r="O2456"/>
  <c r="E2457"/>
  <c r="I2457"/>
  <c r="M2457"/>
  <c r="Q2442"/>
  <c r="F2456"/>
  <c r="J2456"/>
  <c r="N2456"/>
  <c r="D2457"/>
  <c r="H2457"/>
  <c r="L2457"/>
  <c r="G2438"/>
  <c r="K2438"/>
  <c r="O2438"/>
  <c r="E2439"/>
  <c r="I2439"/>
  <c r="M2439"/>
  <c r="Q2424"/>
  <c r="F2438"/>
  <c r="J2438"/>
  <c r="N2438"/>
  <c r="D2439"/>
  <c r="H2439"/>
  <c r="L2439"/>
  <c r="G2420"/>
  <c r="K2420"/>
  <c r="O2420"/>
  <c r="E2421"/>
  <c r="I2421"/>
  <c r="M2421"/>
  <c r="Q2406"/>
  <c r="F2420"/>
  <c r="J2420"/>
  <c r="N2420"/>
  <c r="D2421"/>
  <c r="H2421"/>
  <c r="L2421"/>
  <c r="G2402"/>
  <c r="K2402"/>
  <c r="O2402"/>
  <c r="E2403"/>
  <c r="I2403"/>
  <c r="M2403"/>
  <c r="Q2388"/>
  <c r="F2402"/>
  <c r="J2402"/>
  <c r="N2402"/>
  <c r="D2403"/>
  <c r="H2403"/>
  <c r="L2403"/>
  <c r="G2384"/>
  <c r="K2384"/>
  <c r="O2384"/>
  <c r="E2385"/>
  <c r="I2385"/>
  <c r="M2385"/>
  <c r="Q2370"/>
  <c r="F2384"/>
  <c r="J2384"/>
  <c r="N2384"/>
  <c r="D2385"/>
  <c r="H2385"/>
  <c r="L2385"/>
  <c r="K2348"/>
  <c r="G2366"/>
  <c r="K2366"/>
  <c r="O2366"/>
  <c r="E2367"/>
  <c r="I2367"/>
  <c r="M2367"/>
  <c r="Q2352"/>
  <c r="F2366"/>
  <c r="J2366"/>
  <c r="N2366"/>
  <c r="D2367"/>
  <c r="H2367"/>
  <c r="L2367"/>
  <c r="H2348"/>
  <c r="G2348"/>
  <c r="O2348"/>
  <c r="D2348"/>
  <c r="L2348"/>
  <c r="E2349"/>
  <c r="I2349"/>
  <c r="M2349"/>
  <c r="Q2334"/>
  <c r="F2348"/>
  <c r="J2348"/>
  <c r="N2348"/>
  <c r="I2312"/>
  <c r="G2330"/>
  <c r="K2330"/>
  <c r="O2330"/>
  <c r="E2331"/>
  <c r="I2331"/>
  <c r="M2331"/>
  <c r="Q2316"/>
  <c r="F2330"/>
  <c r="J2330"/>
  <c r="N2330"/>
  <c r="D2331"/>
  <c r="H2331"/>
  <c r="L2331"/>
  <c r="E2312"/>
  <c r="M2312"/>
  <c r="G2312"/>
  <c r="K2312"/>
  <c r="O2312"/>
  <c r="Q2298"/>
  <c r="F2312"/>
  <c r="J2312"/>
  <c r="N2312"/>
  <c r="D2313"/>
  <c r="H2313"/>
  <c r="L2313"/>
  <c r="G2294"/>
  <c r="K2294"/>
  <c r="O2294"/>
  <c r="E2295"/>
  <c r="I2295"/>
  <c r="M2295"/>
  <c r="Q2280"/>
  <c r="F2294"/>
  <c r="J2294"/>
  <c r="N2294"/>
  <c r="D2295"/>
  <c r="H2295"/>
  <c r="L2295"/>
  <c r="G2276"/>
  <c r="K2276"/>
  <c r="O2276"/>
  <c r="E2277"/>
  <c r="I2277"/>
  <c r="M2277"/>
  <c r="Q2262"/>
  <c r="F2276"/>
  <c r="J2276"/>
  <c r="N2276"/>
  <c r="D2277"/>
  <c r="H2277"/>
  <c r="L2277"/>
  <c r="G2258"/>
  <c r="K2258"/>
  <c r="O2258"/>
  <c r="E2259"/>
  <c r="I2259"/>
  <c r="M2259"/>
  <c r="Q2244"/>
  <c r="F2258"/>
  <c r="J2258"/>
  <c r="N2258"/>
  <c r="D2259"/>
  <c r="H2259"/>
  <c r="L2259"/>
  <c r="F2222"/>
  <c r="G2240"/>
  <c r="K2240"/>
  <c r="O2240"/>
  <c r="E2241"/>
  <c r="I2241"/>
  <c r="M2241"/>
  <c r="Q2226"/>
  <c r="F2240"/>
  <c r="J2240"/>
  <c r="N2240"/>
  <c r="D2241"/>
  <c r="H2241"/>
  <c r="L2241"/>
  <c r="N2222"/>
  <c r="J2222"/>
  <c r="G2222"/>
  <c r="K2222"/>
  <c r="O2222"/>
  <c r="E2223"/>
  <c r="I2223"/>
  <c r="M2223"/>
  <c r="Q2208"/>
  <c r="D2223"/>
  <c r="H2223"/>
  <c r="L2223"/>
  <c r="G2204"/>
  <c r="K2204"/>
  <c r="O2204"/>
  <c r="E2205"/>
  <c r="I2205"/>
  <c r="M2205"/>
  <c r="Q2190"/>
  <c r="F2204"/>
  <c r="J2204"/>
  <c r="N2204"/>
  <c r="D2205"/>
  <c r="H2205"/>
  <c r="L2205"/>
  <c r="Q1172"/>
  <c r="Q1171"/>
  <c r="Q1152"/>
  <c r="Q1153"/>
  <c r="Q1134"/>
  <c r="Q1133"/>
  <c r="Q1095"/>
  <c r="Q1115"/>
  <c r="Q1114"/>
  <c r="Q1096"/>
  <c r="Q1077"/>
  <c r="Q1076"/>
  <c r="Q1058"/>
  <c r="Q1057"/>
  <c r="Q1039"/>
  <c r="Q1038"/>
  <c r="Q1019"/>
  <c r="Q1020"/>
  <c r="Q1001"/>
  <c r="Q1000"/>
  <c r="Q982"/>
  <c r="Q981"/>
  <c r="Q963"/>
  <c r="Q962"/>
  <c r="Q943"/>
  <c r="Q944"/>
  <c r="Q925"/>
  <c r="Q924"/>
  <c r="Q906"/>
  <c r="Q905"/>
  <c r="Q887"/>
  <c r="Q886"/>
  <c r="Q849"/>
  <c r="Q868"/>
  <c r="Q867"/>
  <c r="Q848"/>
  <c r="Q830"/>
  <c r="Q829"/>
  <c r="Q810"/>
  <c r="Q811"/>
  <c r="Q792"/>
  <c r="Q773"/>
  <c r="Q791"/>
  <c r="Q640"/>
  <c r="Q772"/>
  <c r="Q753"/>
  <c r="Q754"/>
  <c r="Q735"/>
  <c r="Q734"/>
  <c r="Q716"/>
  <c r="Q715"/>
  <c r="Q697"/>
  <c r="Q696"/>
  <c r="G2186"/>
  <c r="K2186"/>
  <c r="O2186"/>
  <c r="E2187"/>
  <c r="I2187"/>
  <c r="M2187"/>
  <c r="F2186"/>
  <c r="J2186"/>
  <c r="N2186"/>
  <c r="D2187"/>
  <c r="H2187"/>
  <c r="L2187"/>
  <c r="G2132"/>
  <c r="G2168"/>
  <c r="K2168"/>
  <c r="O2168"/>
  <c r="E2169"/>
  <c r="I2169"/>
  <c r="M2169"/>
  <c r="F2168"/>
  <c r="J2168"/>
  <c r="N2168"/>
  <c r="D2169"/>
  <c r="H2169"/>
  <c r="L2169"/>
  <c r="G2150"/>
  <c r="K2150"/>
  <c r="O2150"/>
  <c r="E2151"/>
  <c r="I2151"/>
  <c r="M2151"/>
  <c r="F2150"/>
  <c r="J2150"/>
  <c r="N2150"/>
  <c r="D2151"/>
  <c r="H2151"/>
  <c r="L2151"/>
  <c r="N2114"/>
  <c r="K2132"/>
  <c r="J2114"/>
  <c r="O2132"/>
  <c r="E2133"/>
  <c r="I2133"/>
  <c r="M2133"/>
  <c r="F2132"/>
  <c r="J2132"/>
  <c r="N2132"/>
  <c r="D2133"/>
  <c r="H2133"/>
  <c r="L2133"/>
  <c r="F2114"/>
  <c r="G2114"/>
  <c r="K2114"/>
  <c r="O2114"/>
  <c r="E2115"/>
  <c r="I2115"/>
  <c r="M2115"/>
  <c r="D2115"/>
  <c r="H2115"/>
  <c r="L2115"/>
  <c r="G2096"/>
  <c r="K2096"/>
  <c r="O2096"/>
  <c r="E2097"/>
  <c r="I2097"/>
  <c r="M2097"/>
  <c r="F2096"/>
  <c r="J2096"/>
  <c r="N2096"/>
  <c r="D2097"/>
  <c r="H2097"/>
  <c r="L2097"/>
  <c r="G2078"/>
  <c r="K2078"/>
  <c r="O2078"/>
  <c r="E2079"/>
  <c r="I2079"/>
  <c r="M2079"/>
  <c r="F2078"/>
  <c r="J2078"/>
  <c r="N2078"/>
  <c r="D2079"/>
  <c r="H2079"/>
  <c r="L2079"/>
  <c r="F2060"/>
  <c r="N2060"/>
  <c r="J2060"/>
  <c r="G2060"/>
  <c r="K2060"/>
  <c r="O2060"/>
  <c r="E2061"/>
  <c r="I2061"/>
  <c r="M2061"/>
  <c r="D2061"/>
  <c r="H2061"/>
  <c r="L2061"/>
  <c r="K2042"/>
  <c r="O2024"/>
  <c r="G2042"/>
  <c r="G2024"/>
  <c r="O2042"/>
  <c r="E2043"/>
  <c r="I2043"/>
  <c r="M2043"/>
  <c r="F2042"/>
  <c r="J2042"/>
  <c r="N2042"/>
  <c r="D2043"/>
  <c r="H2043"/>
  <c r="L2043"/>
  <c r="K2024"/>
  <c r="E2025"/>
  <c r="I2025"/>
  <c r="M2025"/>
  <c r="F2024"/>
  <c r="J2024"/>
  <c r="N2024"/>
  <c r="D2025"/>
  <c r="H2025"/>
  <c r="L2025"/>
  <c r="G2006"/>
  <c r="K2006"/>
  <c r="O2006"/>
  <c r="E2007"/>
  <c r="I2007"/>
  <c r="M2007"/>
  <c r="F2006"/>
  <c r="J2006"/>
  <c r="N2006"/>
  <c r="D2007"/>
  <c r="H2007"/>
  <c r="L2007"/>
  <c r="N1952"/>
  <c r="G1988"/>
  <c r="K1988"/>
  <c r="O1988"/>
  <c r="E1989"/>
  <c r="I1989"/>
  <c r="M1989"/>
  <c r="F1988"/>
  <c r="J1988"/>
  <c r="N1988"/>
  <c r="D1989"/>
  <c r="H1989"/>
  <c r="L1989"/>
  <c r="F1970"/>
  <c r="J1952"/>
  <c r="N1970"/>
  <c r="J1970"/>
  <c r="G1970"/>
  <c r="K1970"/>
  <c r="O1970"/>
  <c r="E1971"/>
  <c r="I1971"/>
  <c r="M1971"/>
  <c r="D1971"/>
  <c r="H1971"/>
  <c r="L1971"/>
  <c r="F1952"/>
  <c r="G1952"/>
  <c r="K1952"/>
  <c r="O1952"/>
  <c r="E1953"/>
  <c r="I1953"/>
  <c r="M1953"/>
  <c r="D1953"/>
  <c r="H1953"/>
  <c r="L1953"/>
  <c r="G1934"/>
  <c r="K1934"/>
  <c r="O1934"/>
  <c r="E1935"/>
  <c r="I1935"/>
  <c r="M1935"/>
  <c r="F1934"/>
  <c r="J1934"/>
  <c r="N1934"/>
  <c r="D1935"/>
  <c r="H1935"/>
  <c r="L1935"/>
  <c r="N1880"/>
  <c r="F1916"/>
  <c r="N1916"/>
  <c r="J1916"/>
  <c r="G1916"/>
  <c r="K1916"/>
  <c r="O1916"/>
  <c r="E1917"/>
  <c r="I1917"/>
  <c r="M1917"/>
  <c r="D1917"/>
  <c r="H1917"/>
  <c r="L1917"/>
  <c r="J1880"/>
  <c r="G1898"/>
  <c r="K1898"/>
  <c r="O1898"/>
  <c r="E1899"/>
  <c r="I1899"/>
  <c r="M1899"/>
  <c r="F1898"/>
  <c r="J1898"/>
  <c r="N1898"/>
  <c r="D1899"/>
  <c r="H1899"/>
  <c r="L1899"/>
  <c r="F1880"/>
  <c r="G1880"/>
  <c r="K1880"/>
  <c r="O1880"/>
  <c r="E1881"/>
  <c r="I1881"/>
  <c r="M1881"/>
  <c r="D1881"/>
  <c r="H1881"/>
  <c r="L1881"/>
  <c r="G1862"/>
  <c r="O1862"/>
  <c r="D1862"/>
  <c r="L1862"/>
  <c r="K1862"/>
  <c r="H1862"/>
  <c r="E1863"/>
  <c r="I1863"/>
  <c r="M1863"/>
  <c r="F1862"/>
  <c r="J1862"/>
  <c r="N1862"/>
  <c r="J1826"/>
  <c r="G1844"/>
  <c r="K1844"/>
  <c r="O1844"/>
  <c r="E1845"/>
  <c r="I1845"/>
  <c r="M1845"/>
  <c r="F1844"/>
  <c r="J1844"/>
  <c r="N1844"/>
  <c r="D1845"/>
  <c r="H1845"/>
  <c r="L1845"/>
  <c r="F1826"/>
  <c r="N1826"/>
  <c r="G1826"/>
  <c r="K1826"/>
  <c r="O1826"/>
  <c r="E1827"/>
  <c r="I1827"/>
  <c r="M1827"/>
  <c r="D1827"/>
  <c r="H1827"/>
  <c r="L1827"/>
  <c r="G1808"/>
  <c r="K1808"/>
  <c r="O1808"/>
  <c r="E1809"/>
  <c r="I1809"/>
  <c r="M1809"/>
  <c r="F1808"/>
  <c r="J1808"/>
  <c r="N1808"/>
  <c r="D1809"/>
  <c r="H1809"/>
  <c r="L1809"/>
  <c r="K1790"/>
  <c r="G1790"/>
  <c r="K1718"/>
  <c r="O1790"/>
  <c r="E1791"/>
  <c r="I1791"/>
  <c r="M1791"/>
  <c r="F1790"/>
  <c r="J1790"/>
  <c r="N1790"/>
  <c r="D1791"/>
  <c r="H1791"/>
  <c r="L1791"/>
  <c r="K1772"/>
  <c r="G1772"/>
  <c r="O1772"/>
  <c r="E1773"/>
  <c r="I1773"/>
  <c r="M1773"/>
  <c r="F1772"/>
  <c r="J1772"/>
  <c r="N1772"/>
  <c r="D1773"/>
  <c r="H1773"/>
  <c r="L1773"/>
  <c r="D1754"/>
  <c r="L1754"/>
  <c r="G1754"/>
  <c r="O1754"/>
  <c r="K1754"/>
  <c r="H1754"/>
  <c r="E1755"/>
  <c r="I1755"/>
  <c r="M1755"/>
  <c r="F1754"/>
  <c r="J1754"/>
  <c r="N1754"/>
  <c r="N1736"/>
  <c r="F1736"/>
  <c r="J1736"/>
  <c r="G1736"/>
  <c r="K1736"/>
  <c r="O1736"/>
  <c r="E1737"/>
  <c r="I1737"/>
  <c r="M1737"/>
  <c r="D1737"/>
  <c r="H1737"/>
  <c r="L1737"/>
  <c r="D1718"/>
  <c r="L1718"/>
  <c r="H1718"/>
  <c r="G1718"/>
  <c r="O1718"/>
  <c r="E1719"/>
  <c r="I1719"/>
  <c r="M1719"/>
  <c r="F1718"/>
  <c r="J1718"/>
  <c r="N1718"/>
  <c r="O1682"/>
  <c r="G1700"/>
  <c r="K1700"/>
  <c r="O1700"/>
  <c r="E1701"/>
  <c r="I1701"/>
  <c r="M1701"/>
  <c r="F1700"/>
  <c r="J1700"/>
  <c r="N1700"/>
  <c r="D1701"/>
  <c r="H1701"/>
  <c r="L1701"/>
  <c r="K1682"/>
  <c r="G1682"/>
  <c r="E1683"/>
  <c r="I1683"/>
  <c r="M1683"/>
  <c r="F1682"/>
  <c r="J1682"/>
  <c r="N1682"/>
  <c r="D1683"/>
  <c r="H1683"/>
  <c r="L1683"/>
  <c r="N1664"/>
  <c r="F1664"/>
  <c r="J1664"/>
  <c r="G1664"/>
  <c r="K1664"/>
  <c r="O1664"/>
  <c r="E1665"/>
  <c r="I1665"/>
  <c r="M1665"/>
  <c r="D1665"/>
  <c r="H1665"/>
  <c r="L1665"/>
  <c r="N1628"/>
  <c r="G1646"/>
  <c r="K1646"/>
  <c r="O1646"/>
  <c r="E1647"/>
  <c r="I1647"/>
  <c r="M1647"/>
  <c r="F1646"/>
  <c r="J1646"/>
  <c r="N1646"/>
  <c r="D1647"/>
  <c r="H1647"/>
  <c r="L1647"/>
  <c r="F1628"/>
  <c r="J1628"/>
  <c r="G1628"/>
  <c r="K1628"/>
  <c r="O1628"/>
  <c r="E1629"/>
  <c r="I1629"/>
  <c r="M1629"/>
  <c r="D1629"/>
  <c r="H1629"/>
  <c r="L1629"/>
  <c r="G1610"/>
  <c r="K1610"/>
  <c r="O1610"/>
  <c r="E1611"/>
  <c r="I1611"/>
  <c r="M1611"/>
  <c r="F1610"/>
  <c r="J1610"/>
  <c r="N1610"/>
  <c r="D1611"/>
  <c r="H1611"/>
  <c r="L1611"/>
  <c r="H1592"/>
  <c r="L1592"/>
  <c r="N1574"/>
  <c r="D1592"/>
  <c r="J1574"/>
  <c r="G1592"/>
  <c r="K1592"/>
  <c r="O1592"/>
  <c r="E1593"/>
  <c r="I1593"/>
  <c r="M1593"/>
  <c r="F1592"/>
  <c r="J1592"/>
  <c r="N1592"/>
  <c r="F1574"/>
  <c r="G1574"/>
  <c r="K1574"/>
  <c r="O1574"/>
  <c r="E1575"/>
  <c r="I1575"/>
  <c r="M1575"/>
  <c r="D1575"/>
  <c r="H1575"/>
  <c r="L1575"/>
  <c r="Q677"/>
  <c r="Q678"/>
  <c r="Q659"/>
  <c r="Q658"/>
  <c r="Q621"/>
  <c r="Q639"/>
  <c r="Q620"/>
  <c r="Q602"/>
  <c r="Q601"/>
  <c r="Q563"/>
  <c r="Q583"/>
  <c r="Q582"/>
  <c r="Q564"/>
  <c r="Q545"/>
  <c r="Q526"/>
  <c r="Q544"/>
  <c r="Q525"/>
  <c r="Q507"/>
  <c r="Q506"/>
  <c r="Q469"/>
  <c r="Q488"/>
  <c r="Q487"/>
  <c r="Q468"/>
  <c r="Q431"/>
  <c r="Q449"/>
  <c r="Q450"/>
  <c r="Q411"/>
  <c r="Q430"/>
  <c r="Q412"/>
  <c r="Q374"/>
  <c r="Q393"/>
  <c r="Q392"/>
  <c r="Q354"/>
  <c r="Q373"/>
  <c r="Q355"/>
  <c r="G1556"/>
  <c r="O1556"/>
  <c r="F1556"/>
  <c r="N1556"/>
  <c r="K1556"/>
  <c r="J1556"/>
  <c r="E1557"/>
  <c r="I1557"/>
  <c r="M1557"/>
  <c r="D1557"/>
  <c r="H1557"/>
  <c r="L1557"/>
  <c r="D1484"/>
  <c r="O1538"/>
  <c r="K1538"/>
  <c r="L1484"/>
  <c r="G1538"/>
  <c r="E1539"/>
  <c r="I1539"/>
  <c r="M1539"/>
  <c r="F1538"/>
  <c r="J1538"/>
  <c r="N1538"/>
  <c r="D1539"/>
  <c r="H1539"/>
  <c r="L1539"/>
  <c r="G1520"/>
  <c r="K1520"/>
  <c r="O1520"/>
  <c r="E1521"/>
  <c r="I1521"/>
  <c r="M1521"/>
  <c r="F1520"/>
  <c r="J1520"/>
  <c r="N1520"/>
  <c r="D1521"/>
  <c r="H1521"/>
  <c r="L1521"/>
  <c r="K1502"/>
  <c r="G1502"/>
  <c r="O1502"/>
  <c r="E1503"/>
  <c r="I1503"/>
  <c r="M1503"/>
  <c r="F1502"/>
  <c r="J1502"/>
  <c r="N1502"/>
  <c r="D1503"/>
  <c r="H1503"/>
  <c r="L1503"/>
  <c r="K1484"/>
  <c r="H1484"/>
  <c r="G1484"/>
  <c r="O1484"/>
  <c r="F1484"/>
  <c r="J1484"/>
  <c r="N1484"/>
  <c r="E1485"/>
  <c r="I1485"/>
  <c r="M1485"/>
  <c r="K1466"/>
  <c r="G1466"/>
  <c r="D3161"/>
  <c r="O1466"/>
  <c r="E1467"/>
  <c r="I1467"/>
  <c r="M1467"/>
  <c r="F1466"/>
  <c r="J1466"/>
  <c r="N1466"/>
  <c r="D1467"/>
  <c r="H1467"/>
  <c r="L1467"/>
  <c r="N1448"/>
  <c r="F1448"/>
  <c r="J1448"/>
  <c r="G1448"/>
  <c r="K1448"/>
  <c r="O1448"/>
  <c r="E1449"/>
  <c r="I1449"/>
  <c r="M1449"/>
  <c r="D1449"/>
  <c r="H1449"/>
  <c r="L1449"/>
  <c r="K1430"/>
  <c r="L1412"/>
  <c r="G1430"/>
  <c r="K1412"/>
  <c r="D1394"/>
  <c r="D1412"/>
  <c r="O1430"/>
  <c r="E1431"/>
  <c r="I1431"/>
  <c r="M1431"/>
  <c r="F1430"/>
  <c r="J1430"/>
  <c r="N1430"/>
  <c r="D1431"/>
  <c r="H1431"/>
  <c r="L1431"/>
  <c r="H1412"/>
  <c r="O1376"/>
  <c r="L1394"/>
  <c r="G1412"/>
  <c r="O1412"/>
  <c r="E1413"/>
  <c r="I1413"/>
  <c r="M1413"/>
  <c r="F1412"/>
  <c r="J1412"/>
  <c r="N1412"/>
  <c r="G1394"/>
  <c r="O1394"/>
  <c r="G3161"/>
  <c r="K1394"/>
  <c r="J3160"/>
  <c r="H1394"/>
  <c r="F1394"/>
  <c r="J1394"/>
  <c r="N1394"/>
  <c r="E1394"/>
  <c r="I1394"/>
  <c r="M1394"/>
  <c r="O1358"/>
  <c r="K1376"/>
  <c r="O3161"/>
  <c r="G1376"/>
  <c r="E1377"/>
  <c r="I1377"/>
  <c r="M1377"/>
  <c r="F1376"/>
  <c r="J1376"/>
  <c r="N1376"/>
  <c r="D1377"/>
  <c r="H1377"/>
  <c r="L1377"/>
  <c r="K1358"/>
  <c r="H3161"/>
  <c r="L3161"/>
  <c r="G1358"/>
  <c r="E1359"/>
  <c r="I1359"/>
  <c r="M1359"/>
  <c r="F1358"/>
  <c r="J1358"/>
  <c r="N1358"/>
  <c r="D1359"/>
  <c r="H1359"/>
  <c r="L1359"/>
  <c r="E1340"/>
  <c r="M1340"/>
  <c r="I1340"/>
  <c r="H1340"/>
  <c r="E3161"/>
  <c r="I3161"/>
  <c r="M3161"/>
  <c r="D1340"/>
  <c r="L1340"/>
  <c r="G1340"/>
  <c r="K1340"/>
  <c r="O1340"/>
  <c r="F1340"/>
  <c r="J1340"/>
  <c r="N1340"/>
  <c r="Q335"/>
  <c r="Q336"/>
  <c r="Q317"/>
  <c r="Q316"/>
  <c r="Q298"/>
  <c r="Q297"/>
  <c r="Q279"/>
  <c r="Q278"/>
  <c r="Q259"/>
  <c r="Q260"/>
  <c r="Q240"/>
  <c r="Q241"/>
  <c r="Q184"/>
  <c r="Q221"/>
  <c r="Q222"/>
  <c r="Q203"/>
  <c r="Q202"/>
  <c r="Q183"/>
  <c r="Q165"/>
  <c r="Q164"/>
  <c r="Q146"/>
  <c r="Q145"/>
  <c r="Q127"/>
  <c r="Q126"/>
  <c r="Q108"/>
  <c r="Q107"/>
  <c r="Q88"/>
  <c r="K3162"/>
  <c r="Q50"/>
  <c r="Q89"/>
  <c r="J9" i="23"/>
  <c r="O9" s="1"/>
  <c r="D18"/>
  <c r="Q31" i="25"/>
  <c r="Q32"/>
  <c r="P3162"/>
  <c r="Q3162" s="1"/>
  <c r="Q69"/>
  <c r="Q70"/>
  <c r="D1322"/>
  <c r="L1322"/>
  <c r="L3172" s="1"/>
  <c r="D3160"/>
  <c r="Q51"/>
  <c r="I1322"/>
  <c r="I3172" s="1"/>
  <c r="H1322"/>
  <c r="H3172" s="1"/>
  <c r="E1322"/>
  <c r="E3172" s="1"/>
  <c r="M1322"/>
  <c r="M3172" s="1"/>
  <c r="Q13"/>
  <c r="K3161"/>
  <c r="F1323"/>
  <c r="F3162" s="1"/>
  <c r="J1323"/>
  <c r="J3162" s="1"/>
  <c r="N1323"/>
  <c r="N3162" s="1"/>
  <c r="N3161"/>
  <c r="G1322"/>
  <c r="G3172" s="1"/>
  <c r="K1322"/>
  <c r="K3172" s="1"/>
  <c r="O1322"/>
  <c r="O3172" s="1"/>
  <c r="E1323"/>
  <c r="I1323"/>
  <c r="M1323"/>
  <c r="D3172"/>
  <c r="G1323"/>
  <c r="G3162" s="1"/>
  <c r="O1323"/>
  <c r="O3162" s="1"/>
  <c r="F3161"/>
  <c r="J3161"/>
  <c r="J1322"/>
  <c r="J3172" s="1"/>
  <c r="D1323"/>
  <c r="H1323"/>
  <c r="L1323"/>
  <c r="O15" i="23"/>
  <c r="C24"/>
  <c r="O17"/>
  <c r="O13"/>
  <c r="O7"/>
  <c r="C16"/>
  <c r="C18" s="1"/>
  <c r="O18" s="1"/>
  <c r="C20" i="6" l="1"/>
  <c r="Q3122" i="25"/>
  <c r="Q3158"/>
  <c r="Q3159"/>
  <c r="Q3140"/>
  <c r="Q3141"/>
  <c r="Q3086"/>
  <c r="Q3123"/>
  <c r="Q3104"/>
  <c r="Q3068"/>
  <c r="Q3105"/>
  <c r="Q3087"/>
  <c r="Q2996"/>
  <c r="Q3032"/>
  <c r="Q3050"/>
  <c r="Q3051"/>
  <c r="Q3033"/>
  <c r="Q3014"/>
  <c r="Q2978"/>
  <c r="Q2997"/>
  <c r="Q2979"/>
  <c r="Q2960"/>
  <c r="Q2961"/>
  <c r="Q2942"/>
  <c r="Q2943"/>
  <c r="Q2870"/>
  <c r="Q2924"/>
  <c r="Q2925"/>
  <c r="Q2906"/>
  <c r="Q2907"/>
  <c r="Q2888"/>
  <c r="Q2816"/>
  <c r="Q2889"/>
  <c r="Q2871"/>
  <c r="Q2852"/>
  <c r="Q2853"/>
  <c r="Q2834"/>
  <c r="Q2835"/>
  <c r="Q2817"/>
  <c r="Q2799"/>
  <c r="Q2798"/>
  <c r="Q2744"/>
  <c r="Q2780"/>
  <c r="Q2781"/>
  <c r="Q2762"/>
  <c r="Q2763"/>
  <c r="Q2745"/>
  <c r="Q2708"/>
  <c r="Q2726"/>
  <c r="Q2709"/>
  <c r="Q2690"/>
  <c r="Q2691"/>
  <c r="Q2636"/>
  <c r="Q2672"/>
  <c r="Q2673"/>
  <c r="Q2618"/>
  <c r="Q2654"/>
  <c r="Q2655"/>
  <c r="Q2637"/>
  <c r="Q2619"/>
  <c r="Q2600"/>
  <c r="Q2601"/>
  <c r="Q2582"/>
  <c r="Q2583"/>
  <c r="Q2564"/>
  <c r="Q2565"/>
  <c r="Q2510"/>
  <c r="Q2546"/>
  <c r="Q2547"/>
  <c r="Q2528"/>
  <c r="Q2529"/>
  <c r="Q2511"/>
  <c r="Q2492"/>
  <c r="Q2493"/>
  <c r="Q2474"/>
  <c r="Q2475"/>
  <c r="Q2456"/>
  <c r="Q2457"/>
  <c r="Q2438"/>
  <c r="Q2439"/>
  <c r="Q2420"/>
  <c r="Q2421"/>
  <c r="Q2366"/>
  <c r="Q2402"/>
  <c r="Q2403"/>
  <c r="Q2384"/>
  <c r="Q2385"/>
  <c r="Q2367"/>
  <c r="Q2330"/>
  <c r="Q2348"/>
  <c r="Q2349"/>
  <c r="Q2258"/>
  <c r="Q2331"/>
  <c r="Q2312"/>
  <c r="Q2313"/>
  <c r="Q2294"/>
  <c r="Q2295"/>
  <c r="Q2276"/>
  <c r="Q2277"/>
  <c r="Q2240"/>
  <c r="Q2259"/>
  <c r="Q2241"/>
  <c r="Q2222"/>
  <c r="Q2223"/>
  <c r="Q2204"/>
  <c r="Q2205"/>
  <c r="H3162"/>
  <c r="I3162"/>
  <c r="L3162"/>
  <c r="E3162"/>
  <c r="D3162"/>
  <c r="M3162"/>
  <c r="C23" i="23"/>
  <c r="C25" s="1"/>
  <c r="O16"/>
  <c r="P37" i="12" l="1"/>
  <c r="P36"/>
  <c r="M36"/>
  <c r="I36"/>
  <c r="E36"/>
  <c r="O22"/>
  <c r="O37" s="1"/>
  <c r="N22"/>
  <c r="N37" s="1"/>
  <c r="M22"/>
  <c r="M37" s="1"/>
  <c r="L22"/>
  <c r="L36" s="1"/>
  <c r="K22"/>
  <c r="K37" s="1"/>
  <c r="J22"/>
  <c r="J37" s="1"/>
  <c r="I37"/>
  <c r="H22"/>
  <c r="H36" s="1"/>
  <c r="G22"/>
  <c r="G37" s="1"/>
  <c r="F22"/>
  <c r="F37" s="1"/>
  <c r="E22"/>
  <c r="E37" s="1"/>
  <c r="D22"/>
  <c r="G36" l="1"/>
  <c r="K36"/>
  <c r="O36"/>
  <c r="F36"/>
  <c r="J36"/>
  <c r="N36"/>
  <c r="H37"/>
  <c r="L37"/>
  <c r="J59" i="13" l="1"/>
  <c r="J58"/>
  <c r="J57"/>
  <c r="J56"/>
  <c r="J55"/>
  <c r="J54"/>
  <c r="O62"/>
  <c r="Q18" i="12" l="1"/>
  <c r="Q1"/>
  <c r="D18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Q17"/>
  <c r="Q16"/>
  <c r="Q15"/>
  <c r="Q14"/>
  <c r="Q13"/>
  <c r="Q12"/>
  <c r="Q11"/>
  <c r="Q10"/>
  <c r="Q9"/>
  <c r="Q8"/>
  <c r="Q7"/>
  <c r="Q6"/>
  <c r="Q5"/>
  <c r="Q4"/>
  <c r="Q3"/>
  <c r="Q2"/>
  <c r="E62" i="13"/>
  <c r="D59"/>
  <c r="D54"/>
  <c r="E32"/>
  <c r="F62"/>
  <c r="D31"/>
  <c r="D32"/>
  <c r="D63" i="9"/>
  <c r="D52"/>
  <c r="Q19" i="12" l="1"/>
  <c r="E59" i="13"/>
  <c r="F59"/>
  <c r="G59"/>
  <c r="H59"/>
  <c r="I59"/>
  <c r="K59"/>
  <c r="L59"/>
  <c r="M59"/>
  <c r="N59"/>
  <c r="O59"/>
  <c r="P59"/>
  <c r="Q59" s="1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E54"/>
  <c r="F54"/>
  <c r="G54"/>
  <c r="H54"/>
  <c r="I54"/>
  <c r="K54"/>
  <c r="L54"/>
  <c r="M54"/>
  <c r="N54"/>
  <c r="O54"/>
  <c r="P54"/>
  <c r="P52"/>
  <c r="Q52" s="1"/>
  <c r="D58"/>
  <c r="D57"/>
  <c r="D56"/>
  <c r="D55"/>
  <c r="P51"/>
  <c r="Q51" s="1"/>
  <c r="E51"/>
  <c r="F51"/>
  <c r="G51"/>
  <c r="H51"/>
  <c r="I51"/>
  <c r="K51"/>
  <c r="L51"/>
  <c r="M51"/>
  <c r="N51"/>
  <c r="O51"/>
  <c r="Q14"/>
  <c r="G18" i="6" l="1"/>
  <c r="D63" i="13"/>
  <c r="D52"/>
  <c r="D51"/>
  <c r="N62"/>
  <c r="M62"/>
  <c r="L62"/>
  <c r="K62"/>
  <c r="J62"/>
  <c r="I62"/>
  <c r="H62"/>
  <c r="G62"/>
  <c r="Q58"/>
  <c r="Q57"/>
  <c r="Q56"/>
  <c r="Q55"/>
  <c r="Q54"/>
  <c r="O52"/>
  <c r="N52"/>
  <c r="M52"/>
  <c r="L52"/>
  <c r="I52"/>
  <c r="H52"/>
  <c r="G52"/>
  <c r="E52"/>
  <c r="P32"/>
  <c r="P53" s="1"/>
  <c r="O32"/>
  <c r="N32"/>
  <c r="M32"/>
  <c r="L32"/>
  <c r="K32"/>
  <c r="J32"/>
  <c r="I32"/>
  <c r="H32"/>
  <c r="G32"/>
  <c r="F32"/>
  <c r="P31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O18" i="6" l="1"/>
  <c r="F52" i="13"/>
  <c r="F63"/>
  <c r="J51"/>
  <c r="J52"/>
  <c r="O53"/>
  <c r="Q32"/>
  <c r="Q8" i="6" s="1"/>
  <c r="K53" i="13"/>
  <c r="K52"/>
  <c r="D53"/>
  <c r="I53"/>
  <c r="O63"/>
  <c r="H53"/>
  <c r="G63"/>
  <c r="G53"/>
  <c r="M53"/>
  <c r="L53"/>
  <c r="Q31"/>
  <c r="K63"/>
  <c r="E53"/>
  <c r="J63"/>
  <c r="Q13"/>
  <c r="Q7" i="6" s="1"/>
  <c r="E63" i="13"/>
  <c r="I63"/>
  <c r="M63"/>
  <c r="N63"/>
  <c r="H63"/>
  <c r="L63"/>
  <c r="F53"/>
  <c r="J53"/>
  <c r="N53"/>
  <c r="Q53" l="1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7" i="6" l="1"/>
  <c r="J17" l="1"/>
  <c r="L17"/>
  <c r="I17"/>
  <c r="H17"/>
  <c r="F17"/>
  <c r="G17"/>
  <c r="E17"/>
  <c r="O19" l="1"/>
  <c r="L20"/>
  <c r="O8"/>
  <c r="O7"/>
  <c r="I20" l="1"/>
  <c r="F20"/>
  <c r="K20"/>
  <c r="N20"/>
  <c r="J20"/>
  <c r="D20"/>
  <c r="G20"/>
  <c r="E20"/>
  <c r="M20"/>
  <c r="H20" l="1"/>
  <c r="O20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4.xml><?xml version="1.0" encoding="utf-8"?>
<comments xmlns="http://schemas.openxmlformats.org/spreadsheetml/2006/main">
  <authors>
    <author>Yasuhiro Tanaka</author>
  </authors>
  <commentList>
    <comment ref="A13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6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7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9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1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3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5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6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8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0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2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4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5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7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9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1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3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4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6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8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0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3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5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7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9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1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2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4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6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8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0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1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3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5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7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9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0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2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4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6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8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9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1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3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5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7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8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6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7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9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1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3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5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6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8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0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2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4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5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7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9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1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3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4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6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8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0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3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5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7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9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1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2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4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6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8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0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1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3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5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7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9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0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2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4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6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8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9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1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3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5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7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8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<sst xmlns="http://schemas.openxmlformats.org/spreadsheetml/2006/main" count="3925" uniqueCount="96">
  <si>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</si>
  <si>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</si>
  <si>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</si>
  <si>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</si>
  <si>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</si>
  <si>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</si>
  <si>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</si>
  <si>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</si>
  <si>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</si>
  <si>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</si>
  <si>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</si>
  <si>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</si>
  <si>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</si>
  <si>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</si>
  <si>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</si>
  <si>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</si>
  <si>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</si>
  <si>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</si>
  <si>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</si>
  <si>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</si>
  <si>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</si>
  <si>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</si>
  <si>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</si>
  <si>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</si>
  <si>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</si>
  <si>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</si>
  <si>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</si>
  <si>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</si>
  <si>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</si>
  <si>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</si>
  <si>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</si>
  <si>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</si>
  <si>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</si>
  <si>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</si>
  <si>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</si>
  <si>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</si>
  <si>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</si>
  <si>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</si>
  <si>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</si>
  <si>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</si>
  <si>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</si>
  <si>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</si>
  <si>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</si>
  <si>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</si>
  <si>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</si>
  <si>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</si>
  <si>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</si>
  <si>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</si>
  <si>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</si>
  <si>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</si>
  <si>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</si>
  <si>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</si>
  <si>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</si>
  <si>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</si>
  <si>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</si>
  <si>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</si>
  <si>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</si>
  <si>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</si>
  <si>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</si>
  <si>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</si>
  <si>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</si>
  <si>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</si>
  <si>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</si>
  <si>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</si>
  <si>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</si>
  <si>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</si>
  <si>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</si>
  <si>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</si>
  <si>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</si>
  <si>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</si>
  <si>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</si>
  <si>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</si>
  <si>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</si>
  <si>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</si>
  <si>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</si>
  <si>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</si>
  <si>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</si>
  <si>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</si>
  <si>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</si>
  <si>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</si>
  <si>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</si>
  <si>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</si>
  <si>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</si>
  <si>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</si>
  <si>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</si>
  <si>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</si>
  <si>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</si>
  <si>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</si>
  <si>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</si>
  <si>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</si>
  <si>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</si>
  <si>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</si>
  <si>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</si>
  <si>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</si>
  <si>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</si>
  <si>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>iii</t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</si>
</sst>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81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16" fillId="0" borderId="0" xfId="0" applyNumberFormat="1" applyFont="1" applyFill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17" fillId="0" borderId="0" xfId="0" applyFo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1" fillId="0" borderId="12" xfId="0" applyNumberFormat="1" applyFont="1" applyBorder="1"/>
    <xf numFmtId="42" fontId="1" fillId="0" borderId="13" xfId="0" applyNumberFormat="1" applyFont="1" applyBorder="1"/>
    <xf numFmtId="42" fontId="1" fillId="0" borderId="15" xfId="0" applyNumberFormat="1" applyFont="1" applyBorder="1"/>
    <xf numFmtId="42" fontId="1" fillId="0" borderId="14" xfId="0" applyNumberFormat="1" applyFont="1" applyBorder="1"/>
    <xf numFmtId="42" fontId="1" fillId="7" borderId="15" xfId="0" applyNumberFormat="1" applyFont="1" applyFill="1" applyBorder="1"/>
    <xf numFmtId="42" fontId="1" fillId="6" borderId="35" xfId="0" applyNumberFormat="1" applyFont="1" applyFill="1" applyBorder="1"/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1" fillId="6" borderId="52" xfId="0" applyFont="1" applyFill="1" applyBorder="1" applyAlignment="1">
      <alignment horizontal="center"/>
    </xf>
    <xf numFmtId="0" fontId="1" fillId="6" borderId="53" xfId="0" applyFont="1" applyFill="1" applyBorder="1" applyAlignment="1">
      <alignment horizontal="center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7&#24180;&#24230;&#32102;&#19982;&#35443;&#32048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■2017年度　社員給与詳細"/>
      <sheetName val="■振込額一覧"/>
    </sheetNames>
    <sheetDataSet>
      <sheetData sheetId="0">
        <row r="4">
          <cell r="A4" t="str">
            <v>あああ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A14" t="str">
            <v>いいい</v>
          </cell>
        </row>
        <row r="32">
          <cell r="D32">
            <v>100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D7" activePane="bottomRight" state="frozen"/>
      <selection pane="topRight" activeCell="D1" sqref="D1"/>
      <selection pane="bottomLeft" activeCell="A4" sqref="A4"/>
      <selection pane="bottomRight" activeCell="G2" sqref="G2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38" t="s">
        <v>1</v>
      </c>
      <c r="C3" s="139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40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41"/>
      <c r="B5" s="143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41"/>
      <c r="B6" s="143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41"/>
      <c r="B7" s="143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41"/>
      <c r="B8" s="143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41"/>
      <c r="B9" s="143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41"/>
      <c r="B10" s="144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41"/>
      <c r="B11" s="145"/>
      <c r="C11" s="100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41"/>
      <c r="B12" s="146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42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40"/>
      <c r="B14" s="158" t="s">
        <v>12</v>
      </c>
      <c r="C14" s="7" t="s">
        <v>8</v>
      </c>
      <c r="D14" s="87">
        <v>55</v>
      </c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55</v>
      </c>
    </row>
    <row r="15" spans="1:17">
      <c r="A15" s="141"/>
      <c r="B15" s="154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41"/>
      <c r="B16" s="143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41"/>
      <c r="B17" s="143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41"/>
      <c r="B18" s="143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41"/>
      <c r="B19" s="143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41"/>
      <c r="B20" s="143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41"/>
      <c r="B21" s="143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41"/>
      <c r="B22" s="143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41"/>
      <c r="B23" s="143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41"/>
      <c r="B24" s="143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41"/>
      <c r="B25" s="143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41"/>
      <c r="B26" s="143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41"/>
      <c r="B27" s="143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41"/>
      <c r="B28" s="143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41"/>
      <c r="B29" s="143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41"/>
      <c r="B30" s="143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41"/>
      <c r="B31" s="156" t="s">
        <v>54</v>
      </c>
      <c r="C31" s="157"/>
      <c r="D31" s="56">
        <f>SUM(D14:D21)-SUM(D25:D26)</f>
        <v>55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55</v>
      </c>
    </row>
    <row r="32" spans="1:17" ht="14.25" thickBot="1">
      <c r="A32" s="142"/>
      <c r="B32" s="147" t="s">
        <v>5</v>
      </c>
      <c r="C32" s="148"/>
      <c r="D32" s="42">
        <f t="shared" ref="D32:O32" si="3">SUM(D14:D21)-SUM(D22:D26)+SUM(D27:D30)</f>
        <v>55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55</v>
      </c>
    </row>
    <row r="33" spans="1:17">
      <c r="A33" s="149"/>
      <c r="B33" s="152" t="s">
        <v>12</v>
      </c>
      <c r="C33" s="114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50"/>
      <c r="B34" s="153"/>
      <c r="C34" s="115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50"/>
      <c r="B35" s="153"/>
      <c r="C35" s="116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50"/>
      <c r="B36" s="153"/>
      <c r="C36" s="117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50"/>
      <c r="B37" s="153"/>
      <c r="C37" s="117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50"/>
      <c r="B38" s="153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50"/>
      <c r="B39" s="153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50"/>
      <c r="B40" s="154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50"/>
      <c r="B41" s="155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50"/>
      <c r="B42" s="153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50"/>
      <c r="B43" s="153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50"/>
      <c r="B44" s="153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50"/>
      <c r="B45" s="153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50"/>
      <c r="B46" s="155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50"/>
      <c r="B47" s="153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50"/>
      <c r="B48" s="153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50"/>
      <c r="B49" s="154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50"/>
      <c r="B50" s="156" t="s">
        <v>54</v>
      </c>
      <c r="C50" s="157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1"/>
      <c r="B51" s="147" t="s">
        <v>5</v>
      </c>
      <c r="C51" s="148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63" t="s">
        <v>40</v>
      </c>
      <c r="B52" s="164"/>
      <c r="C52" s="164"/>
      <c r="D52" s="47">
        <f>D4+SUM(D14:D21)+SUM(D127:D132)</f>
        <v>55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65" t="s">
        <v>41</v>
      </c>
      <c r="B53" s="166"/>
      <c r="C53" s="167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65" t="s">
        <v>31</v>
      </c>
      <c r="B54" s="166"/>
      <c r="C54" s="167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59" t="s">
        <v>20</v>
      </c>
      <c r="B55" s="160"/>
      <c r="C55" s="160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59" t="s">
        <v>43</v>
      </c>
      <c r="B56" s="160"/>
      <c r="C56" s="160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59" t="s">
        <v>53</v>
      </c>
      <c r="B57" s="160"/>
      <c r="C57" s="160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59" t="s">
        <v>22</v>
      </c>
      <c r="B58" s="160"/>
      <c r="C58" s="160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59" t="s">
        <v>21</v>
      </c>
      <c r="B59" s="160"/>
      <c r="C59" s="160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61" t="s">
        <v>57</v>
      </c>
      <c r="B60" s="162"/>
      <c r="C60" s="162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1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1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Q64"/>
  <sheetViews>
    <sheetView tabSelected="1" zoomScale="90" zoomScaleNormal="90" workbookViewId="0">
      <pane xSplit="3" ySplit="3" topLeftCell="D37" activePane="bottomRight" state="frozen"/>
      <selection pane="topRight" activeCell="D1" sqref="D1"/>
      <selection pane="bottomLeft" activeCell="A4" sqref="A4"/>
      <selection pane="bottomRight" activeCell="A33" sqref="A33:Q50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38" t="s">
        <v>1</v>
      </c>
      <c r="C3" s="139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40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41"/>
      <c r="B5" s="143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41"/>
      <c r="B6" s="143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41"/>
      <c r="B7" s="143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41"/>
      <c r="B8" s="143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41"/>
      <c r="B9" s="143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41"/>
      <c r="B10" s="144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41"/>
      <c r="B11" s="145"/>
      <c r="C11" s="118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41"/>
      <c r="B12" s="146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42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8" t="s">
        <v>95</v>
      </c>
      <c r="B14" s="158" t="s">
        <v>12</v>
      </c>
      <c r="C14" s="114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41"/>
      <c r="B15" s="154"/>
      <c r="C15" s="115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41"/>
      <c r="B16" s="143"/>
      <c r="C16" s="116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41"/>
      <c r="B17" s="143"/>
      <c r="C17" s="117" t="s">
        <v>90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41"/>
      <c r="B18" s="143"/>
      <c r="C18" s="117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41"/>
      <c r="B19" s="143"/>
      <c r="C19" s="117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41"/>
      <c r="B20" s="143"/>
      <c r="C20" s="116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41"/>
      <c r="B21" s="143"/>
      <c r="C21" s="118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41"/>
      <c r="B22" s="143" t="s">
        <v>11</v>
      </c>
      <c r="C22" s="119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41"/>
      <c r="B23" s="143"/>
      <c r="C23" s="117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41"/>
      <c r="B24" s="143"/>
      <c r="C24" s="117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41"/>
      <c r="B25" s="143"/>
      <c r="C25" s="117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41"/>
      <c r="B26" s="143"/>
      <c r="C26" s="120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41"/>
      <c r="B27" s="143" t="s">
        <v>13</v>
      </c>
      <c r="C27" s="119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41"/>
      <c r="B28" s="143"/>
      <c r="C28" s="116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41"/>
      <c r="B29" s="143"/>
      <c r="C29" s="116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41"/>
      <c r="B30" s="143"/>
      <c r="C30" s="120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41"/>
      <c r="B31" s="156" t="s">
        <v>54</v>
      </c>
      <c r="C31" s="157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2"/>
      <c r="B32" s="147" t="s">
        <v>5</v>
      </c>
      <c r="C32" s="148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49"/>
      <c r="B33" s="152" t="s">
        <v>12</v>
      </c>
      <c r="C33" s="114" t="s">
        <v>84</v>
      </c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34">
        <f>SUM(D33:P33)</f>
        <v>0</v>
      </c>
    </row>
    <row r="34" spans="1:17">
      <c r="A34" s="150"/>
      <c r="B34" s="153"/>
      <c r="C34" s="115" t="s">
        <v>85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132">
        <f t="shared" ref="Q34:Q50" si="4">SUM(D34:P34)</f>
        <v>0</v>
      </c>
    </row>
    <row r="35" spans="1:17">
      <c r="A35" s="150"/>
      <c r="B35" s="153"/>
      <c r="C35" s="116" t="s">
        <v>86</v>
      </c>
      <c r="D35" s="91">
        <f t="shared" ref="D35:O35" si="5">D33*D34</f>
        <v>0</v>
      </c>
      <c r="E35" s="91">
        <f t="shared" si="5"/>
        <v>0</v>
      </c>
      <c r="F35" s="91">
        <f t="shared" si="5"/>
        <v>0</v>
      </c>
      <c r="G35" s="91">
        <f t="shared" si="5"/>
        <v>0</v>
      </c>
      <c r="H35" s="91">
        <f t="shared" si="5"/>
        <v>0</v>
      </c>
      <c r="I35" s="91">
        <f t="shared" si="5"/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132">
        <f t="shared" si="4"/>
        <v>0</v>
      </c>
    </row>
    <row r="36" spans="1:17">
      <c r="A36" s="150"/>
      <c r="B36" s="153"/>
      <c r="C36" s="117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132">
        <f t="shared" si="4"/>
        <v>0</v>
      </c>
    </row>
    <row r="37" spans="1:17">
      <c r="A37" s="150"/>
      <c r="B37" s="153"/>
      <c r="C37" s="117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132">
        <f t="shared" si="4"/>
        <v>0</v>
      </c>
    </row>
    <row r="38" spans="1:17">
      <c r="A38" s="150"/>
      <c r="B38" s="153"/>
      <c r="C38" s="62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132">
        <f t="shared" si="4"/>
        <v>0</v>
      </c>
    </row>
    <row r="39" spans="1:17">
      <c r="A39" s="150"/>
      <c r="B39" s="154"/>
      <c r="C39" s="6" t="s">
        <v>42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33"/>
      <c r="Q39" s="135">
        <f t="shared" si="4"/>
        <v>0</v>
      </c>
    </row>
    <row r="40" spans="1:17">
      <c r="A40" s="150"/>
      <c r="B40" s="155" t="s">
        <v>11</v>
      </c>
      <c r="C40" s="5" t="s">
        <v>7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27"/>
      <c r="Q40" s="136">
        <f t="shared" si="4"/>
        <v>0</v>
      </c>
    </row>
    <row r="41" spans="1:17">
      <c r="A41" s="150"/>
      <c r="B41" s="153"/>
      <c r="C41" s="6" t="s">
        <v>4</v>
      </c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32"/>
      <c r="Q41" s="132">
        <f t="shared" si="4"/>
        <v>0</v>
      </c>
    </row>
    <row r="42" spans="1:17">
      <c r="A42" s="150"/>
      <c r="B42" s="153"/>
      <c r="C42" s="6" t="s">
        <v>17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132">
        <f t="shared" si="4"/>
        <v>0</v>
      </c>
    </row>
    <row r="43" spans="1:17">
      <c r="A43" s="150"/>
      <c r="B43" s="153"/>
      <c r="C43" s="6" t="s">
        <v>18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132">
        <f t="shared" si="4"/>
        <v>0</v>
      </c>
    </row>
    <row r="44" spans="1:17">
      <c r="A44" s="150"/>
      <c r="B44" s="153"/>
      <c r="C44" s="6" t="s">
        <v>60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135">
        <f t="shared" si="4"/>
        <v>0</v>
      </c>
    </row>
    <row r="45" spans="1:17">
      <c r="A45" s="150"/>
      <c r="B45" s="155" t="s">
        <v>13</v>
      </c>
      <c r="C45" s="5" t="s">
        <v>10</v>
      </c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27"/>
      <c r="Q45" s="131">
        <f t="shared" si="4"/>
        <v>0</v>
      </c>
    </row>
    <row r="46" spans="1:17">
      <c r="A46" s="150"/>
      <c r="B46" s="153"/>
      <c r="C46" s="116" t="s">
        <v>55</v>
      </c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28"/>
      <c r="Q46" s="132">
        <f t="shared" si="4"/>
        <v>0</v>
      </c>
    </row>
    <row r="47" spans="1:17">
      <c r="A47" s="150"/>
      <c r="B47" s="153"/>
      <c r="C47" s="8" t="s">
        <v>56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132">
        <f t="shared" si="4"/>
        <v>0</v>
      </c>
    </row>
    <row r="48" spans="1:17" ht="14.25" thickBot="1">
      <c r="A48" s="150"/>
      <c r="B48" s="154"/>
      <c r="C48" s="4" t="s">
        <v>61</v>
      </c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33"/>
      <c r="Q48" s="133">
        <f t="shared" si="4"/>
        <v>0</v>
      </c>
    </row>
    <row r="49" spans="1:17" ht="14.25" thickBot="1">
      <c r="A49" s="150"/>
      <c r="B49" s="156" t="s">
        <v>54</v>
      </c>
      <c r="C49" s="157"/>
      <c r="D49" s="56">
        <f>SUM(D35:D39)-SUM(D43:D44)</f>
        <v>0</v>
      </c>
      <c r="E49" s="56">
        <f t="shared" ref="E49:O49" si="6">SUM(E35:E39)-SUM(E43:E44)</f>
        <v>0</v>
      </c>
      <c r="F49" s="56">
        <f t="shared" si="6"/>
        <v>0</v>
      </c>
      <c r="G49" s="56">
        <f t="shared" si="6"/>
        <v>0</v>
      </c>
      <c r="H49" s="56">
        <f t="shared" si="6"/>
        <v>0</v>
      </c>
      <c r="I49" s="56">
        <f t="shared" si="6"/>
        <v>0</v>
      </c>
      <c r="J49" s="56">
        <f t="shared" si="6"/>
        <v>0</v>
      </c>
      <c r="K49" s="56">
        <f t="shared" si="6"/>
        <v>0</v>
      </c>
      <c r="L49" s="56">
        <f t="shared" si="6"/>
        <v>0</v>
      </c>
      <c r="M49" s="56">
        <f t="shared" si="6"/>
        <v>0</v>
      </c>
      <c r="N49" s="56">
        <f t="shared" si="6"/>
        <v>0</v>
      </c>
      <c r="O49" s="56">
        <f t="shared" si="6"/>
        <v>0</v>
      </c>
      <c r="P49" s="58">
        <f>SUM(P33:P39)-SUM(P43:P44)</f>
        <v>0</v>
      </c>
      <c r="Q49" s="130">
        <f t="shared" si="4"/>
        <v>0</v>
      </c>
    </row>
    <row r="50" spans="1:17" ht="14.25" thickBot="1">
      <c r="A50" s="151"/>
      <c r="B50" s="147" t="s">
        <v>5</v>
      </c>
      <c r="C50" s="148"/>
      <c r="D50" s="42">
        <f>SUM(D35:D39)-SUM(D40:D44)+SUM(D45:D48)</f>
        <v>0</v>
      </c>
      <c r="E50" s="42">
        <f t="shared" ref="E50:O50" si="7">SUM(E35:E39)-SUM(E40:E44)+SUM(E45:E48)</f>
        <v>0</v>
      </c>
      <c r="F50" s="42">
        <f t="shared" si="7"/>
        <v>0</v>
      </c>
      <c r="G50" s="42">
        <f t="shared" si="7"/>
        <v>0</v>
      </c>
      <c r="H50" s="42">
        <f t="shared" si="7"/>
        <v>0</v>
      </c>
      <c r="I50" s="42">
        <f t="shared" si="7"/>
        <v>0</v>
      </c>
      <c r="J50" s="42">
        <f t="shared" si="7"/>
        <v>0</v>
      </c>
      <c r="K50" s="42">
        <f t="shared" si="7"/>
        <v>0</v>
      </c>
      <c r="L50" s="42">
        <f t="shared" si="7"/>
        <v>0</v>
      </c>
      <c r="M50" s="42">
        <f t="shared" si="7"/>
        <v>0</v>
      </c>
      <c r="N50" s="42">
        <f t="shared" si="7"/>
        <v>0</v>
      </c>
      <c r="O50" s="42">
        <f t="shared" si="7"/>
        <v>0</v>
      </c>
      <c r="P50" s="44">
        <f>SUM(P33:P39)-SUM(P40:P44)+SUM(P45:P48)</f>
        <v>0</v>
      </c>
      <c r="Q50" s="46">
        <f>SUM(D50:P50)</f>
        <v>0</v>
      </c>
    </row>
    <row r="51" spans="1:17">
      <c r="A51" s="163" t="s">
        <v>40</v>
      </c>
      <c r="B51" s="164"/>
      <c r="C51" s="164"/>
      <c r="D51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1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1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1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1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1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1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1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1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51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51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51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51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51" s="49">
        <f ca="1">SUM(P51:P51)</f>
        <v>0</v>
      </c>
    </row>
    <row r="52" spans="1:17">
      <c r="A52" s="165" t="s">
        <v>41</v>
      </c>
      <c r="B52" s="166"/>
      <c r="C52" s="167"/>
      <c r="D52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2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2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2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2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2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2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2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2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52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52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52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52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52" s="52">
        <f ca="1">SUM(P52:P52)</f>
        <v>0</v>
      </c>
    </row>
    <row r="53" spans="1:17">
      <c r="A53" s="165" t="s">
        <v>31</v>
      </c>
      <c r="B53" s="166"/>
      <c r="C53" s="167"/>
      <c r="D53" s="50">
        <f>SUMIF($B:$B,"計",D:D)</f>
        <v>0</v>
      </c>
      <c r="E53" s="50">
        <f>SUMIF($B:$B,"計",E:E)</f>
        <v>0</v>
      </c>
      <c r="F53" s="50">
        <f>SUMIF($B:$B,"計",F:F)</f>
        <v>0</v>
      </c>
      <c r="G53" s="50">
        <f>SUMIF($B:$B,"計",G:G)</f>
        <v>0</v>
      </c>
      <c r="H53" s="50">
        <f>SUMIF($B:$B,"計",H:H)</f>
        <v>0</v>
      </c>
      <c r="I53" s="50">
        <f>SUMIF($B:$B,"計",I:I)</f>
        <v>0</v>
      </c>
      <c r="J53" s="50">
        <f>SUMIF($B:$B,"計",J:J)</f>
        <v>0</v>
      </c>
      <c r="K53" s="50">
        <f>SUMIF($B:$B,"計",K:K)</f>
        <v>0</v>
      </c>
      <c r="L53" s="50">
        <f>SUMIF($B:$B,"計",L:L)</f>
        <v>0</v>
      </c>
      <c r="M53" s="50">
        <f>SUMIF($B:$B,"計",M:M)</f>
        <v>0</v>
      </c>
      <c r="N53" s="50">
        <f>SUMIF($B:$B,"計",N:N)</f>
        <v>0</v>
      </c>
      <c r="O53" s="50">
        <f>SUMIF($B:$B,"計",O:O)</f>
        <v>0</v>
      </c>
      <c r="P53" s="50">
        <f>SUMIF($B:$B,"計",P:P)</f>
        <v>0</v>
      </c>
      <c r="Q53" s="52">
        <f t="shared" ref="Q53:Q58" si="8">SUM(P53:P53)</f>
        <v>0</v>
      </c>
    </row>
    <row r="54" spans="1:17">
      <c r="A54" s="159" t="s">
        <v>20</v>
      </c>
      <c r="B54" s="160"/>
      <c r="C54" s="160"/>
      <c r="D54" s="53">
        <f>SUMIF($C:$C,"所得税",D:D)</f>
        <v>0</v>
      </c>
      <c r="E54" s="53">
        <f>SUMIF($C:$C,"所得税",E:E)</f>
        <v>0</v>
      </c>
      <c r="F54" s="53">
        <f>SUMIF($C:$C,"所得税",F:F)</f>
        <v>0</v>
      </c>
      <c r="G54" s="53">
        <f>SUMIF($C:$C,"所得税",G:G)</f>
        <v>0</v>
      </c>
      <c r="H54" s="53">
        <f>SUMIF($C:$C,"所得税",H:H)</f>
        <v>0</v>
      </c>
      <c r="I54" s="53">
        <f>SUMIF($C:$C,"所得税",I:I)</f>
        <v>0</v>
      </c>
      <c r="J54" s="53">
        <f>SUMIF($C:$C,"所得税",J:J)</f>
        <v>0</v>
      </c>
      <c r="K54" s="53">
        <f>SUMIF($C:$C,"所得税",K:K)</f>
        <v>0</v>
      </c>
      <c r="L54" s="53">
        <f>SUMIF($C:$C,"所得税",L:L)</f>
        <v>0</v>
      </c>
      <c r="M54" s="53">
        <f>SUMIF($C:$C,"所得税",M:M)</f>
        <v>0</v>
      </c>
      <c r="N54" s="53">
        <f>SUMIF($C:$C,"所得税",N:N)</f>
        <v>0</v>
      </c>
      <c r="O54" s="53">
        <f>SUMIF($C:$C,"所得税",O:O)</f>
        <v>0</v>
      </c>
      <c r="P54" s="53">
        <f>SUMIF($C:$C,"所得税",P:P)</f>
        <v>0</v>
      </c>
      <c r="Q54" s="52">
        <f t="shared" si="8"/>
        <v>0</v>
      </c>
    </row>
    <row r="55" spans="1:17">
      <c r="A55" s="159" t="s">
        <v>43</v>
      </c>
      <c r="B55" s="160"/>
      <c r="C55" s="160"/>
      <c r="D55" s="53">
        <f>SUMIF($C:$C,"住民税",D:D)</f>
        <v>0</v>
      </c>
      <c r="E55" s="53">
        <f>SUMIF($C:$C,"住民税",E:E)</f>
        <v>0</v>
      </c>
      <c r="F55" s="53">
        <f>SUMIF($C:$C,"住民税",F:F)</f>
        <v>0</v>
      </c>
      <c r="G55" s="53">
        <f>SUMIF($C:$C,"住民税",G:G)</f>
        <v>0</v>
      </c>
      <c r="H55" s="53">
        <f>SUMIF($C:$C,"住民税",H:H)</f>
        <v>0</v>
      </c>
      <c r="I55" s="53">
        <f>SUMIF($C:$C,"住民税",I:I)</f>
        <v>0</v>
      </c>
      <c r="J55" s="53">
        <f>SUMIF($C:$C,"住民税",J:J)</f>
        <v>0</v>
      </c>
      <c r="K55" s="53">
        <f>SUMIF($C:$C,"住民税",K:K)</f>
        <v>0</v>
      </c>
      <c r="L55" s="53">
        <f>SUMIF($C:$C,"住民税",L:L)</f>
        <v>0</v>
      </c>
      <c r="M55" s="53">
        <f>SUMIF($C:$C,"住民税",M:M)</f>
        <v>0</v>
      </c>
      <c r="N55" s="53">
        <f>SUMIF($C:$C,"住民税",N:N)</f>
        <v>0</v>
      </c>
      <c r="O55" s="53">
        <f>SUMIF($C:$C,"住民税",O:O)</f>
        <v>0</v>
      </c>
      <c r="P55" s="53">
        <f>SUMIF($C:$C,"住民税",P:P)</f>
        <v>0</v>
      </c>
      <c r="Q55" s="52">
        <f t="shared" si="8"/>
        <v>0</v>
      </c>
    </row>
    <row r="56" spans="1:17">
      <c r="A56" s="159" t="s">
        <v>53</v>
      </c>
      <c r="B56" s="160"/>
      <c r="C56" s="160"/>
      <c r="D56" s="53">
        <f>SUMIF($C:$C,"健康保険料",D:D)+SUMIF($C:$C,"厚生年金",D:D)</f>
        <v>0</v>
      </c>
      <c r="E56" s="53">
        <f>SUMIF($C:$C,"健康保険料",E:E)+SUMIF($C:$C,"厚生年金",E:E)</f>
        <v>0</v>
      </c>
      <c r="F56" s="53">
        <f>SUMIF($C:$C,"健康保険料",F:F)+SUMIF($C:$C,"厚生年金",F:F)</f>
        <v>0</v>
      </c>
      <c r="G56" s="53">
        <f>SUMIF($C:$C,"健康保険料",G:G)+SUMIF($C:$C,"厚生年金",G:G)</f>
        <v>0</v>
      </c>
      <c r="H56" s="53">
        <f>SUMIF($C:$C,"健康保険料",H:H)+SUMIF($C:$C,"厚生年金",H:H)</f>
        <v>0</v>
      </c>
      <c r="I56" s="53">
        <f>SUMIF($C:$C,"健康保険料",I:I)+SUMIF($C:$C,"厚生年金",I:I)</f>
        <v>0</v>
      </c>
      <c r="J56" s="53">
        <f>SUMIF($C:$C,"健康保険料",J:J)+SUMIF($C:$C,"厚生年金",J:J)</f>
        <v>0</v>
      </c>
      <c r="K56" s="53">
        <f>SUMIF($C:$C,"健康保険料",K:K)+SUMIF($C:$C,"厚生年金",K:K)</f>
        <v>0</v>
      </c>
      <c r="L56" s="53">
        <f>SUMIF($C:$C,"健康保険料",L:L)+SUMIF($C:$C,"厚生年金",L:L)</f>
        <v>0</v>
      </c>
      <c r="M56" s="53">
        <f>SUMIF($C:$C,"健康保険料",M:M)+SUMIF($C:$C,"厚生年金",M:M)</f>
        <v>0</v>
      </c>
      <c r="N56" s="53">
        <f>SUMIF($C:$C,"健康保険料",N:N)+SUMIF($C:$C,"厚生年金",N:N)</f>
        <v>0</v>
      </c>
      <c r="O56" s="53">
        <f>SUMIF($C:$C,"健康保険料",O:O)+SUMIF($C:$C,"厚生年金",O:O)</f>
        <v>0</v>
      </c>
      <c r="P56" s="53">
        <f>SUMIF($C:$C,"健康保険料",P:P)+SUMIF($C:$C,"厚生年金",P:P)</f>
        <v>0</v>
      </c>
      <c r="Q56" s="52">
        <f t="shared" si="8"/>
        <v>0</v>
      </c>
    </row>
    <row r="57" spans="1:17">
      <c r="A57" s="159" t="s">
        <v>22</v>
      </c>
      <c r="B57" s="160"/>
      <c r="C57" s="160"/>
      <c r="D57" s="53">
        <f>SUMIF($C:$C,"雇用保険",D:D)</f>
        <v>0</v>
      </c>
      <c r="E57" s="53">
        <f>SUMIF($C:$C,"雇用保険",E:E)</f>
        <v>0</v>
      </c>
      <c r="F57" s="53">
        <f>SUMIF($C:$C,"雇用保険",F:F)</f>
        <v>0</v>
      </c>
      <c r="G57" s="53">
        <f>SUMIF($C:$C,"雇用保険",G:G)</f>
        <v>0</v>
      </c>
      <c r="H57" s="53">
        <f>SUMIF($C:$C,"雇用保険",H:H)</f>
        <v>0</v>
      </c>
      <c r="I57" s="53">
        <f>SUMIF($C:$C,"雇用保険",I:I)</f>
        <v>0</v>
      </c>
      <c r="J57" s="53">
        <f>SUMIF($C:$C,"雇用保険",J:J)</f>
        <v>0</v>
      </c>
      <c r="K57" s="53">
        <f>SUMIF($C:$C,"雇用保険",K:K)</f>
        <v>0</v>
      </c>
      <c r="L57" s="53">
        <f>SUMIF($C:$C,"雇用保険",L:L)</f>
        <v>0</v>
      </c>
      <c r="M57" s="53">
        <f>SUMIF($C:$C,"雇用保険",M:M)</f>
        <v>0</v>
      </c>
      <c r="N57" s="53">
        <f>SUMIF($C:$C,"雇用保険",N:N)</f>
        <v>0</v>
      </c>
      <c r="O57" s="53">
        <f>SUMIF($C:$C,"雇用保険",O:O)</f>
        <v>0</v>
      </c>
      <c r="P57" s="53">
        <f>SUMIF($C:$C,"雇用保険",P:P)</f>
        <v>0</v>
      </c>
      <c r="Q57" s="52">
        <f t="shared" si="8"/>
        <v>0</v>
      </c>
    </row>
    <row r="58" spans="1:17">
      <c r="A58" s="159" t="s">
        <v>21</v>
      </c>
      <c r="B58" s="160"/>
      <c r="C58" s="160"/>
      <c r="D58" s="53">
        <f>SUMIF($C:$C,"交通費",D:D)</f>
        <v>0</v>
      </c>
      <c r="E58" s="53">
        <f>SUMIF($C:$C,"交通費",E:E)</f>
        <v>0</v>
      </c>
      <c r="F58" s="53">
        <f>SUMIF($C:$C,"交通費",F:F)</f>
        <v>0</v>
      </c>
      <c r="G58" s="53">
        <f>SUMIF($C:$C,"交通費",G:G)</f>
        <v>0</v>
      </c>
      <c r="H58" s="53">
        <f>SUMIF($C:$C,"交通費",H:H)</f>
        <v>0</v>
      </c>
      <c r="I58" s="53">
        <f>SUMIF($C:$C,"交通費",I:I)</f>
        <v>0</v>
      </c>
      <c r="J58" s="53">
        <f>SUMIF($C:$C,"交通費",J:J)</f>
        <v>0</v>
      </c>
      <c r="K58" s="53">
        <f>SUMIF($C:$C,"交通費",K:K)</f>
        <v>0</v>
      </c>
      <c r="L58" s="53">
        <f>SUMIF($C:$C,"交通費",L:L)</f>
        <v>0</v>
      </c>
      <c r="M58" s="53">
        <f>SUMIF($C:$C,"交通費",M:M)</f>
        <v>0</v>
      </c>
      <c r="N58" s="53">
        <f>SUMIF($C:$C,"交通費",N:N)</f>
        <v>0</v>
      </c>
      <c r="O58" s="53">
        <f>SUMIF($C:$C,"交通費",O:O)</f>
        <v>0</v>
      </c>
      <c r="P58" s="53">
        <f>SUMIF($C:$C,"交通費",P:P)</f>
        <v>0</v>
      </c>
      <c r="Q58" s="52">
        <f t="shared" si="8"/>
        <v>0</v>
      </c>
    </row>
    <row r="59" spans="1:17" ht="14.25" thickBot="1">
      <c r="A59" s="161" t="s">
        <v>57</v>
      </c>
      <c r="B59" s="162"/>
      <c r="C59" s="162"/>
      <c r="D59" s="55">
        <f>SUMIF($C:$C,"*精算分*",D:D)</f>
        <v>0</v>
      </c>
      <c r="E59" s="55">
        <f>SUMIF($C:$C,"*精算分*",E:E)</f>
        <v>0</v>
      </c>
      <c r="F59" s="55">
        <f>SUMIF($C:$C,"*精算分*",F:F)</f>
        <v>0</v>
      </c>
      <c r="G59" s="55">
        <f>SUMIF($C:$C,"*精算分*",G:G)</f>
        <v>0</v>
      </c>
      <c r="H59" s="55">
        <f>SUMIF($C:$C,"*精算分*",H:H)</f>
        <v>0</v>
      </c>
      <c r="I59" s="55">
        <f>SUMIF($C:$C,"*精算分*",I:I)</f>
        <v>0</v>
      </c>
      <c r="J59" s="55">
        <f>SUMIF($C:$C,"*精算分*",J:J)</f>
        <v>0</v>
      </c>
      <c r="K59" s="55">
        <f>SUMIF($C:$C,"*精算分*",K:K)</f>
        <v>0</v>
      </c>
      <c r="L59" s="55">
        <f>SUMIF($C:$C,"*精算分*",L:L)</f>
        <v>0</v>
      </c>
      <c r="M59" s="55">
        <f>SUMIF($C:$C,"*精算分*",M:M)</f>
        <v>0</v>
      </c>
      <c r="N59" s="55">
        <f>SUMIF($C:$C,"*精算分*",N:N)</f>
        <v>0</v>
      </c>
      <c r="O59" s="55">
        <f>SUMIF($C:$C,"*精算分*",O:O)</f>
        <v>0</v>
      </c>
      <c r="P59" s="55">
        <f>SUMIF($C:$C,"*精算分*",P:P)</f>
        <v>0</v>
      </c>
      <c r="Q59" s="45">
        <f>SUM(P59:P59)</f>
        <v>0</v>
      </c>
    </row>
    <row r="60" spans="1:17">
      <c r="A60" s="26"/>
      <c r="B60" s="26"/>
      <c r="C60" s="26"/>
      <c r="D60" s="24"/>
      <c r="E60" s="24"/>
      <c r="F60" s="24"/>
      <c r="G60" s="24"/>
      <c r="H60" s="24"/>
      <c r="I60" s="37"/>
      <c r="J60" s="37"/>
      <c r="K60" s="37"/>
      <c r="L60" s="24"/>
      <c r="M60" s="24"/>
      <c r="N60" s="24"/>
      <c r="O60" s="24"/>
      <c r="P60" s="24"/>
      <c r="Q60" s="25"/>
    </row>
    <row r="62" spans="1:17">
      <c r="A62" s="10"/>
      <c r="C62" s="112" t="s">
        <v>81</v>
      </c>
      <c r="D62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0</v>
      </c>
      <c r="E62" s="1" t="e">
        <f>SUM(E14:E21)+SUM(#REF!)+SUM(#REF!)+SUM(#REF!)+SUM(#REF!)+SUM(#REF!)+SUM(#REF!)+SUM(#REF!)+SUM(#REF!)+SUM(#REF!)</f>
        <v>#REF!</v>
      </c>
      <c r="F62" s="1" t="e">
        <f>SUM(F14:F21)+SUM(#REF!)+SUM(#REF!)+SUM(#REF!)+SUM(#REF!)+SUM(#REF!)+SUM(#REF!)+SUM(#REF!)+SUM(#REF!)+SUM(#REF!)</f>
        <v>#REF!</v>
      </c>
      <c r="G62" s="1" t="e">
        <f>SUM(G14:G21)+SUM(#REF!)+SUM(#REF!)+SUM(#REF!)+SUM(#REF!)+SUM(#REF!)+SUM(#REF!)+SUM(#REF!)+SUM(#REF!)+SUM(#REF!)</f>
        <v>#REF!</v>
      </c>
      <c r="H62" s="1" t="e">
        <f>SUM(H14:H21)+SUM(#REF!)+SUM(#REF!)+SUM(#REF!)+SUM(#REF!)+SUM(#REF!)+SUM(#REF!)+SUM(#REF!)+SUM(#REF!)+SUM(#REF!)</f>
        <v>#REF!</v>
      </c>
      <c r="I62" s="1" t="e">
        <f>SUM(I14:I21)+SUM(#REF!)+SUM(#REF!)+SUM(#REF!)+SUM(#REF!)+SUM(#REF!)+SUM(#REF!)+SUM(#REF!)+SUM(#REF!)+SUM(#REF!)</f>
        <v>#REF!</v>
      </c>
      <c r="J62" s="1" t="e">
        <f>SUM(J14:J21)+SUM(#REF!)+SUM(#REF!)+SUM(#REF!)+SUM(#REF!)+SUM(#REF!)+SUM(#REF!)+SUM(#REF!)+SUM(#REF!)+SUM(#REF!)</f>
        <v>#REF!</v>
      </c>
      <c r="K62" s="1" t="e">
        <f>SUM(K14:K21)+SUM(#REF!)+SUM(#REF!)+SUM(#REF!)+SUM(#REF!)+SUM(#REF!)+SUM(#REF!)+SUM(#REF!)+SUM(#REF!)+SUM(#REF!)</f>
        <v>#REF!</v>
      </c>
      <c r="L62" s="1" t="e">
        <f>SUM(L14:L21)+SUM(#REF!)+SUM(#REF!)+SUM(#REF!)+SUM(#REF!)+SUM(#REF!)+SUM(#REF!)+SUM(#REF!)+SUM(#REF!)+SUM(#REF!)</f>
        <v>#REF!</v>
      </c>
      <c r="M62" s="1" t="e">
        <f>SUM(M14:M21)+SUM(#REF!)+SUM(#REF!)+SUM(#REF!)+SUM(#REF!)+SUM(#REF!)+SUM(#REF!)+SUM(#REF!)+SUM(#REF!)+SUM(#REF!)</f>
        <v>#REF!</v>
      </c>
      <c r="N62" s="1" t="e">
        <f>SUM(N14:N21)+SUM(#REF!)+SUM(#REF!)+SUM(#REF!)+SUM(#REF!)+SUM(#REF!)+SUM(#REF!)+SUM(#REF!)+SUM(#REF!)+SUM(#REF!)</f>
        <v>#REF!</v>
      </c>
      <c r="O62" s="1" t="e">
        <f>SUM(O14:O21)+SUM(#REF!)+SUM(#REF!)+SUM(#REF!)+SUM(#REF!)+SUM(#REF!)+SUM(#REF!)+SUM(#REF!)+SUM(#REF!)+SUM(#REF!)</f>
        <v>#REF!</v>
      </c>
    </row>
    <row r="63" spans="1:17">
      <c r="A63" s="10"/>
      <c r="C63" s="112" t="s">
        <v>82</v>
      </c>
      <c r="D63" s="36">
        <f ca="1">SUMIF($C:$C,"小計",D:D)
+SUMIF($C:$C,"営業手当",D:D)
+SUMIF($C:$C,"管理手当",D:D)
+SUMIF($C:$C,"在宅手当",D:D)
+SUMIF($C:$C,"特別手当",D:D)
+SUMIF($C:$C,"特別手当",INDEX(D:D,2,1))
+SUMIF($C:$C,"調整金",D:D)</f>
        <v>0</v>
      </c>
      <c r="E63" s="36" t="e">
        <f>#REF!+#REF!+#REF!+#REF!+#REF!+#REF!+#REF!+#REF!+#REF!</f>
        <v>#REF!</v>
      </c>
      <c r="F63" s="36" t="e">
        <f>#REF!+#REF!+#REF!+#REF!+#REF!+#REF!+#REF!+#REF!+#REF!</f>
        <v>#REF!</v>
      </c>
      <c r="G63" s="36" t="e">
        <f>#REF!+#REF!+#REF!+#REF!+#REF!+#REF!+#REF!+#REF!+#REF!</f>
        <v>#REF!</v>
      </c>
      <c r="H63" s="36" t="e">
        <f>#REF!+#REF!+#REF!+#REF!+#REF!+#REF!+#REF!+#REF!+#REF!</f>
        <v>#REF!</v>
      </c>
      <c r="I63" s="36" t="e">
        <f>#REF!+#REF!+#REF!+#REF!+#REF!+#REF!+#REF!+#REF!+#REF!</f>
        <v>#REF!</v>
      </c>
      <c r="J63" s="36" t="e">
        <f>#REF!+#REF!+#REF!+#REF!+#REF!+#REF!+#REF!+#REF!+#REF!</f>
        <v>#REF!</v>
      </c>
      <c r="K63" s="36" t="e">
        <f>#REF!+#REF!+#REF!+#REF!+#REF!+#REF!+#REF!+#REF!+#REF!</f>
        <v>#REF!</v>
      </c>
      <c r="L63" s="36" t="e">
        <f>#REF!+#REF!+#REF!+#REF!+#REF!+#REF!+#REF!+#REF!+#REF!</f>
        <v>#REF!</v>
      </c>
      <c r="M63" s="36" t="e">
        <f>#REF!+#REF!+#REF!+#REF!+#REF!+#REF!+#REF!+#REF!+#REF!</f>
        <v>#REF!</v>
      </c>
      <c r="N63" s="36" t="e">
        <f>#REF!+#REF!+#REF!+#REF!+#REF!+#REF!+#REF!+#REF!+#REF!</f>
        <v>#REF!</v>
      </c>
      <c r="O63" s="36" t="e">
        <f>#REF!+#REF!+#REF!+#REF!+#REF!+#REF!+#REF!+#REF!+#REF!</f>
        <v>#REF!</v>
      </c>
    </row>
    <row r="64" spans="1:17">
      <c r="A64" s="10"/>
      <c r="B64" s="11"/>
    </row>
  </sheetData>
  <mergeCells count="26">
    <mergeCell ref="A33:A50"/>
    <mergeCell ref="B33:B39"/>
    <mergeCell ref="B40:B44"/>
    <mergeCell ref="B45:B48"/>
    <mergeCell ref="B49:C49"/>
    <mergeCell ref="B50:C50"/>
    <mergeCell ref="A57:C57"/>
    <mergeCell ref="A58:C58"/>
    <mergeCell ref="A59:C59"/>
    <mergeCell ref="A51:C51"/>
    <mergeCell ref="A52:C52"/>
    <mergeCell ref="A53:C53"/>
    <mergeCell ref="A54:C54"/>
    <mergeCell ref="A55:C55"/>
    <mergeCell ref="A56:C56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legacyDrawing r:id="rId2"/>
  <controls>
    <control shapeId="15369" r:id="rId3" name="sideworkDeleteButton"/>
    <control shapeId="15368" r:id="rId4" name="sideworkAddButton"/>
    <control shapeId="15367" r:id="rId5" name="employeeDeleteButton"/>
    <control shapeId="15365" r:id="rId6" name="employeeAdd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Q48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35" sqref="E35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69" t="s">
        <v>0</v>
      </c>
      <c r="B4" s="169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 t="str">
        <f>'■2017年度　社員給与詳細 (ED)'!A4</f>
        <v>あああ</v>
      </c>
      <c r="C7" s="82">
        <f>'[1]■2017年度　社員給与詳細'!D13</f>
        <v>0</v>
      </c>
      <c r="D7" s="82">
        <f>'[1]■2017年度　社員給与詳細'!E13</f>
        <v>0</v>
      </c>
      <c r="E7" s="82">
        <f>'[1]■2017年度　社員給与詳細'!F13</f>
        <v>0</v>
      </c>
      <c r="F7" s="82">
        <f>'[1]■2017年度　社員給与詳細'!G13</f>
        <v>0</v>
      </c>
      <c r="G7" s="82">
        <f>'[1]■2017年度　社員給与詳細'!H13</f>
        <v>0</v>
      </c>
      <c r="H7" s="82">
        <f>'[1]■2017年度　社員給与詳細'!I13</f>
        <v>0</v>
      </c>
      <c r="I7" s="82">
        <f>'[1]■2017年度　社員給与詳細'!J13</f>
        <v>0</v>
      </c>
      <c r="J7" s="82">
        <f>'[1]■2017年度　社員給与詳細'!K13</f>
        <v>0</v>
      </c>
      <c r="K7" s="82">
        <f>'[1]■2017年度　社員給与詳細'!L13</f>
        <v>0</v>
      </c>
      <c r="L7" s="82">
        <f>'[1]■2017年度　社員給与詳細'!M13</f>
        <v>0</v>
      </c>
      <c r="M7" s="82">
        <f>'[1]■2017年度　社員給与詳細'!N13</f>
        <v>0</v>
      </c>
      <c r="N7" s="82">
        <f>'[1]■2017年度　社員給与詳細'!O13</f>
        <v>0</v>
      </c>
      <c r="O7" s="70">
        <f>SUM(C7:N7)</f>
        <v>0</v>
      </c>
      <c r="Q7" s="70">
        <f>'■2017年度　社員給与詳細 (ED)'!Q13</f>
        <v>0</v>
      </c>
    </row>
    <row r="8" spans="1:17">
      <c r="B8" t="str">
        <f>'■2017年度　社員給与詳細 (ED)'!A14</f>
        <v>iii</v>
      </c>
      <c r="C8" s="82">
        <f>'[1]■2017年度　社員給与詳細'!D32</f>
        <v>100</v>
      </c>
      <c r="D8" s="82">
        <f>'[1]■2017年度　社員給与詳細'!E32</f>
        <v>0</v>
      </c>
      <c r="E8" s="82">
        <f>'[1]■2017年度　社員給与詳細'!F32</f>
        <v>0</v>
      </c>
      <c r="F8" s="82">
        <f>'[1]■2017年度　社員給与詳細'!G32</f>
        <v>0</v>
      </c>
      <c r="G8" s="82">
        <f>'[1]■2017年度　社員給与詳細'!H32</f>
        <v>0</v>
      </c>
      <c r="H8" s="82">
        <f>'[1]■2017年度　社員給与詳細'!I32</f>
        <v>0</v>
      </c>
      <c r="I8" s="82">
        <f>'[1]■2017年度　社員給与詳細'!J32</f>
        <v>0</v>
      </c>
      <c r="J8" s="82">
        <f>'[1]■2017年度　社員給与詳細'!K32</f>
        <v>0</v>
      </c>
      <c r="K8" s="82">
        <f>'[1]■2017年度　社員給与詳細'!L32</f>
        <v>0</v>
      </c>
      <c r="L8" s="82">
        <f>'[1]■2017年度　社員給与詳細'!M32</f>
        <v>0</v>
      </c>
      <c r="M8" s="82">
        <f>'[1]■2017年度　社員給与詳細'!N32</f>
        <v>0</v>
      </c>
      <c r="N8" s="82">
        <f>'[1]■2017年度　社員給与詳細'!O32</f>
        <v>0</v>
      </c>
      <c r="O8" s="70">
        <f t="shared" ref="O8" si="0">SUM(C8:N8)</f>
        <v>100</v>
      </c>
      <c r="Q8" s="70">
        <f>'■2017年度　社員給与詳細 (ED)'!Q32</f>
        <v>0</v>
      </c>
    </row>
    <row r="9" spans="1:17"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70"/>
      <c r="Q9" s="70"/>
    </row>
    <row r="10" spans="1:17"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70"/>
      <c r="Q10" s="70"/>
    </row>
    <row r="11" spans="1:17">
      <c r="C11" s="109"/>
      <c r="D11" s="109"/>
      <c r="E11" s="109"/>
      <c r="F11" s="109"/>
      <c r="G11" s="109">
        <f>SUM(C12:G12)</f>
        <v>8</v>
      </c>
      <c r="H11" s="109"/>
      <c r="I11" s="109"/>
      <c r="J11" s="109"/>
      <c r="K11" s="109"/>
      <c r="L11" s="83"/>
      <c r="M11" s="83"/>
      <c r="N11" s="83"/>
      <c r="O11" s="69"/>
    </row>
    <row r="12" spans="1:17">
      <c r="A12" s="73" t="s">
        <v>63</v>
      </c>
      <c r="B12" s="74"/>
      <c r="C12" s="83">
        <v>1</v>
      </c>
      <c r="D12" s="83">
        <v>2</v>
      </c>
      <c r="E12" s="83">
        <v>2</v>
      </c>
      <c r="F12" s="83">
        <v>2</v>
      </c>
      <c r="G12" s="83">
        <v>1</v>
      </c>
      <c r="H12" s="83">
        <v>4</v>
      </c>
      <c r="I12" s="83">
        <v>2</v>
      </c>
      <c r="J12" s="83"/>
      <c r="K12" s="83"/>
      <c r="L12" s="83"/>
      <c r="M12" s="83"/>
      <c r="N12" s="83"/>
      <c r="O12" s="69"/>
    </row>
    <row r="13" spans="1:17" s="129" customFormat="1">
      <c r="A13"/>
      <c r="B13" s="137">
        <f>'■2017年度　社員給与詳細 (ED)'!A33</f>
        <v>0</v>
      </c>
      <c r="C13" s="82">
        <f>'■2017年度　社員給与詳細 (ED)'!D50</f>
        <v>0</v>
      </c>
      <c r="D13" s="82">
        <f>'■2017年度　社員給与詳細 (ED)'!E50</f>
        <v>0</v>
      </c>
      <c r="E13" s="82">
        <f>'■2017年度　社員給与詳細 (ED)'!F50</f>
        <v>0</v>
      </c>
      <c r="F13" s="82">
        <f>'■2017年度　社員給与詳細 (ED)'!G50</f>
        <v>0</v>
      </c>
      <c r="G13" s="82">
        <f>'■2017年度　社員給与詳細 (ED)'!H50</f>
        <v>0</v>
      </c>
      <c r="H13" s="82">
        <f>'■2017年度　社員給与詳細 (ED)'!I50</f>
        <v>0</v>
      </c>
      <c r="I13" s="82">
        <f>'■2017年度　社員給与詳細 (ED)'!J50</f>
        <v>0</v>
      </c>
      <c r="J13" s="82">
        <f>'■2017年度　社員給与詳細 (ED)'!K50</f>
        <v>0</v>
      </c>
      <c r="K13" s="82">
        <f>'■2017年度　社員給与詳細 (ED)'!L50</f>
        <v>0</v>
      </c>
      <c r="L13" s="82">
        <f>'■2017年度　社員給与詳細 (ED)'!M50</f>
        <v>0</v>
      </c>
      <c r="M13" s="82">
        <f>'■2017年度　社員給与詳細 (ED)'!N50</f>
        <v>0</v>
      </c>
      <c r="N13" s="82">
        <f>'■2017年度　社員給与詳細 (ED)'!O50</f>
        <v>0</v>
      </c>
      <c r="O13" s="70">
        <f>SUM(C13:N13)</f>
        <v>0</v>
      </c>
    </row>
    <row r="14" spans="1:17" s="129" customFormat="1">
      <c r="A14"/>
      <c r="B14" s="137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70"/>
    </row>
    <row r="15" spans="1:17" s="129" customFormat="1">
      <c r="A15"/>
      <c r="B15" s="137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70"/>
    </row>
    <row r="16" spans="1:17" s="129" customFormat="1">
      <c r="A16"/>
      <c r="B16" s="137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70"/>
    </row>
    <row r="17" spans="1:15" s="129" customFormat="1">
      <c r="A17" s="77" t="s">
        <v>72</v>
      </c>
      <c r="B17"/>
      <c r="C17" s="1">
        <f>C7</f>
        <v>0</v>
      </c>
      <c r="D17" s="1">
        <f>D7</f>
        <v>0</v>
      </c>
      <c r="E17" s="1">
        <f t="shared" ref="E17:M17" si="1">E7</f>
        <v>0</v>
      </c>
      <c r="F17" s="1">
        <f t="shared" si="1"/>
        <v>0</v>
      </c>
      <c r="G17" s="1">
        <f t="shared" si="1"/>
        <v>0</v>
      </c>
      <c r="H17" s="1">
        <f t="shared" si="1"/>
        <v>0</v>
      </c>
      <c r="I17" s="1">
        <f t="shared" si="1"/>
        <v>0</v>
      </c>
      <c r="J17" s="1">
        <f t="shared" si="1"/>
        <v>0</v>
      </c>
      <c r="K17" s="1">
        <f>K7</f>
        <v>0</v>
      </c>
      <c r="L17" s="1">
        <f t="shared" si="1"/>
        <v>0</v>
      </c>
      <c r="M17" s="1">
        <f t="shared" si="1"/>
        <v>0</v>
      </c>
      <c r="N17" s="1">
        <f>N7</f>
        <v>0</v>
      </c>
      <c r="O17" s="71" t="e">
        <f>SUM(#REF!)</f>
        <v>#REF!</v>
      </c>
    </row>
    <row r="18" spans="1:15" s="129" customFormat="1">
      <c r="A18" s="77" t="s">
        <v>65</v>
      </c>
      <c r="B18" s="77"/>
      <c r="C18" s="127">
        <f>SUM(C8:C12)</f>
        <v>101</v>
      </c>
      <c r="D18" s="127">
        <f t="shared" ref="D18:N18" si="2">SUM(D8:D12)</f>
        <v>2</v>
      </c>
      <c r="E18" s="127">
        <f t="shared" si="2"/>
        <v>2</v>
      </c>
      <c r="F18" s="127">
        <f t="shared" si="2"/>
        <v>2</v>
      </c>
      <c r="G18" s="127">
        <f t="shared" si="2"/>
        <v>9</v>
      </c>
      <c r="H18" s="127">
        <f t="shared" si="2"/>
        <v>4</v>
      </c>
      <c r="I18" s="127">
        <f t="shared" si="2"/>
        <v>2</v>
      </c>
      <c r="J18" s="127">
        <f t="shared" si="2"/>
        <v>0</v>
      </c>
      <c r="K18" s="127">
        <f t="shared" si="2"/>
        <v>0</v>
      </c>
      <c r="L18" s="127">
        <f t="shared" si="2"/>
        <v>0</v>
      </c>
      <c r="M18" s="127">
        <f t="shared" si="2"/>
        <v>0</v>
      </c>
      <c r="N18" s="127">
        <f t="shared" si="2"/>
        <v>0</v>
      </c>
      <c r="O18" s="71">
        <f>SUM(C18:N18)</f>
        <v>122</v>
      </c>
    </row>
    <row r="19" spans="1:15">
      <c r="A19" s="128" t="s">
        <v>66</v>
      </c>
      <c r="B19" s="77"/>
      <c r="C19" s="1">
        <f>SUM(C13)</f>
        <v>0</v>
      </c>
      <c r="D19" s="1">
        <f t="shared" ref="D19:N19" si="3">SUM(D13)</f>
        <v>0</v>
      </c>
      <c r="E19" s="1">
        <f t="shared" si="3"/>
        <v>0</v>
      </c>
      <c r="F19" s="1">
        <f t="shared" si="3"/>
        <v>0</v>
      </c>
      <c r="G19" s="1">
        <f t="shared" si="3"/>
        <v>0</v>
      </c>
      <c r="H19" s="1">
        <f t="shared" si="3"/>
        <v>0</v>
      </c>
      <c r="I19" s="1">
        <f t="shared" si="3"/>
        <v>0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O19" s="71">
        <f>SUM(C19:N19)</f>
        <v>0</v>
      </c>
    </row>
    <row r="20" spans="1:15">
      <c r="A20" s="77" t="s">
        <v>67</v>
      </c>
      <c r="B20" s="77"/>
      <c r="C20" s="1">
        <f>SUM(C17:C19)</f>
        <v>101</v>
      </c>
      <c r="D20" s="1">
        <f t="shared" ref="D20:N20" si="4">SUM(D17:D19)</f>
        <v>2</v>
      </c>
      <c r="E20" s="1">
        <f t="shared" si="4"/>
        <v>2</v>
      </c>
      <c r="F20" s="1">
        <f t="shared" si="4"/>
        <v>2</v>
      </c>
      <c r="G20" s="1">
        <f t="shared" si="4"/>
        <v>9</v>
      </c>
      <c r="H20" s="1">
        <f t="shared" si="4"/>
        <v>4</v>
      </c>
      <c r="I20" s="1">
        <f>SUM(I17:I19)</f>
        <v>2</v>
      </c>
      <c r="J20" s="1">
        <f t="shared" si="4"/>
        <v>0</v>
      </c>
      <c r="K20" s="1">
        <f t="shared" si="4"/>
        <v>0</v>
      </c>
      <c r="L20" s="1">
        <f t="shared" si="4"/>
        <v>0</v>
      </c>
      <c r="M20" s="1">
        <f t="shared" si="4"/>
        <v>0</v>
      </c>
      <c r="N20" s="1">
        <f t="shared" si="4"/>
        <v>0</v>
      </c>
      <c r="O20" s="71">
        <f>SUM(C20:N20)</f>
        <v>122</v>
      </c>
    </row>
    <row r="21" spans="1:15">
      <c r="B21" s="77"/>
    </row>
    <row r="23" spans="1:15">
      <c r="C23" t="s">
        <v>79</v>
      </c>
    </row>
    <row r="24" spans="1:15">
      <c r="C24" s="171" t="s">
        <v>73</v>
      </c>
      <c r="D24" s="171"/>
      <c r="E24" s="170" t="s">
        <v>74</v>
      </c>
      <c r="F24" s="170"/>
    </row>
    <row r="25" spans="1:15">
      <c r="C25" s="101">
        <f>SUM(C18:G18)</f>
        <v>116</v>
      </c>
      <c r="D25" s="102">
        <f>SUM(C8:G8)</f>
        <v>100</v>
      </c>
      <c r="E25" s="101">
        <f>SUM(H18:N18)</f>
        <v>6</v>
      </c>
      <c r="F25" s="102">
        <f>SUM(H8:N8)</f>
        <v>0</v>
      </c>
    </row>
    <row r="26" spans="1:15" ht="14.25" thickBot="1">
      <c r="C26" s="103">
        <f>SUM(C19:G19)</f>
        <v>0</v>
      </c>
      <c r="D26" s="104">
        <f>SUM(C14:G14)</f>
        <v>0</v>
      </c>
      <c r="E26" s="105">
        <f>SUM(H19:N19)</f>
        <v>0</v>
      </c>
      <c r="F26" s="102">
        <f>SUM(H14:N14)</f>
        <v>0</v>
      </c>
    </row>
    <row r="27" spans="1:15" ht="14.25" thickTop="1">
      <c r="C27" s="106">
        <f>SUM(C25:C26)</f>
        <v>116</v>
      </c>
      <c r="D27" s="107">
        <f>SUM(D25:D26)</f>
        <v>100</v>
      </c>
      <c r="E27" s="101">
        <f>SUM(E25:E26)</f>
        <v>6</v>
      </c>
      <c r="F27" s="107">
        <f>SUM(F25:F26)</f>
        <v>0</v>
      </c>
    </row>
    <row r="29" spans="1:15">
      <c r="C29" s="110"/>
      <c r="F29" s="101"/>
    </row>
    <row r="30" spans="1:15">
      <c r="C30" s="110"/>
      <c r="F30" s="101"/>
    </row>
    <row r="31" spans="1:15">
      <c r="C31" s="110"/>
      <c r="F31" s="101"/>
    </row>
    <row r="48" ht="18" customHeight="1"/>
  </sheetData>
  <mergeCells count="3">
    <mergeCell ref="A4:B4"/>
    <mergeCell ref="E24:F24"/>
    <mergeCell ref="C24:D24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32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34" sqref="E3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69" t="s">
        <v>0</v>
      </c>
      <c r="B4" s="169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 t="str">
        <f>'[1]■2017年度　社員給与詳細'!A4</f>
        <v>あああ</v>
      </c>
      <c r="C7" s="82">
        <f>'[1]■2017年度　社員給与詳細'!D13</f>
        <v>0</v>
      </c>
      <c r="D7" s="82">
        <f>'[1]■2017年度　社員給与詳細'!E13</f>
        <v>0</v>
      </c>
      <c r="E7" s="82" t="e">
        <f>#REF!</f>
        <v>#REF!</v>
      </c>
      <c r="F7" s="82" t="e">
        <f>#REF!</f>
        <v>#REF!</v>
      </c>
      <c r="G7" s="82" t="e">
        <f>#REF!</f>
        <v>#REF!</v>
      </c>
      <c r="H7" s="82" t="e">
        <f>#REF!</f>
        <v>#REF!</v>
      </c>
      <c r="I7" s="82" t="e">
        <f>#REF!</f>
        <v>#REF!</v>
      </c>
      <c r="J7" s="82" t="e">
        <f>#REF!</f>
        <v>#REF!</v>
      </c>
      <c r="K7" s="82" t="e">
        <f>#REF!</f>
        <v>#REF!</v>
      </c>
      <c r="L7" s="82" t="e">
        <f>#REF!</f>
        <v>#REF!</v>
      </c>
      <c r="M7" s="82" t="e">
        <f>#REF!</f>
        <v>#REF!</v>
      </c>
      <c r="N7" s="82" t="e">
        <f>#REF!</f>
        <v>#REF!</v>
      </c>
      <c r="O7" s="70" t="e">
        <f>SUM(C7:N7)</f>
        <v>#REF!</v>
      </c>
      <c r="Q7" s="69"/>
    </row>
    <row r="8" spans="1:17">
      <c r="B8" t="str">
        <f>'[1]■2017年度　社員給与詳細'!A14</f>
        <v>いいい</v>
      </c>
      <c r="C8" s="82">
        <f>'[1]■2017年度　社員給与詳細'!D32</f>
        <v>100</v>
      </c>
      <c r="D8" s="82" t="e">
        <f>#REF!</f>
        <v>#REF!</v>
      </c>
      <c r="E8" s="82" t="e">
        <f>#REF!</f>
        <v>#REF!</v>
      </c>
      <c r="F8" s="82" t="e">
        <f>#REF!</f>
        <v>#REF!</v>
      </c>
      <c r="G8" s="82" t="e">
        <f>#REF!</f>
        <v>#REF!</v>
      </c>
      <c r="H8" s="82" t="e">
        <f>#REF!</f>
        <v>#REF!</v>
      </c>
      <c r="I8" s="82" t="e">
        <f>#REF!</f>
        <v>#REF!</v>
      </c>
      <c r="J8" s="82" t="e">
        <f>#REF!</f>
        <v>#REF!</v>
      </c>
      <c r="K8" s="82" t="e">
        <f>#REF!</f>
        <v>#REF!</v>
      </c>
      <c r="L8" s="82" t="e">
        <f>#REF!</f>
        <v>#REF!</v>
      </c>
      <c r="M8" s="82" t="e">
        <f>#REF!</f>
        <v>#REF!</v>
      </c>
      <c r="N8" s="82" t="e">
        <f>#REF!</f>
        <v>#REF!</v>
      </c>
      <c r="O8" s="70" t="e">
        <f t="shared" ref="O8:O9" si="0">SUM(C8:N8)</f>
        <v>#REF!</v>
      </c>
      <c r="Q8" s="70" t="e">
        <f>#REF!+#REF!</f>
        <v>#REF!</v>
      </c>
    </row>
    <row r="9" spans="1:17">
      <c r="B9" s="111" t="e">
        <f xml:space="preserve"> IF(ISBLANK(#REF!)=TRUE, "",#REF!)</f>
        <v>#REF!</v>
      </c>
      <c r="C9" s="82">
        <f>'■2017年度　社員給与詳細 (ED) (2)'!D33</f>
        <v>10</v>
      </c>
      <c r="D9" s="82">
        <f>'■2017年度　社員給与詳細 (ED) (2)'!E13</f>
        <v>0</v>
      </c>
      <c r="E9" s="82">
        <f>'■2017年度　社員給与詳細 (ED) (2)'!F13</f>
        <v>0</v>
      </c>
      <c r="F9" s="82">
        <f>'■2017年度　社員給与詳細 (ED) (2)'!G13</f>
        <v>0</v>
      </c>
      <c r="G9" s="82">
        <f>'■2017年度　社員給与詳細 (ED) (2)'!H13</f>
        <v>0</v>
      </c>
      <c r="H9" s="82">
        <f>'■2017年度　社員給与詳細 (ED) (2)'!I13</f>
        <v>0</v>
      </c>
      <c r="I9" s="82">
        <f>'■2017年度　社員給与詳細 (ED) (2)'!J13</f>
        <v>0</v>
      </c>
      <c r="J9" s="82">
        <f>'■2017年度　社員給与詳細 (ED) (2)'!K13</f>
        <v>0</v>
      </c>
      <c r="K9" s="82">
        <f>'■2017年度　社員給与詳細 (ED) (2)'!L13</f>
        <v>0</v>
      </c>
      <c r="L9" s="82">
        <f>'■2017年度　社員給与詳細 (ED) (2)'!M13</f>
        <v>0</v>
      </c>
      <c r="M9" s="82">
        <f>'■2017年度　社員給与詳細 (ED) (2)'!N13</f>
        <v>0</v>
      </c>
      <c r="N9" s="82">
        <f>'■2017年度　社員給与詳細 (ED) (2)'!O13</f>
        <v>0</v>
      </c>
      <c r="O9" s="70">
        <f t="shared" si="0"/>
        <v>10</v>
      </c>
      <c r="Q9" s="70" t="e">
        <f>#REF!+#REF!</f>
        <v>#REF!</v>
      </c>
    </row>
    <row r="10" spans="1:17">
      <c r="C10" s="98"/>
      <c r="D10" s="98"/>
      <c r="E10" s="98"/>
      <c r="F10" s="98"/>
      <c r="G10" s="98"/>
      <c r="H10" s="98"/>
      <c r="I10" s="98"/>
      <c r="J10" s="98"/>
      <c r="K10" s="98"/>
      <c r="L10" s="82"/>
      <c r="M10" s="82"/>
      <c r="N10" s="82"/>
      <c r="O10" s="70"/>
    </row>
    <row r="11" spans="1:17">
      <c r="C11" s="109"/>
      <c r="D11" s="109"/>
      <c r="E11" s="109"/>
      <c r="F11" s="109"/>
      <c r="G11" s="109">
        <f>SUM(C12:G12)</f>
        <v>8</v>
      </c>
      <c r="H11" s="109"/>
      <c r="I11" s="109"/>
      <c r="J11" s="109"/>
      <c r="K11" s="109"/>
      <c r="L11" s="83"/>
      <c r="M11" s="83"/>
      <c r="N11" s="83"/>
      <c r="O11" s="69"/>
    </row>
    <row r="12" spans="1:17">
      <c r="A12" s="73" t="s">
        <v>63</v>
      </c>
      <c r="B12" s="74"/>
      <c r="C12" s="83">
        <v>1</v>
      </c>
      <c r="D12" s="83">
        <v>2</v>
      </c>
      <c r="E12" s="83">
        <v>2</v>
      </c>
      <c r="F12" s="83">
        <v>2</v>
      </c>
      <c r="G12" s="83">
        <v>1</v>
      </c>
      <c r="H12" s="83">
        <v>4</v>
      </c>
      <c r="I12" s="83">
        <v>2</v>
      </c>
      <c r="J12" s="83"/>
      <c r="K12" s="83"/>
      <c r="L12" s="83"/>
      <c r="M12" s="83"/>
      <c r="N12" s="83"/>
      <c r="O12" s="69"/>
    </row>
    <row r="13" spans="1:17">
      <c r="B13" s="111" t="e">
        <f xml:space="preserve"> IF(ISBLANK(#REF!)=TRUE, "",#REF!)</f>
        <v>#REF!</v>
      </c>
      <c r="C13" s="82" t="e">
        <f>#REF!</f>
        <v>#REF!</v>
      </c>
      <c r="D13" s="82" t="e">
        <f>#REF!</f>
        <v>#REF!</v>
      </c>
      <c r="E13" s="82" t="e">
        <f>#REF!</f>
        <v>#REF!</v>
      </c>
      <c r="F13" s="82" t="e">
        <f>#REF!</f>
        <v>#REF!</v>
      </c>
      <c r="G13" s="82" t="e">
        <f>#REF!</f>
        <v>#REF!</v>
      </c>
      <c r="H13" s="82" t="e">
        <f>#REF!</f>
        <v>#REF!</v>
      </c>
      <c r="I13" s="82" t="e">
        <f>#REF!</f>
        <v>#REF!</v>
      </c>
      <c r="J13" s="82" t="e">
        <f>#REF!</f>
        <v>#REF!</v>
      </c>
      <c r="K13" s="82" t="e">
        <f>#REF!</f>
        <v>#REF!</v>
      </c>
      <c r="L13" s="82" t="e">
        <f>#REF!</f>
        <v>#REF!</v>
      </c>
      <c r="M13" s="82" t="e">
        <f>#REF!</f>
        <v>#REF!</v>
      </c>
      <c r="N13" s="82" t="e">
        <f>#REF!</f>
        <v>#REF!</v>
      </c>
      <c r="O13" s="70" t="e">
        <f t="shared" ref="O13" si="1">SUM(C13:N13)</f>
        <v>#REF!</v>
      </c>
    </row>
    <row r="14" spans="1:17"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</row>
    <row r="15" spans="1:17">
      <c r="A15" s="77" t="s">
        <v>72</v>
      </c>
      <c r="B15" s="77"/>
      <c r="C15" s="1">
        <f t="shared" ref="C15:N15" si="2">C7</f>
        <v>0</v>
      </c>
      <c r="D15" s="1">
        <f t="shared" si="2"/>
        <v>0</v>
      </c>
      <c r="E15" s="1" t="e">
        <f t="shared" si="2"/>
        <v>#REF!</v>
      </c>
      <c r="F15" s="1" t="e">
        <f t="shared" si="2"/>
        <v>#REF!</v>
      </c>
      <c r="G15" s="1" t="e">
        <f t="shared" si="2"/>
        <v>#REF!</v>
      </c>
      <c r="H15" s="1" t="e">
        <f t="shared" si="2"/>
        <v>#REF!</v>
      </c>
      <c r="I15" s="1" t="e">
        <f t="shared" si="2"/>
        <v>#REF!</v>
      </c>
      <c r="J15" s="1" t="e">
        <f t="shared" si="2"/>
        <v>#REF!</v>
      </c>
      <c r="K15" s="1" t="e">
        <f t="shared" si="2"/>
        <v>#REF!</v>
      </c>
      <c r="L15" s="1" t="e">
        <f t="shared" si="2"/>
        <v>#REF!</v>
      </c>
      <c r="M15" s="1" t="e">
        <f t="shared" si="2"/>
        <v>#REF!</v>
      </c>
      <c r="N15" s="1" t="e">
        <f t="shared" si="2"/>
        <v>#REF!</v>
      </c>
      <c r="O15" s="71" t="e">
        <f>SUM(C15:N15)</f>
        <v>#REF!</v>
      </c>
    </row>
    <row r="16" spans="1:17">
      <c r="A16" s="77" t="s">
        <v>65</v>
      </c>
      <c r="B16" s="77"/>
      <c r="C16" s="1">
        <f t="shared" ref="C16:N16" si="3">SUM(C8:C9)</f>
        <v>110</v>
      </c>
      <c r="D16" s="1" t="e">
        <f t="shared" si="3"/>
        <v>#REF!</v>
      </c>
      <c r="E16" s="1" t="e">
        <f t="shared" si="3"/>
        <v>#REF!</v>
      </c>
      <c r="F16" s="1" t="e">
        <f t="shared" si="3"/>
        <v>#REF!</v>
      </c>
      <c r="G16" s="1" t="e">
        <f t="shared" si="3"/>
        <v>#REF!</v>
      </c>
      <c r="H16" s="1" t="e">
        <f t="shared" si="3"/>
        <v>#REF!</v>
      </c>
      <c r="I16" s="1" t="e">
        <f t="shared" si="3"/>
        <v>#REF!</v>
      </c>
      <c r="J16" s="1" t="e">
        <f>SUM(J8:J9)</f>
        <v>#REF!</v>
      </c>
      <c r="K16" s="1" t="e">
        <f t="shared" si="3"/>
        <v>#REF!</v>
      </c>
      <c r="L16" s="1" t="e">
        <f t="shared" si="3"/>
        <v>#REF!</v>
      </c>
      <c r="M16" s="1" t="e">
        <f t="shared" si="3"/>
        <v>#REF!</v>
      </c>
      <c r="N16" s="1" t="e">
        <f t="shared" si="3"/>
        <v>#REF!</v>
      </c>
      <c r="O16" s="71" t="e">
        <f>SUM(C16:N16)</f>
        <v>#REF!</v>
      </c>
    </row>
    <row r="17" spans="1:15">
      <c r="A17" s="77" t="s">
        <v>66</v>
      </c>
      <c r="B17" s="77"/>
      <c r="C17" s="1" t="e">
        <f t="shared" ref="C17:N17" si="4">SUM(C13:C13)</f>
        <v>#REF!</v>
      </c>
      <c r="D17" s="1" t="e">
        <f t="shared" si="4"/>
        <v>#REF!</v>
      </c>
      <c r="E17" s="1" t="e">
        <f t="shared" si="4"/>
        <v>#REF!</v>
      </c>
      <c r="F17" s="1" t="e">
        <f t="shared" si="4"/>
        <v>#REF!</v>
      </c>
      <c r="G17" s="1" t="e">
        <f t="shared" si="4"/>
        <v>#REF!</v>
      </c>
      <c r="H17" s="1" t="e">
        <f t="shared" si="4"/>
        <v>#REF!</v>
      </c>
      <c r="I17" s="1" t="e">
        <f t="shared" si="4"/>
        <v>#REF!</v>
      </c>
      <c r="J17" s="1" t="e">
        <f t="shared" si="4"/>
        <v>#REF!</v>
      </c>
      <c r="K17" s="1" t="e">
        <f t="shared" si="4"/>
        <v>#REF!</v>
      </c>
      <c r="L17" s="1" t="e">
        <f t="shared" si="4"/>
        <v>#REF!</v>
      </c>
      <c r="M17" s="1" t="e">
        <f t="shared" si="4"/>
        <v>#REF!</v>
      </c>
      <c r="N17" s="1" t="e">
        <f t="shared" si="4"/>
        <v>#REF!</v>
      </c>
      <c r="O17" s="71" t="e">
        <f>SUM(C17:N17)</f>
        <v>#REF!</v>
      </c>
    </row>
    <row r="18" spans="1:15">
      <c r="A18" s="77" t="s">
        <v>67</v>
      </c>
      <c r="B18" s="77"/>
      <c r="C18" s="1" t="e">
        <f>SUM(C15:C17)</f>
        <v>#REF!</v>
      </c>
      <c r="D18" s="1" t="e">
        <f t="shared" ref="D18:N18" si="5">SUM(D15:D17)</f>
        <v>#REF!</v>
      </c>
      <c r="E18" s="1" t="e">
        <f t="shared" si="5"/>
        <v>#REF!</v>
      </c>
      <c r="F18" s="1" t="e">
        <f t="shared" si="5"/>
        <v>#REF!</v>
      </c>
      <c r="G18" s="1" t="e">
        <f t="shared" si="5"/>
        <v>#REF!</v>
      </c>
      <c r="H18" s="1" t="e">
        <f t="shared" si="5"/>
        <v>#REF!</v>
      </c>
      <c r="I18" s="1" t="e">
        <f t="shared" si="5"/>
        <v>#REF!</v>
      </c>
      <c r="J18" s="1" t="e">
        <f t="shared" si="5"/>
        <v>#REF!</v>
      </c>
      <c r="K18" s="1" t="e">
        <f t="shared" si="5"/>
        <v>#REF!</v>
      </c>
      <c r="L18" s="1" t="e">
        <f t="shared" si="5"/>
        <v>#REF!</v>
      </c>
      <c r="M18" s="1" t="e">
        <f t="shared" si="5"/>
        <v>#REF!</v>
      </c>
      <c r="N18" s="1" t="e">
        <f t="shared" si="5"/>
        <v>#REF!</v>
      </c>
      <c r="O18" s="71" t="e">
        <f>SUM(C18:N18)</f>
        <v>#REF!</v>
      </c>
    </row>
    <row r="21" spans="1:15">
      <c r="C21" t="s">
        <v>79</v>
      </c>
    </row>
    <row r="22" spans="1:15">
      <c r="C22" s="171" t="s">
        <v>73</v>
      </c>
      <c r="D22" s="171"/>
      <c r="E22" s="170" t="s">
        <v>74</v>
      </c>
      <c r="F22" s="170"/>
    </row>
    <row r="23" spans="1:15">
      <c r="B23" t="s">
        <v>75</v>
      </c>
      <c r="C23" s="101" t="e">
        <f>SUM(C16:G16)</f>
        <v>#REF!</v>
      </c>
      <c r="D23" s="102">
        <f>SUM(C6:G6)</f>
        <v>30</v>
      </c>
      <c r="E23" s="101" t="e">
        <f>SUM(H16:N16)</f>
        <v>#REF!</v>
      </c>
      <c r="F23" s="102">
        <f>SUM(H6:N6)</f>
        <v>45</v>
      </c>
    </row>
    <row r="24" spans="1:15" ht="14.25" thickBot="1">
      <c r="B24" t="s">
        <v>76</v>
      </c>
      <c r="C24" s="103" t="e">
        <f>SUM(C17:G17)</f>
        <v>#REF!</v>
      </c>
      <c r="D24" s="104">
        <f>SUM(C12:G12)</f>
        <v>8</v>
      </c>
      <c r="E24" s="105" t="e">
        <f>SUM(H17:N17)</f>
        <v>#REF!</v>
      </c>
      <c r="F24" s="102">
        <f>SUM(H12:N12)</f>
        <v>6</v>
      </c>
    </row>
    <row r="25" spans="1:15" ht="14.25" thickTop="1">
      <c r="B25" t="s">
        <v>77</v>
      </c>
      <c r="C25" s="106" t="e">
        <f>SUM(C23:C24)</f>
        <v>#REF!</v>
      </c>
      <c r="D25" s="107">
        <f>SUM(D23:D24)</f>
        <v>38</v>
      </c>
      <c r="E25" s="101" t="e">
        <f>SUM(E23:E24)</f>
        <v>#REF!</v>
      </c>
      <c r="F25" s="107">
        <f>SUM(F23:F24)</f>
        <v>51</v>
      </c>
    </row>
    <row r="30" spans="1:15">
      <c r="C30" s="110"/>
      <c r="F30" s="101"/>
    </row>
    <row r="31" spans="1:15">
      <c r="C31" s="110"/>
      <c r="F31" s="101"/>
    </row>
    <row r="32" spans="1:15">
      <c r="C32" s="110"/>
      <c r="F32" s="101"/>
    </row>
  </sheetData>
  <mergeCells count="3">
    <mergeCell ref="A4:B4"/>
    <mergeCell ref="C22:D22"/>
    <mergeCell ref="E22:F22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37"/>
  <sheetViews>
    <sheetView topLeftCell="D1" workbookViewId="0">
      <selection activeCell="Q19" sqref="Q19"/>
    </sheetView>
  </sheetViews>
  <sheetFormatPr defaultRowHeight="13.5"/>
  <cols>
    <col min="3" max="3" width="13.25" customWidth="1"/>
  </cols>
  <sheetData>
    <row r="1" spans="1:17">
      <c r="A1" s="140"/>
      <c r="B1" s="158" t="s">
        <v>12</v>
      </c>
      <c r="C1" s="114" t="s">
        <v>87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41"/>
      <c r="B2" s="154"/>
      <c r="C2" s="115" t="s">
        <v>89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36" si="0">SUM(D2:P2)</f>
        <v>0</v>
      </c>
    </row>
    <row r="3" spans="1:17">
      <c r="A3" s="141"/>
      <c r="B3" s="143"/>
      <c r="C3" s="116" t="s">
        <v>88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41"/>
      <c r="B4" s="143"/>
      <c r="C4" s="117" t="s">
        <v>90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41"/>
      <c r="B5" s="143"/>
      <c r="C5" s="117" t="s">
        <v>91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41"/>
      <c r="B6" s="143"/>
      <c r="C6" s="117" t="s">
        <v>92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 t="shared" si="0"/>
        <v>0</v>
      </c>
    </row>
    <row r="7" spans="1:17">
      <c r="A7" s="141"/>
      <c r="B7" s="143"/>
      <c r="C7" s="116" t="s">
        <v>93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41"/>
      <c r="B8" s="143"/>
      <c r="C8" s="118" t="s">
        <v>94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41"/>
      <c r="B9" s="143" t="s">
        <v>11</v>
      </c>
      <c r="C9" s="119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41"/>
      <c r="B10" s="143"/>
      <c r="C10" s="117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41"/>
      <c r="B11" s="143"/>
      <c r="C11" s="117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41"/>
      <c r="B12" s="143"/>
      <c r="C12" s="117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41"/>
      <c r="B13" s="143"/>
      <c r="C13" s="120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41"/>
      <c r="B14" s="143" t="s">
        <v>13</v>
      </c>
      <c r="C14" s="119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41"/>
      <c r="B15" s="143"/>
      <c r="C15" s="116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41"/>
      <c r="B16" s="143"/>
      <c r="C16" s="116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41"/>
      <c r="B17" s="143"/>
      <c r="C17" s="120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41"/>
      <c r="B18" s="156" t="s">
        <v>54</v>
      </c>
      <c r="C18" s="157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42"/>
      <c r="B19" s="147" t="s">
        <v>5</v>
      </c>
      <c r="C19" s="148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  <row r="20" spans="1:17">
      <c r="A20" s="149"/>
      <c r="B20" s="152" t="s">
        <v>12</v>
      </c>
      <c r="C20" s="114" t="s">
        <v>84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30"/>
      <c r="Q20" s="134">
        <f>SUM(D20:P20)</f>
        <v>0</v>
      </c>
    </row>
    <row r="21" spans="1:17">
      <c r="A21" s="150"/>
      <c r="B21" s="153"/>
      <c r="C21" s="115" t="s">
        <v>85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28"/>
      <c r="Q21" s="132">
        <f t="shared" si="0"/>
        <v>0</v>
      </c>
    </row>
    <row r="22" spans="1:17">
      <c r="A22" s="150"/>
      <c r="B22" s="153"/>
      <c r="C22" s="116" t="s">
        <v>86</v>
      </c>
      <c r="D22" s="91">
        <f t="shared" ref="D22:I22" si="3">D20*D21</f>
        <v>0</v>
      </c>
      <c r="E22" s="91">
        <f t="shared" si="3"/>
        <v>0</v>
      </c>
      <c r="F22" s="91">
        <f t="shared" si="3"/>
        <v>0</v>
      </c>
      <c r="G22" s="91">
        <f t="shared" si="3"/>
        <v>0</v>
      </c>
      <c r="H22" s="91">
        <f t="shared" si="3"/>
        <v>0</v>
      </c>
      <c r="I22" s="91">
        <f t="shared" si="3"/>
        <v>0</v>
      </c>
      <c r="J22" s="91">
        <f t="shared" ref="J22:O22" si="4">J20*J21</f>
        <v>0</v>
      </c>
      <c r="K22" s="91">
        <f t="shared" si="4"/>
        <v>0</v>
      </c>
      <c r="L22" s="91">
        <f t="shared" si="4"/>
        <v>0</v>
      </c>
      <c r="M22" s="91">
        <f t="shared" si="4"/>
        <v>0</v>
      </c>
      <c r="N22" s="91">
        <f t="shared" si="4"/>
        <v>0</v>
      </c>
      <c r="O22" s="91">
        <f t="shared" si="4"/>
        <v>0</v>
      </c>
      <c r="P22" s="32"/>
      <c r="Q22" s="132">
        <f t="shared" si="0"/>
        <v>0</v>
      </c>
    </row>
    <row r="23" spans="1:17">
      <c r="A23" s="150"/>
      <c r="B23" s="153"/>
      <c r="C23" s="117" t="s">
        <v>9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32"/>
      <c r="Q23" s="132">
        <f t="shared" si="0"/>
        <v>0</v>
      </c>
    </row>
    <row r="24" spans="1:17">
      <c r="A24" s="150"/>
      <c r="B24" s="153"/>
      <c r="C24" s="117" t="s">
        <v>38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28"/>
      <c r="Q24" s="132">
        <f t="shared" si="0"/>
        <v>0</v>
      </c>
    </row>
    <row r="25" spans="1:17">
      <c r="A25" s="150"/>
      <c r="B25" s="153"/>
      <c r="C25" s="62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32"/>
      <c r="Q25" s="132">
        <f t="shared" si="0"/>
        <v>0</v>
      </c>
    </row>
    <row r="26" spans="1:17">
      <c r="A26" s="150"/>
      <c r="B26" s="154"/>
      <c r="C26" s="6" t="s">
        <v>42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33"/>
      <c r="Q26" s="135">
        <f t="shared" si="0"/>
        <v>0</v>
      </c>
    </row>
    <row r="27" spans="1:17">
      <c r="A27" s="150"/>
      <c r="B27" s="155" t="s">
        <v>11</v>
      </c>
      <c r="C27" s="5" t="s">
        <v>7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27"/>
      <c r="Q27" s="136">
        <f t="shared" si="0"/>
        <v>0</v>
      </c>
    </row>
    <row r="28" spans="1:17">
      <c r="A28" s="150"/>
      <c r="B28" s="153"/>
      <c r="C28" s="6" t="s">
        <v>4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32"/>
      <c r="Q28" s="132">
        <f t="shared" si="0"/>
        <v>0</v>
      </c>
    </row>
    <row r="29" spans="1:17">
      <c r="A29" s="150"/>
      <c r="B29" s="153"/>
      <c r="C29" s="6" t="s">
        <v>17</v>
      </c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32"/>
      <c r="Q29" s="132">
        <f t="shared" si="0"/>
        <v>0</v>
      </c>
    </row>
    <row r="30" spans="1:17">
      <c r="A30" s="150"/>
      <c r="B30" s="153"/>
      <c r="C30" s="6" t="s">
        <v>18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32"/>
      <c r="Q30" s="132">
        <f t="shared" si="0"/>
        <v>0</v>
      </c>
    </row>
    <row r="31" spans="1:17">
      <c r="A31" s="150"/>
      <c r="B31" s="153"/>
      <c r="C31" s="6" t="s">
        <v>60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32"/>
      <c r="Q31" s="135">
        <f t="shared" si="0"/>
        <v>0</v>
      </c>
    </row>
    <row r="32" spans="1:17">
      <c r="A32" s="150"/>
      <c r="B32" s="155" t="s">
        <v>13</v>
      </c>
      <c r="C32" s="5" t="s">
        <v>10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27"/>
      <c r="Q32" s="131">
        <f t="shared" si="0"/>
        <v>0</v>
      </c>
    </row>
    <row r="33" spans="1:17">
      <c r="A33" s="150"/>
      <c r="B33" s="153"/>
      <c r="C33" s="116" t="s">
        <v>55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28"/>
      <c r="Q33" s="132">
        <f t="shared" si="0"/>
        <v>0</v>
      </c>
    </row>
    <row r="34" spans="1:17">
      <c r="A34" s="150"/>
      <c r="B34" s="153"/>
      <c r="C34" s="8" t="s">
        <v>56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28"/>
      <c r="Q34" s="132">
        <f t="shared" si="0"/>
        <v>0</v>
      </c>
    </row>
    <row r="35" spans="1:17" ht="14.25" thickBot="1">
      <c r="A35" s="150"/>
      <c r="B35" s="154"/>
      <c r="C35" s="4" t="s">
        <v>61</v>
      </c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33"/>
      <c r="Q35" s="133">
        <f t="shared" si="0"/>
        <v>0</v>
      </c>
    </row>
    <row r="36" spans="1:17" ht="14.25" thickBot="1">
      <c r="A36" s="150"/>
      <c r="B36" s="156" t="s">
        <v>54</v>
      </c>
      <c r="C36" s="157"/>
      <c r="D36" s="56">
        <f>SUM(D22:D26)-SUM(D30:D31)</f>
        <v>0</v>
      </c>
      <c r="E36" s="56">
        <f t="shared" ref="E36:O36" si="5">SUM(E22:E26)-SUM(E30:E31)</f>
        <v>0</v>
      </c>
      <c r="F36" s="56">
        <f t="shared" si="5"/>
        <v>0</v>
      </c>
      <c r="G36" s="56">
        <f t="shared" si="5"/>
        <v>0</v>
      </c>
      <c r="H36" s="56">
        <f t="shared" si="5"/>
        <v>0</v>
      </c>
      <c r="I36" s="56">
        <f t="shared" si="5"/>
        <v>0</v>
      </c>
      <c r="J36" s="56">
        <f t="shared" si="5"/>
        <v>0</v>
      </c>
      <c r="K36" s="56">
        <f t="shared" si="5"/>
        <v>0</v>
      </c>
      <c r="L36" s="56">
        <f t="shared" si="5"/>
        <v>0</v>
      </c>
      <c r="M36" s="56">
        <f t="shared" si="5"/>
        <v>0</v>
      </c>
      <c r="N36" s="56">
        <f t="shared" si="5"/>
        <v>0</v>
      </c>
      <c r="O36" s="56">
        <f t="shared" si="5"/>
        <v>0</v>
      </c>
      <c r="P36" s="58">
        <f>SUM(P20:P26)-SUM(P30:P31)</f>
        <v>0</v>
      </c>
      <c r="Q36" s="130">
        <f t="shared" si="0"/>
        <v>0</v>
      </c>
    </row>
    <row r="37" spans="1:17" ht="14.25" thickBot="1">
      <c r="A37" s="151"/>
      <c r="B37" s="147" t="s">
        <v>5</v>
      </c>
      <c r="C37" s="148"/>
      <c r="D37" s="42">
        <f>SUM(D22:D26)-SUM(D27:D31)+SUM(D32:D35)</f>
        <v>0</v>
      </c>
      <c r="E37" s="42">
        <f t="shared" ref="E37:O37" si="6">SUM(E22:E26)-SUM(E27:E31)+SUM(E32:E35)</f>
        <v>0</v>
      </c>
      <c r="F37" s="42">
        <f t="shared" si="6"/>
        <v>0</v>
      </c>
      <c r="G37" s="42">
        <f t="shared" si="6"/>
        <v>0</v>
      </c>
      <c r="H37" s="42">
        <f t="shared" si="6"/>
        <v>0</v>
      </c>
      <c r="I37" s="42">
        <f t="shared" si="6"/>
        <v>0</v>
      </c>
      <c r="J37" s="42">
        <f t="shared" si="6"/>
        <v>0</v>
      </c>
      <c r="K37" s="42">
        <f t="shared" si="6"/>
        <v>0</v>
      </c>
      <c r="L37" s="42">
        <f t="shared" si="6"/>
        <v>0</v>
      </c>
      <c r="M37" s="42">
        <f t="shared" si="6"/>
        <v>0</v>
      </c>
      <c r="N37" s="42">
        <f t="shared" si="6"/>
        <v>0</v>
      </c>
      <c r="O37" s="42">
        <f t="shared" si="6"/>
        <v>0</v>
      </c>
      <c r="P37" s="44">
        <f>SUM(P20:P26)-SUM(P27:P31)+SUM(P32:P35)</f>
        <v>0</v>
      </c>
      <c r="Q37" s="46">
        <f>SUM(D37:P37)</f>
        <v>0</v>
      </c>
    </row>
  </sheetData>
  <mergeCells count="12">
    <mergeCell ref="A20:A37"/>
    <mergeCell ref="B20:B26"/>
    <mergeCell ref="B27:B31"/>
    <mergeCell ref="B32:B35"/>
    <mergeCell ref="B36:C36"/>
    <mergeCell ref="B37:C37"/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R3173"/>
  <sheetViews>
    <sheetView zoomScale="90" zoomScaleNormal="90" workbookViewId="0">
      <pane xSplit="3" ySplit="3" topLeftCell="D1077" activePane="bottomRight" state="frozen"/>
      <selection pane="topRight" activeCell="D1" sqref="D1"/>
      <selection pane="bottomLeft" activeCell="A4" sqref="A4"/>
      <selection pane="bottomRight" activeCell="A1306" sqref="A1306:Q134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38" t="s">
        <v>1</v>
      </c>
      <c r="C3" s="139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40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41"/>
      <c r="B5" s="143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41"/>
      <c r="B6" s="143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41"/>
      <c r="B7" s="143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41"/>
      <c r="B8" s="143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41"/>
      <c r="B9" s="143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41"/>
      <c r="B10" s="144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41"/>
      <c r="B11" s="145"/>
      <c r="C11" s="118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41"/>
      <c r="B12" s="146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42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8" t="s">
        <v>95</v>
      </c>
      <c r="B14" s="158" t="s">
        <v>12</v>
      </c>
      <c r="C14" s="114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41"/>
      <c r="B15" s="154"/>
      <c r="C15" s="115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41"/>
      <c r="B16" s="143"/>
      <c r="C16" s="116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41"/>
      <c r="B17" s="143"/>
      <c r="C17" s="117" t="s">
        <v>90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41"/>
      <c r="B18" s="143"/>
      <c r="C18" s="117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41"/>
      <c r="B19" s="143"/>
      <c r="C19" s="117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41"/>
      <c r="B20" s="143"/>
      <c r="C20" s="116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41"/>
      <c r="B21" s="143"/>
      <c r="C21" s="118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41"/>
      <c r="B22" s="143" t="s">
        <v>11</v>
      </c>
      <c r="C22" s="119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41"/>
      <c r="B23" s="143"/>
      <c r="C23" s="117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41"/>
      <c r="B24" s="143"/>
      <c r="C24" s="117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41"/>
      <c r="B25" s="143"/>
      <c r="C25" s="117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41"/>
      <c r="B26" s="143"/>
      <c r="C26" s="120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41"/>
      <c r="B27" s="143" t="s">
        <v>13</v>
      </c>
      <c r="C27" s="119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41"/>
      <c r="B28" s="143"/>
      <c r="C28" s="116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41"/>
      <c r="B29" s="143"/>
      <c r="C29" s="116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41"/>
      <c r="B30" s="143"/>
      <c r="C30" s="120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41"/>
      <c r="B31" s="156" t="s">
        <v>54</v>
      </c>
      <c r="C31" s="157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2"/>
      <c r="B32" s="147" t="s">
        <v>5</v>
      </c>
      <c r="C32" s="148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40"/>
      <c r="B33" s="176" t="s">
        <v>12</v>
      </c>
      <c r="C33" s="114" t="s">
        <v>87</v>
      </c>
      <c r="D33" s="87">
        <v>10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78"/>
      <c r="P33" s="30"/>
      <c r="Q33" s="121">
        <f>SUM(D33:P33)</f>
        <v>10</v>
      </c>
    </row>
    <row r="34" spans="1:17">
      <c r="A34" s="174"/>
      <c r="B34" s="177"/>
      <c r="C34" s="115" t="s">
        <v>89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1"/>
      <c r="P34" s="31"/>
      <c r="Q34" s="122">
        <f t="shared" ref="Q34:Q51" si="4">SUM(D34:P34)</f>
        <v>0</v>
      </c>
    </row>
    <row r="35" spans="1:17">
      <c r="A35" s="174"/>
      <c r="B35" s="178"/>
      <c r="C35" s="116" t="s">
        <v>88</v>
      </c>
      <c r="D35" s="89"/>
      <c r="E35" s="90"/>
      <c r="F35" s="90"/>
      <c r="G35" s="90"/>
      <c r="H35" s="89"/>
      <c r="I35" s="89"/>
      <c r="J35" s="89"/>
      <c r="K35" s="89"/>
      <c r="L35" s="89"/>
      <c r="M35" s="89"/>
      <c r="N35" s="89"/>
      <c r="O35" s="17"/>
      <c r="P35" s="28"/>
      <c r="Q35" s="122">
        <f t="shared" si="4"/>
        <v>0</v>
      </c>
    </row>
    <row r="36" spans="1:17">
      <c r="A36" s="174"/>
      <c r="B36" s="178"/>
      <c r="C36" s="117" t="s">
        <v>90</v>
      </c>
      <c r="D36" s="91"/>
      <c r="E36" s="89"/>
      <c r="F36" s="89"/>
      <c r="G36" s="91"/>
      <c r="H36" s="91"/>
      <c r="I36" s="91"/>
      <c r="J36" s="91"/>
      <c r="K36" s="91"/>
      <c r="L36" s="91"/>
      <c r="M36" s="91"/>
      <c r="N36" s="91"/>
      <c r="O36" s="80"/>
      <c r="P36" s="32"/>
      <c r="Q36" s="122">
        <f t="shared" si="4"/>
        <v>0</v>
      </c>
    </row>
    <row r="37" spans="1:17">
      <c r="A37" s="174"/>
      <c r="B37" s="178"/>
      <c r="C37" s="117" t="s">
        <v>91</v>
      </c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80"/>
      <c r="P37" s="32"/>
      <c r="Q37" s="122">
        <f t="shared" si="4"/>
        <v>0</v>
      </c>
    </row>
    <row r="38" spans="1:17">
      <c r="A38" s="174"/>
      <c r="B38" s="178"/>
      <c r="C38" s="117" t="s">
        <v>92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80"/>
      <c r="P38" s="32"/>
      <c r="Q38" s="122">
        <f t="shared" si="4"/>
        <v>0</v>
      </c>
    </row>
    <row r="39" spans="1:17">
      <c r="A39" s="174"/>
      <c r="B39" s="178"/>
      <c r="C39" s="116" t="s">
        <v>93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80"/>
      <c r="P39" s="32"/>
      <c r="Q39" s="122">
        <f t="shared" si="4"/>
        <v>0</v>
      </c>
    </row>
    <row r="40" spans="1:17">
      <c r="A40" s="174"/>
      <c r="B40" s="178"/>
      <c r="C40" s="118" t="s">
        <v>94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18"/>
      <c r="P40" s="33"/>
      <c r="Q40" s="123">
        <f t="shared" si="4"/>
        <v>0</v>
      </c>
    </row>
    <row r="41" spans="1:17">
      <c r="A41" s="174"/>
      <c r="B41" s="178" t="s">
        <v>11</v>
      </c>
      <c r="C41" s="119" t="s">
        <v>7</v>
      </c>
      <c r="D41" s="93"/>
      <c r="E41" s="93"/>
      <c r="F41" s="93"/>
      <c r="G41" s="93"/>
      <c r="H41" s="93"/>
      <c r="I41" s="93"/>
      <c r="J41" s="93"/>
      <c r="K41" s="93"/>
      <c r="L41" s="94"/>
      <c r="M41" s="94"/>
      <c r="N41" s="94"/>
      <c r="O41" s="79"/>
      <c r="P41" s="27"/>
      <c r="Q41" s="124">
        <f t="shared" si="4"/>
        <v>0</v>
      </c>
    </row>
    <row r="42" spans="1:17">
      <c r="A42" s="174"/>
      <c r="B42" s="178"/>
      <c r="C42" s="117" t="s">
        <v>4</v>
      </c>
      <c r="D42" s="95"/>
      <c r="E42" s="95"/>
      <c r="F42" s="95"/>
      <c r="G42" s="95"/>
      <c r="H42" s="95"/>
      <c r="I42" s="95"/>
      <c r="J42" s="95"/>
      <c r="K42" s="95"/>
      <c r="L42" s="91"/>
      <c r="M42" s="91"/>
      <c r="N42" s="91"/>
      <c r="O42" s="80"/>
      <c r="P42" s="32"/>
      <c r="Q42" s="122">
        <f t="shared" si="4"/>
        <v>0</v>
      </c>
    </row>
    <row r="43" spans="1:17">
      <c r="A43" s="174"/>
      <c r="B43" s="178"/>
      <c r="C43" s="117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80"/>
      <c r="P43" s="32"/>
      <c r="Q43" s="122">
        <f t="shared" si="4"/>
        <v>0</v>
      </c>
    </row>
    <row r="44" spans="1:17">
      <c r="A44" s="174"/>
      <c r="B44" s="178"/>
      <c r="C44" s="117" t="s">
        <v>18</v>
      </c>
      <c r="D44" s="90"/>
      <c r="E44" s="90"/>
      <c r="F44" s="90"/>
      <c r="G44" s="90"/>
      <c r="H44" s="91"/>
      <c r="I44" s="91"/>
      <c r="J44" s="91"/>
      <c r="K44" s="91"/>
      <c r="L44" s="91"/>
      <c r="M44" s="91"/>
      <c r="N44" s="91"/>
      <c r="O44" s="80"/>
      <c r="P44" s="32"/>
      <c r="Q44" s="122">
        <f t="shared" si="4"/>
        <v>0</v>
      </c>
    </row>
    <row r="45" spans="1:17">
      <c r="A45" s="174"/>
      <c r="B45" s="178"/>
      <c r="C45" s="120" t="s">
        <v>19</v>
      </c>
      <c r="D45" s="96"/>
      <c r="E45" s="96"/>
      <c r="F45" s="96"/>
      <c r="G45" s="96"/>
      <c r="H45" s="92"/>
      <c r="I45" s="92"/>
      <c r="J45" s="92"/>
      <c r="K45" s="92"/>
      <c r="L45" s="92"/>
      <c r="M45" s="92"/>
      <c r="N45" s="92"/>
      <c r="O45" s="18"/>
      <c r="P45" s="33"/>
      <c r="Q45" s="123">
        <f t="shared" si="4"/>
        <v>0</v>
      </c>
    </row>
    <row r="46" spans="1:17">
      <c r="A46" s="174"/>
      <c r="B46" s="178" t="s">
        <v>13</v>
      </c>
      <c r="C46" s="119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79"/>
      <c r="P46" s="27"/>
      <c r="Q46" s="124">
        <f t="shared" si="4"/>
        <v>0</v>
      </c>
    </row>
    <row r="47" spans="1:17">
      <c r="A47" s="174"/>
      <c r="B47" s="178"/>
      <c r="C47" s="116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17"/>
      <c r="P47" s="28"/>
      <c r="Q47" s="122">
        <f t="shared" si="4"/>
        <v>0</v>
      </c>
    </row>
    <row r="48" spans="1:17">
      <c r="A48" s="174"/>
      <c r="B48" s="178"/>
      <c r="C48" s="116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17"/>
      <c r="P48" s="28"/>
      <c r="Q48" s="122">
        <f t="shared" si="4"/>
        <v>0</v>
      </c>
    </row>
    <row r="49" spans="1:18">
      <c r="A49" s="174"/>
      <c r="B49" s="178"/>
      <c r="C49" s="120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18"/>
      <c r="P49" s="33"/>
      <c r="Q49" s="123">
        <f t="shared" si="4"/>
        <v>0</v>
      </c>
    </row>
    <row r="50" spans="1:18">
      <c r="A50" s="174"/>
      <c r="B50" s="179" t="s">
        <v>54</v>
      </c>
      <c r="C50" s="180"/>
      <c r="D50" s="56">
        <f>SUM(D33:D40)-SUM(D44:D45)</f>
        <v>10</v>
      </c>
      <c r="E50" s="56">
        <f t="shared" ref="E50:O50" si="5">SUM(E33:E40)-SUM(E44:E45)</f>
        <v>0</v>
      </c>
      <c r="F50" s="56">
        <f t="shared" si="5"/>
        <v>0</v>
      </c>
      <c r="G50" s="56">
        <f>SUM(G33:G40)-SUM(G44:G45)</f>
        <v>0</v>
      </c>
      <c r="H50" s="56">
        <f t="shared" si="5"/>
        <v>0</v>
      </c>
      <c r="I50" s="56">
        <f t="shared" si="5"/>
        <v>0</v>
      </c>
      <c r="J50" s="56">
        <f t="shared" si="5"/>
        <v>0</v>
      </c>
      <c r="K50" s="56">
        <f t="shared" si="5"/>
        <v>0</v>
      </c>
      <c r="L50" s="56">
        <f t="shared" si="5"/>
        <v>0</v>
      </c>
      <c r="M50" s="56">
        <f t="shared" si="5"/>
        <v>0</v>
      </c>
      <c r="N50" s="56">
        <f t="shared" si="5"/>
        <v>0</v>
      </c>
      <c r="O50" s="57">
        <f t="shared" si="5"/>
        <v>0</v>
      </c>
      <c r="P50" s="60">
        <f>SUM(P33:P40)-SUM(P44:P45)</f>
        <v>0</v>
      </c>
      <c r="Q50" s="125">
        <f>SUM(D50:P50)</f>
        <v>10</v>
      </c>
    </row>
    <row r="51" spans="1:18" ht="14.25" thickBot="1">
      <c r="A51" s="175"/>
      <c r="B51" s="172" t="s">
        <v>5</v>
      </c>
      <c r="C51" s="173"/>
      <c r="D51" s="42">
        <f>SUM(D33:D40)-SUM(D41:D45)+SUM(D46:D49)</f>
        <v>10</v>
      </c>
      <c r="E51" s="42">
        <f>SUM(E33:E40)-SUM(E41:E45)+SUM(E46:E49)</f>
        <v>0</v>
      </c>
      <c r="F51" s="42">
        <f t="shared" ref="F51:O51" si="6">SUM(F33:F40)-SUM(F41:F45)+SUM(F46:F49)</f>
        <v>0</v>
      </c>
      <c r="G51" s="42">
        <f>SUM(G33:G40)-SUM(G41:G45)+SUM(G46:G49)</f>
        <v>0</v>
      </c>
      <c r="H51" s="42">
        <f t="shared" si="6"/>
        <v>0</v>
      </c>
      <c r="I51" s="42">
        <f t="shared" si="6"/>
        <v>0</v>
      </c>
      <c r="J51" s="42">
        <f t="shared" si="6"/>
        <v>0</v>
      </c>
      <c r="K51" s="42">
        <f t="shared" si="6"/>
        <v>0</v>
      </c>
      <c r="L51" s="42">
        <f t="shared" si="6"/>
        <v>0</v>
      </c>
      <c r="M51" s="42">
        <f t="shared" si="6"/>
        <v>0</v>
      </c>
      <c r="N51" s="42">
        <f t="shared" si="6"/>
        <v>0</v>
      </c>
      <c r="O51" s="43">
        <f t="shared" si="6"/>
        <v>0</v>
      </c>
      <c r="P51" s="44">
        <f>SUM(P33:P40)-SUM(P41:P45)+SUM(P46:P49)</f>
        <v>0</v>
      </c>
      <c r="Q51" s="126">
        <f t="shared" si="4"/>
        <v>10</v>
      </c>
    </row>
    <row r="52" spans="1:18">
      <c r="A52" s="140"/>
      <c r="B52" s="176" t="s">
        <v>12</v>
      </c>
      <c r="C52" s="114" t="s">
        <v>87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78"/>
      <c r="P52" s="30"/>
      <c r="Q52" s="121">
        <f>SUM(D52:P52)</f>
        <v>0</v>
      </c>
    </row>
    <row r="53" spans="1:18">
      <c r="A53" s="174"/>
      <c r="B53" s="177"/>
      <c r="C53" s="115" t="s">
        <v>89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1"/>
      <c r="P53" s="31"/>
      <c r="Q53" s="122">
        <f t="shared" ref="Q53:Q70" si="7">SUM(D53:P53)</f>
        <v>0</v>
      </c>
    </row>
    <row r="54" spans="1:18">
      <c r="A54" s="174"/>
      <c r="B54" s="178"/>
      <c r="C54" s="116" t="s">
        <v>88</v>
      </c>
      <c r="D54" s="89"/>
      <c r="E54" s="90"/>
      <c r="F54" s="90"/>
      <c r="G54" s="90"/>
      <c r="H54" s="89"/>
      <c r="I54" s="89"/>
      <c r="J54" s="89"/>
      <c r="K54" s="89"/>
      <c r="L54" s="89"/>
      <c r="M54" s="89"/>
      <c r="N54" s="89"/>
      <c r="O54" s="17"/>
      <c r="P54" s="28"/>
      <c r="Q54" s="122">
        <f t="shared" si="7"/>
        <v>0</v>
      </c>
    </row>
    <row r="55" spans="1:18">
      <c r="A55" s="174"/>
      <c r="B55" s="178"/>
      <c r="C55" s="117" t="s">
        <v>90</v>
      </c>
      <c r="D55" s="91"/>
      <c r="E55" s="89"/>
      <c r="F55" s="89"/>
      <c r="G55" s="91"/>
      <c r="H55" s="91"/>
      <c r="I55" s="91"/>
      <c r="J55" s="91"/>
      <c r="K55" s="91"/>
      <c r="L55" s="91"/>
      <c r="M55" s="91"/>
      <c r="N55" s="91"/>
      <c r="O55" s="80"/>
      <c r="P55" s="32"/>
      <c r="Q55" s="122">
        <f t="shared" si="7"/>
        <v>0</v>
      </c>
    </row>
    <row r="56" spans="1:18">
      <c r="A56" s="174"/>
      <c r="B56" s="178"/>
      <c r="C56" s="117" t="s">
        <v>91</v>
      </c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80"/>
      <c r="P56" s="32"/>
      <c r="Q56" s="122">
        <f t="shared" si="7"/>
        <v>0</v>
      </c>
    </row>
    <row r="57" spans="1:18">
      <c r="A57" s="174"/>
      <c r="B57" s="178"/>
      <c r="C57" s="117" t="s">
        <v>92</v>
      </c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80"/>
      <c r="P57" s="32"/>
      <c r="Q57" s="122">
        <f t="shared" si="7"/>
        <v>0</v>
      </c>
    </row>
    <row r="58" spans="1:18">
      <c r="A58" s="174"/>
      <c r="B58" s="178"/>
      <c r="C58" s="116" t="s">
        <v>93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80"/>
      <c r="P58" s="32"/>
      <c r="Q58" s="122">
        <f t="shared" si="7"/>
        <v>0</v>
      </c>
    </row>
    <row r="59" spans="1:18">
      <c r="A59" s="174"/>
      <c r="B59" s="178"/>
      <c r="C59" s="118" t="s">
        <v>94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18"/>
      <c r="P59" s="33"/>
      <c r="Q59" s="123">
        <f t="shared" si="7"/>
        <v>0</v>
      </c>
    </row>
    <row r="60" spans="1:18">
      <c r="A60" s="174"/>
      <c r="B60" s="178" t="s">
        <v>11</v>
      </c>
      <c r="C60" s="119" t="s">
        <v>7</v>
      </c>
      <c r="D60" s="93"/>
      <c r="E60" s="93"/>
      <c r="F60" s="93"/>
      <c r="G60" s="93"/>
      <c r="H60" s="93"/>
      <c r="I60" s="93"/>
      <c r="J60" s="93"/>
      <c r="K60" s="93"/>
      <c r="L60" s="94"/>
      <c r="M60" s="94"/>
      <c r="N60" s="94"/>
      <c r="O60" s="79"/>
      <c r="P60" s="27"/>
      <c r="Q60" s="124">
        <f t="shared" si="7"/>
        <v>0</v>
      </c>
    </row>
    <row r="61" spans="1:18">
      <c r="A61" s="174"/>
      <c r="B61" s="178"/>
      <c r="C61" s="117" t="s">
        <v>4</v>
      </c>
      <c r="D61" s="95"/>
      <c r="E61" s="95"/>
      <c r="F61" s="95"/>
      <c r="G61" s="95"/>
      <c r="H61" s="95"/>
      <c r="I61" s="95"/>
      <c r="J61" s="95"/>
      <c r="K61" s="95"/>
      <c r="L61" s="91"/>
      <c r="M61" s="91"/>
      <c r="N61" s="91"/>
      <c r="O61" s="80"/>
      <c r="P61" s="32"/>
      <c r="Q61" s="122">
        <f t="shared" si="7"/>
        <v>0</v>
      </c>
    </row>
    <row r="62" spans="1:18">
      <c r="A62" s="174"/>
      <c r="B62" s="178"/>
      <c r="C62" s="117" t="s">
        <v>17</v>
      </c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80"/>
      <c r="P62" s="32"/>
      <c r="Q62" s="122">
        <f t="shared" si="7"/>
        <v>0</v>
      </c>
      <c r="R62" s="39">
        <f>SUM(P3171:Q3171)</f>
        <v>0</v>
      </c>
    </row>
    <row r="63" spans="1:18">
      <c r="A63" s="174"/>
      <c r="B63" s="178"/>
      <c r="C63" s="117" t="s">
        <v>18</v>
      </c>
      <c r="D63" s="90"/>
      <c r="E63" s="90"/>
      <c r="F63" s="90"/>
      <c r="G63" s="90"/>
      <c r="H63" s="91"/>
      <c r="I63" s="91"/>
      <c r="J63" s="91"/>
      <c r="K63" s="91"/>
      <c r="L63" s="91"/>
      <c r="M63" s="91"/>
      <c r="N63" s="91"/>
      <c r="O63" s="80"/>
      <c r="P63" s="32"/>
      <c r="Q63" s="122">
        <f t="shared" si="7"/>
        <v>0</v>
      </c>
      <c r="R63" s="39">
        <f>SUM(P3172:Q3172)</f>
        <v>0</v>
      </c>
    </row>
    <row r="64" spans="1:18">
      <c r="A64" s="174"/>
      <c r="B64" s="178"/>
      <c r="C64" s="120" t="s">
        <v>19</v>
      </c>
      <c r="D64" s="96"/>
      <c r="E64" s="96"/>
      <c r="F64" s="96"/>
      <c r="G64" s="96"/>
      <c r="H64" s="92"/>
      <c r="I64" s="92"/>
      <c r="J64" s="92"/>
      <c r="K64" s="92"/>
      <c r="L64" s="92"/>
      <c r="M64" s="92"/>
      <c r="N64" s="92"/>
      <c r="O64" s="18"/>
      <c r="P64" s="33"/>
      <c r="Q64" s="123">
        <f t="shared" si="7"/>
        <v>0</v>
      </c>
    </row>
    <row r="65" spans="1:17">
      <c r="A65" s="174"/>
      <c r="B65" s="178" t="s">
        <v>13</v>
      </c>
      <c r="C65" s="119" t="s">
        <v>10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79"/>
      <c r="P65" s="27"/>
      <c r="Q65" s="124">
        <f t="shared" si="7"/>
        <v>0</v>
      </c>
    </row>
    <row r="66" spans="1:17">
      <c r="A66" s="174"/>
      <c r="B66" s="178"/>
      <c r="C66" s="116" t="s">
        <v>55</v>
      </c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17"/>
      <c r="P66" s="28"/>
      <c r="Q66" s="122">
        <f t="shared" si="7"/>
        <v>0</v>
      </c>
    </row>
    <row r="67" spans="1:17">
      <c r="A67" s="174"/>
      <c r="B67" s="178"/>
      <c r="C67" s="116" t="s">
        <v>56</v>
      </c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17"/>
      <c r="P67" s="28"/>
      <c r="Q67" s="122">
        <f t="shared" si="7"/>
        <v>0</v>
      </c>
    </row>
    <row r="68" spans="1:17">
      <c r="A68" s="174"/>
      <c r="B68" s="178"/>
      <c r="C68" s="120" t="s">
        <v>61</v>
      </c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18"/>
      <c r="P68" s="33"/>
      <c r="Q68" s="123">
        <f t="shared" si="7"/>
        <v>0</v>
      </c>
    </row>
    <row r="69" spans="1:17">
      <c r="A69" s="174"/>
      <c r="B69" s="179" t="s">
        <v>54</v>
      </c>
      <c r="C69" s="180"/>
      <c r="D69" s="56">
        <f>SUM(D52:D59)-SUM(D63:D64)</f>
        <v>0</v>
      </c>
      <c r="E69" s="56">
        <f t="shared" ref="E69:O69" si="8">SUM(E52:E59)-SUM(E63:E64)</f>
        <v>0</v>
      </c>
      <c r="F69" s="56">
        <f t="shared" si="8"/>
        <v>0</v>
      </c>
      <c r="G69" s="56">
        <f>SUM(G52:G59)-SUM(G63:G64)</f>
        <v>0</v>
      </c>
      <c r="H69" s="56">
        <f t="shared" si="8"/>
        <v>0</v>
      </c>
      <c r="I69" s="56">
        <f t="shared" si="8"/>
        <v>0</v>
      </c>
      <c r="J69" s="56">
        <f t="shared" si="8"/>
        <v>0</v>
      </c>
      <c r="K69" s="56">
        <f t="shared" si="8"/>
        <v>0</v>
      </c>
      <c r="L69" s="56">
        <f t="shared" si="8"/>
        <v>0</v>
      </c>
      <c r="M69" s="56">
        <f t="shared" si="8"/>
        <v>0</v>
      </c>
      <c r="N69" s="56">
        <f t="shared" si="8"/>
        <v>0</v>
      </c>
      <c r="O69" s="57">
        <f t="shared" si="8"/>
        <v>0</v>
      </c>
      <c r="P69" s="60">
        <f>SUM(P52:P59)-SUM(P63:P64)</f>
        <v>0</v>
      </c>
      <c r="Q69" s="125">
        <f>SUM(D69:P69)</f>
        <v>0</v>
      </c>
    </row>
    <row r="70" spans="1:17" ht="14.25" thickBot="1">
      <c r="A70" s="175"/>
      <c r="B70" s="172" t="s">
        <v>5</v>
      </c>
      <c r="C70" s="173"/>
      <c r="D70" s="42">
        <f>SUM(D52:D59)-SUM(D60:D64)+SUM(D65:D68)</f>
        <v>0</v>
      </c>
      <c r="E70" s="42">
        <f>SUM(E52:E59)-SUM(E60:E64)+SUM(E65:E68)</f>
        <v>0</v>
      </c>
      <c r="F70" s="42">
        <f t="shared" ref="F70:O70" si="9">SUM(F52:F59)-SUM(F60:F64)+SUM(F65:F68)</f>
        <v>0</v>
      </c>
      <c r="G70" s="42">
        <f>SUM(G52:G59)-SUM(G60:G64)+SUM(G65:G68)</f>
        <v>0</v>
      </c>
      <c r="H70" s="42">
        <f t="shared" si="9"/>
        <v>0</v>
      </c>
      <c r="I70" s="42">
        <f t="shared" si="9"/>
        <v>0</v>
      </c>
      <c r="J70" s="42">
        <f t="shared" si="9"/>
        <v>0</v>
      </c>
      <c r="K70" s="42">
        <f t="shared" si="9"/>
        <v>0</v>
      </c>
      <c r="L70" s="42">
        <f t="shared" si="9"/>
        <v>0</v>
      </c>
      <c r="M70" s="42">
        <f t="shared" si="9"/>
        <v>0</v>
      </c>
      <c r="N70" s="42">
        <f t="shared" si="9"/>
        <v>0</v>
      </c>
      <c r="O70" s="43">
        <f t="shared" si="9"/>
        <v>0</v>
      </c>
      <c r="P70" s="44">
        <f>SUM(P52:P59)-SUM(P60:P64)+SUM(P65:P68)</f>
        <v>0</v>
      </c>
      <c r="Q70" s="126">
        <f t="shared" si="7"/>
        <v>0</v>
      </c>
    </row>
    <row r="71" spans="1:17">
      <c r="A71" s="140"/>
      <c r="B71" s="176" t="s">
        <v>12</v>
      </c>
      <c r="C71" s="114" t="s">
        <v>87</v>
      </c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78"/>
      <c r="P71" s="30"/>
      <c r="Q71" s="121">
        <f>SUM(D71:P71)</f>
        <v>0</v>
      </c>
    </row>
    <row r="72" spans="1:17">
      <c r="A72" s="174"/>
      <c r="B72" s="177"/>
      <c r="C72" s="115" t="s">
        <v>89</v>
      </c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1"/>
      <c r="P72" s="31"/>
      <c r="Q72" s="122">
        <f t="shared" ref="Q72:Q89" si="10">SUM(D72:P72)</f>
        <v>0</v>
      </c>
    </row>
    <row r="73" spans="1:17">
      <c r="A73" s="174"/>
      <c r="B73" s="178"/>
      <c r="C73" s="116" t="s">
        <v>88</v>
      </c>
      <c r="D73" s="89"/>
      <c r="E73" s="90"/>
      <c r="F73" s="90"/>
      <c r="G73" s="90"/>
      <c r="H73" s="89"/>
      <c r="I73" s="89"/>
      <c r="J73" s="89"/>
      <c r="K73" s="89"/>
      <c r="L73" s="89"/>
      <c r="M73" s="89"/>
      <c r="N73" s="89"/>
      <c r="O73" s="17"/>
      <c r="P73" s="28"/>
      <c r="Q73" s="122">
        <f t="shared" si="10"/>
        <v>0</v>
      </c>
    </row>
    <row r="74" spans="1:17">
      <c r="A74" s="174"/>
      <c r="B74" s="178"/>
      <c r="C74" s="117" t="s">
        <v>90</v>
      </c>
      <c r="D74" s="91"/>
      <c r="E74" s="89"/>
      <c r="F74" s="89"/>
      <c r="G74" s="91"/>
      <c r="H74" s="91"/>
      <c r="I74" s="91"/>
      <c r="J74" s="91"/>
      <c r="K74" s="91"/>
      <c r="L74" s="91"/>
      <c r="M74" s="91"/>
      <c r="N74" s="91"/>
      <c r="O74" s="80"/>
      <c r="P74" s="32"/>
      <c r="Q74" s="122">
        <f t="shared" si="10"/>
        <v>0</v>
      </c>
    </row>
    <row r="75" spans="1:17">
      <c r="A75" s="174"/>
      <c r="B75" s="178"/>
      <c r="C75" s="117" t="s">
        <v>91</v>
      </c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80"/>
      <c r="P75" s="32"/>
      <c r="Q75" s="122">
        <f t="shared" si="10"/>
        <v>0</v>
      </c>
    </row>
    <row r="76" spans="1:17">
      <c r="A76" s="174"/>
      <c r="B76" s="178"/>
      <c r="C76" s="117" t="s">
        <v>92</v>
      </c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80"/>
      <c r="P76" s="32"/>
      <c r="Q76" s="122">
        <f t="shared" si="10"/>
        <v>0</v>
      </c>
    </row>
    <row r="77" spans="1:17">
      <c r="A77" s="174"/>
      <c r="B77" s="178"/>
      <c r="C77" s="116" t="s">
        <v>93</v>
      </c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80"/>
      <c r="P77" s="32"/>
      <c r="Q77" s="122">
        <f t="shared" si="10"/>
        <v>0</v>
      </c>
    </row>
    <row r="78" spans="1:17">
      <c r="A78" s="174"/>
      <c r="B78" s="178"/>
      <c r="C78" s="118" t="s">
        <v>94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18"/>
      <c r="P78" s="33"/>
      <c r="Q78" s="123">
        <f t="shared" si="10"/>
        <v>0</v>
      </c>
    </row>
    <row r="79" spans="1:17">
      <c r="A79" s="174"/>
      <c r="B79" s="178" t="s">
        <v>11</v>
      </c>
      <c r="C79" s="119" t="s">
        <v>7</v>
      </c>
      <c r="D79" s="93"/>
      <c r="E79" s="93"/>
      <c r="F79" s="93"/>
      <c r="G79" s="93"/>
      <c r="H79" s="93"/>
      <c r="I79" s="93"/>
      <c r="J79" s="93"/>
      <c r="K79" s="93"/>
      <c r="L79" s="94"/>
      <c r="M79" s="94"/>
      <c r="N79" s="94"/>
      <c r="O79" s="79"/>
      <c r="P79" s="27"/>
      <c r="Q79" s="124">
        <f t="shared" si="10"/>
        <v>0</v>
      </c>
    </row>
    <row r="80" spans="1:17">
      <c r="A80" s="174"/>
      <c r="B80" s="178"/>
      <c r="C80" s="117" t="s">
        <v>4</v>
      </c>
      <c r="D80" s="95"/>
      <c r="E80" s="95"/>
      <c r="F80" s="95"/>
      <c r="G80" s="95"/>
      <c r="H80" s="95"/>
      <c r="I80" s="95"/>
      <c r="J80" s="95"/>
      <c r="K80" s="95"/>
      <c r="L80" s="91"/>
      <c r="M80" s="91"/>
      <c r="N80" s="91"/>
      <c r="O80" s="80"/>
      <c r="P80" s="32"/>
      <c r="Q80" s="122">
        <f t="shared" si="10"/>
        <v>0</v>
      </c>
    </row>
    <row r="81" spans="1:17">
      <c r="A81" s="174"/>
      <c r="B81" s="178"/>
      <c r="C81" s="117" t="s">
        <v>17</v>
      </c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80"/>
      <c r="P81" s="32"/>
      <c r="Q81" s="122">
        <f t="shared" si="10"/>
        <v>0</v>
      </c>
    </row>
    <row r="82" spans="1:17">
      <c r="A82" s="174"/>
      <c r="B82" s="178"/>
      <c r="C82" s="117" t="s">
        <v>18</v>
      </c>
      <c r="D82" s="90"/>
      <c r="E82" s="90"/>
      <c r="F82" s="90"/>
      <c r="G82" s="90"/>
      <c r="H82" s="91"/>
      <c r="I82" s="91"/>
      <c r="J82" s="91"/>
      <c r="K82" s="91"/>
      <c r="L82" s="91"/>
      <c r="M82" s="91"/>
      <c r="N82" s="91"/>
      <c r="O82" s="80"/>
      <c r="P82" s="32"/>
      <c r="Q82" s="122">
        <f t="shared" si="10"/>
        <v>0</v>
      </c>
    </row>
    <row r="83" spans="1:17">
      <c r="A83" s="174"/>
      <c r="B83" s="178"/>
      <c r="C83" s="120" t="s">
        <v>19</v>
      </c>
      <c r="D83" s="96"/>
      <c r="E83" s="96"/>
      <c r="F83" s="96"/>
      <c r="G83" s="96"/>
      <c r="H83" s="92"/>
      <c r="I83" s="92"/>
      <c r="J83" s="92"/>
      <c r="K83" s="92"/>
      <c r="L83" s="92"/>
      <c r="M83" s="92"/>
      <c r="N83" s="92"/>
      <c r="O83" s="18"/>
      <c r="P83" s="33"/>
      <c r="Q83" s="123">
        <f t="shared" si="10"/>
        <v>0</v>
      </c>
    </row>
    <row r="84" spans="1:17">
      <c r="A84" s="174"/>
      <c r="B84" s="178" t="s">
        <v>13</v>
      </c>
      <c r="C84" s="119" t="s">
        <v>10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79"/>
      <c r="P84" s="27"/>
      <c r="Q84" s="124">
        <f t="shared" si="10"/>
        <v>0</v>
      </c>
    </row>
    <row r="85" spans="1:17">
      <c r="A85" s="174"/>
      <c r="B85" s="178"/>
      <c r="C85" s="116" t="s">
        <v>55</v>
      </c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17"/>
      <c r="P85" s="28"/>
      <c r="Q85" s="122">
        <f t="shared" si="10"/>
        <v>0</v>
      </c>
    </row>
    <row r="86" spans="1:17">
      <c r="A86" s="174"/>
      <c r="B86" s="178"/>
      <c r="C86" s="116" t="s">
        <v>56</v>
      </c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17"/>
      <c r="P86" s="28"/>
      <c r="Q86" s="122">
        <f t="shared" si="10"/>
        <v>0</v>
      </c>
    </row>
    <row r="87" spans="1:17">
      <c r="A87" s="174"/>
      <c r="B87" s="178"/>
      <c r="C87" s="120" t="s">
        <v>61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18"/>
      <c r="P87" s="33"/>
      <c r="Q87" s="123">
        <f t="shared" si="10"/>
        <v>0</v>
      </c>
    </row>
    <row r="88" spans="1:17">
      <c r="A88" s="174"/>
      <c r="B88" s="179" t="s">
        <v>54</v>
      </c>
      <c r="C88" s="180"/>
      <c r="D88" s="56">
        <f>SUM(D71:D78)-SUM(D82:D83)</f>
        <v>0</v>
      </c>
      <c r="E88" s="56">
        <f t="shared" ref="E88:O88" si="11">SUM(E71:E78)-SUM(E82:E83)</f>
        <v>0</v>
      </c>
      <c r="F88" s="56">
        <f t="shared" si="11"/>
        <v>0</v>
      </c>
      <c r="G88" s="56">
        <f>SUM(G71:G78)-SUM(G82:G83)</f>
        <v>0</v>
      </c>
      <c r="H88" s="56">
        <f t="shared" si="11"/>
        <v>0</v>
      </c>
      <c r="I88" s="56">
        <f t="shared" si="11"/>
        <v>0</v>
      </c>
      <c r="J88" s="56">
        <f t="shared" si="11"/>
        <v>0</v>
      </c>
      <c r="K88" s="56">
        <f t="shared" si="11"/>
        <v>0</v>
      </c>
      <c r="L88" s="56">
        <f t="shared" si="11"/>
        <v>0</v>
      </c>
      <c r="M88" s="56">
        <f t="shared" si="11"/>
        <v>0</v>
      </c>
      <c r="N88" s="56">
        <f t="shared" si="11"/>
        <v>0</v>
      </c>
      <c r="O88" s="57">
        <f t="shared" si="11"/>
        <v>0</v>
      </c>
      <c r="P88" s="60">
        <f>SUM(P71:P78)-SUM(P82:P83)</f>
        <v>0</v>
      </c>
      <c r="Q88" s="125">
        <f>SUM(D88:P88)</f>
        <v>0</v>
      </c>
    </row>
    <row r="89" spans="1:17" ht="14.25" thickBot="1">
      <c r="A89" s="175"/>
      <c r="B89" s="172" t="s">
        <v>5</v>
      </c>
      <c r="C89" s="173"/>
      <c r="D89" s="42">
        <f>SUM(D71:D78)-SUM(D79:D83)+SUM(D84:D87)</f>
        <v>0</v>
      </c>
      <c r="E89" s="42">
        <f>SUM(E71:E78)-SUM(E79:E83)+SUM(E84:E87)</f>
        <v>0</v>
      </c>
      <c r="F89" s="42">
        <f t="shared" ref="F89:O89" si="12">SUM(F71:F78)-SUM(F79:F83)+SUM(F84:F87)</f>
        <v>0</v>
      </c>
      <c r="G89" s="42">
        <f>SUM(G71:G78)-SUM(G79:G83)+SUM(G84:G87)</f>
        <v>0</v>
      </c>
      <c r="H89" s="42">
        <f t="shared" si="12"/>
        <v>0</v>
      </c>
      <c r="I89" s="42">
        <f t="shared" si="12"/>
        <v>0</v>
      </c>
      <c r="J89" s="42">
        <f t="shared" si="12"/>
        <v>0</v>
      </c>
      <c r="K89" s="42">
        <f t="shared" si="12"/>
        <v>0</v>
      </c>
      <c r="L89" s="42">
        <f t="shared" si="12"/>
        <v>0</v>
      </c>
      <c r="M89" s="42">
        <f t="shared" si="12"/>
        <v>0</v>
      </c>
      <c r="N89" s="42">
        <f t="shared" si="12"/>
        <v>0</v>
      </c>
      <c r="O89" s="43">
        <f t="shared" si="12"/>
        <v>0</v>
      </c>
      <c r="P89" s="44">
        <f>SUM(P71:P78)-SUM(P79:P83)+SUM(P84:P87)</f>
        <v>0</v>
      </c>
      <c r="Q89" s="126">
        <f t="shared" si="10"/>
        <v>0</v>
      </c>
    </row>
    <row r="90" spans="1:17">
      <c r="A90" s="140"/>
      <c r="B90" s="158" t="s">
        <v>12</v>
      </c>
      <c r="C90" s="114" t="s">
        <v>87</v>
      </c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78"/>
      <c r="P90" s="30"/>
      <c r="Q90" s="19">
        <f>SUM(D90:P90)</f>
        <v>0</v>
      </c>
    </row>
    <row r="91" spans="1:17">
      <c r="A91" s="141"/>
      <c r="B91" s="154"/>
      <c r="C91" s="115" t="s">
        <v>89</v>
      </c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1"/>
      <c r="P91" s="31"/>
      <c r="Q91" s="20">
        <f t="shared" ref="Q91:Q108" si="13">SUM(D91:P91)</f>
        <v>0</v>
      </c>
    </row>
    <row r="92" spans="1:17">
      <c r="A92" s="141"/>
      <c r="B92" s="143"/>
      <c r="C92" s="116" t="s">
        <v>88</v>
      </c>
      <c r="D92" s="89"/>
      <c r="E92" s="90"/>
      <c r="F92" s="90"/>
      <c r="G92" s="90"/>
      <c r="H92" s="89"/>
      <c r="I92" s="89"/>
      <c r="J92" s="89"/>
      <c r="K92" s="89"/>
      <c r="L92" s="89"/>
      <c r="M92" s="89"/>
      <c r="N92" s="89"/>
      <c r="O92" s="17"/>
      <c r="P92" s="28"/>
      <c r="Q92" s="20">
        <f t="shared" si="13"/>
        <v>0</v>
      </c>
    </row>
    <row r="93" spans="1:17">
      <c r="A93" s="141"/>
      <c r="B93" s="143"/>
      <c r="C93" s="117" t="s">
        <v>90</v>
      </c>
      <c r="D93" s="91"/>
      <c r="E93" s="89"/>
      <c r="F93" s="89"/>
      <c r="G93" s="91"/>
      <c r="H93" s="91"/>
      <c r="I93" s="91"/>
      <c r="J93" s="91"/>
      <c r="K93" s="91"/>
      <c r="L93" s="91"/>
      <c r="M93" s="91"/>
      <c r="N93" s="91"/>
      <c r="O93" s="80"/>
      <c r="P93" s="32"/>
      <c r="Q93" s="20">
        <f t="shared" si="13"/>
        <v>0</v>
      </c>
    </row>
    <row r="94" spans="1:17">
      <c r="A94" s="141"/>
      <c r="B94" s="143"/>
      <c r="C94" s="117" t="s">
        <v>91</v>
      </c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80"/>
      <c r="P94" s="32"/>
      <c r="Q94" s="20">
        <f t="shared" si="13"/>
        <v>0</v>
      </c>
    </row>
    <row r="95" spans="1:17">
      <c r="A95" s="141"/>
      <c r="B95" s="143"/>
      <c r="C95" s="117" t="s">
        <v>92</v>
      </c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80"/>
      <c r="P95" s="32"/>
      <c r="Q95" s="20">
        <f t="shared" si="13"/>
        <v>0</v>
      </c>
    </row>
    <row r="96" spans="1:17">
      <c r="A96" s="141"/>
      <c r="B96" s="143"/>
      <c r="C96" s="116" t="s">
        <v>93</v>
      </c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80"/>
      <c r="P96" s="32"/>
      <c r="Q96" s="20">
        <f t="shared" si="13"/>
        <v>0</v>
      </c>
    </row>
    <row r="97" spans="1:17">
      <c r="A97" s="141"/>
      <c r="B97" s="143"/>
      <c r="C97" s="118" t="s">
        <v>94</v>
      </c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18"/>
      <c r="P97" s="33"/>
      <c r="Q97" s="22">
        <f t="shared" si="13"/>
        <v>0</v>
      </c>
    </row>
    <row r="98" spans="1:17">
      <c r="A98" s="141"/>
      <c r="B98" s="143" t="s">
        <v>11</v>
      </c>
      <c r="C98" s="119" t="s">
        <v>7</v>
      </c>
      <c r="D98" s="93"/>
      <c r="E98" s="93"/>
      <c r="F98" s="93"/>
      <c r="G98" s="93"/>
      <c r="H98" s="93"/>
      <c r="I98" s="93"/>
      <c r="J98" s="93"/>
      <c r="K98" s="93"/>
      <c r="L98" s="94"/>
      <c r="M98" s="94"/>
      <c r="N98" s="94"/>
      <c r="O98" s="79"/>
      <c r="P98" s="27"/>
      <c r="Q98" s="21">
        <f t="shared" si="13"/>
        <v>0</v>
      </c>
    </row>
    <row r="99" spans="1:17">
      <c r="A99" s="141"/>
      <c r="B99" s="143"/>
      <c r="C99" s="117" t="s">
        <v>4</v>
      </c>
      <c r="D99" s="95"/>
      <c r="E99" s="95"/>
      <c r="F99" s="95"/>
      <c r="G99" s="95"/>
      <c r="H99" s="95"/>
      <c r="I99" s="95"/>
      <c r="J99" s="95"/>
      <c r="K99" s="95"/>
      <c r="L99" s="91"/>
      <c r="M99" s="91"/>
      <c r="N99" s="91"/>
      <c r="O99" s="80"/>
      <c r="P99" s="32"/>
      <c r="Q99" s="20">
        <f t="shared" si="13"/>
        <v>0</v>
      </c>
    </row>
    <row r="100" spans="1:17">
      <c r="A100" s="141"/>
      <c r="B100" s="143"/>
      <c r="C100" s="117" t="s">
        <v>17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80"/>
      <c r="P100" s="32"/>
      <c r="Q100" s="20">
        <f t="shared" si="13"/>
        <v>0</v>
      </c>
    </row>
    <row r="101" spans="1:17">
      <c r="A101" s="141"/>
      <c r="B101" s="143"/>
      <c r="C101" s="117" t="s">
        <v>18</v>
      </c>
      <c r="D101" s="90"/>
      <c r="E101" s="90"/>
      <c r="F101" s="90"/>
      <c r="G101" s="90"/>
      <c r="H101" s="91"/>
      <c r="I101" s="91"/>
      <c r="J101" s="91"/>
      <c r="K101" s="91"/>
      <c r="L101" s="91"/>
      <c r="M101" s="91"/>
      <c r="N101" s="91"/>
      <c r="O101" s="80"/>
      <c r="P101" s="32"/>
      <c r="Q101" s="20">
        <f t="shared" si="13"/>
        <v>0</v>
      </c>
    </row>
    <row r="102" spans="1:17">
      <c r="A102" s="141"/>
      <c r="B102" s="143"/>
      <c r="C102" s="120" t="s">
        <v>19</v>
      </c>
      <c r="D102" s="96"/>
      <c r="E102" s="96"/>
      <c r="F102" s="96"/>
      <c r="G102" s="96"/>
      <c r="H102" s="92"/>
      <c r="I102" s="92"/>
      <c r="J102" s="92"/>
      <c r="K102" s="92"/>
      <c r="L102" s="92"/>
      <c r="M102" s="92"/>
      <c r="N102" s="92"/>
      <c r="O102" s="18"/>
      <c r="P102" s="33"/>
      <c r="Q102" s="22">
        <f t="shared" si="13"/>
        <v>0</v>
      </c>
    </row>
    <row r="103" spans="1:17">
      <c r="A103" s="141"/>
      <c r="B103" s="143" t="s">
        <v>13</v>
      </c>
      <c r="C103" s="119" t="s">
        <v>10</v>
      </c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79"/>
      <c r="P103" s="27"/>
      <c r="Q103" s="21">
        <f t="shared" si="13"/>
        <v>0</v>
      </c>
    </row>
    <row r="104" spans="1:17">
      <c r="A104" s="141"/>
      <c r="B104" s="143"/>
      <c r="C104" s="116" t="s">
        <v>55</v>
      </c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17"/>
      <c r="P104" s="28"/>
      <c r="Q104" s="20">
        <f t="shared" si="13"/>
        <v>0</v>
      </c>
    </row>
    <row r="105" spans="1:17">
      <c r="A105" s="141"/>
      <c r="B105" s="143"/>
      <c r="C105" s="116" t="s">
        <v>56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17"/>
      <c r="P105" s="28"/>
      <c r="Q105" s="20">
        <f t="shared" si="13"/>
        <v>0</v>
      </c>
    </row>
    <row r="106" spans="1:17">
      <c r="A106" s="141"/>
      <c r="B106" s="143"/>
      <c r="C106" s="120" t="s">
        <v>61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18"/>
      <c r="P106" s="33"/>
      <c r="Q106" s="22">
        <f t="shared" si="13"/>
        <v>0</v>
      </c>
    </row>
    <row r="107" spans="1:17">
      <c r="A107" s="141"/>
      <c r="B107" s="156" t="s">
        <v>54</v>
      </c>
      <c r="C107" s="157"/>
      <c r="D107" s="56">
        <f>SUM(D90:D97)-SUM(D101:D102)</f>
        <v>0</v>
      </c>
      <c r="E107" s="56">
        <f t="shared" ref="E107:O107" si="14">SUM(E90:E97)-SUM(E101:E102)</f>
        <v>0</v>
      </c>
      <c r="F107" s="56">
        <f t="shared" si="14"/>
        <v>0</v>
      </c>
      <c r="G107" s="56">
        <f>SUM(G90:G97)-SUM(G101:G102)</f>
        <v>0</v>
      </c>
      <c r="H107" s="56">
        <f t="shared" si="14"/>
        <v>0</v>
      </c>
      <c r="I107" s="56">
        <f t="shared" si="14"/>
        <v>0</v>
      </c>
      <c r="J107" s="56">
        <f t="shared" si="14"/>
        <v>0</v>
      </c>
      <c r="K107" s="56">
        <f t="shared" si="14"/>
        <v>0</v>
      </c>
      <c r="L107" s="56">
        <f t="shared" si="14"/>
        <v>0</v>
      </c>
      <c r="M107" s="56">
        <f t="shared" si="14"/>
        <v>0</v>
      </c>
      <c r="N107" s="56">
        <f t="shared" si="14"/>
        <v>0</v>
      </c>
      <c r="O107" s="57">
        <f t="shared" si="14"/>
        <v>0</v>
      </c>
      <c r="P107" s="60">
        <f>SUM(P90:P97)-SUM(P101:P102)</f>
        <v>0</v>
      </c>
      <c r="Q107" s="59">
        <f>SUM(D107:P107)</f>
        <v>0</v>
      </c>
    </row>
    <row r="108" spans="1:17" ht="14.25" thickBot="1">
      <c r="A108" s="142"/>
      <c r="B108" s="147" t="s">
        <v>5</v>
      </c>
      <c r="C108" s="148"/>
      <c r="D108" s="42">
        <f>SUM(D90:D97)-SUM(D98:D102)+SUM(D103:D106)</f>
        <v>0</v>
      </c>
      <c r="E108" s="42">
        <f>SUM(E90:E97)-SUM(E98:E102)+SUM(E103:E106)</f>
        <v>0</v>
      </c>
      <c r="F108" s="42">
        <f t="shared" ref="F108:O108" si="15">SUM(F90:F97)-SUM(F98:F102)+SUM(F103:F106)</f>
        <v>0</v>
      </c>
      <c r="G108" s="42">
        <f>SUM(G90:G97)-SUM(G98:G102)+SUM(G103:G106)</f>
        <v>0</v>
      </c>
      <c r="H108" s="42">
        <f t="shared" si="15"/>
        <v>0</v>
      </c>
      <c r="I108" s="42">
        <f t="shared" si="15"/>
        <v>0</v>
      </c>
      <c r="J108" s="42">
        <f t="shared" si="15"/>
        <v>0</v>
      </c>
      <c r="K108" s="42">
        <f t="shared" si="15"/>
        <v>0</v>
      </c>
      <c r="L108" s="42">
        <f t="shared" si="15"/>
        <v>0</v>
      </c>
      <c r="M108" s="42">
        <f t="shared" si="15"/>
        <v>0</v>
      </c>
      <c r="N108" s="42">
        <f t="shared" si="15"/>
        <v>0</v>
      </c>
      <c r="O108" s="43">
        <f t="shared" si="15"/>
        <v>0</v>
      </c>
      <c r="P108" s="44">
        <f>SUM(P90:P97)-SUM(P98:P102)+SUM(P103:P106)</f>
        <v>0</v>
      </c>
      <c r="Q108" s="46">
        <f t="shared" si="13"/>
        <v>0</v>
      </c>
    </row>
    <row r="109" spans="1:17">
      <c r="A109" s="140"/>
      <c r="B109" s="158" t="s">
        <v>12</v>
      </c>
      <c r="C109" s="114" t="s">
        <v>87</v>
      </c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78"/>
      <c r="P109" s="30"/>
      <c r="Q109" s="19">
        <f>SUM(D109:P109)</f>
        <v>0</v>
      </c>
    </row>
    <row r="110" spans="1:17">
      <c r="A110" s="141"/>
      <c r="B110" s="154"/>
      <c r="C110" s="115" t="s">
        <v>89</v>
      </c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1"/>
      <c r="P110" s="31"/>
      <c r="Q110" s="20">
        <f t="shared" ref="Q110:Q127" si="16">SUM(D110:P110)</f>
        <v>0</v>
      </c>
    </row>
    <row r="111" spans="1:17">
      <c r="A111" s="141"/>
      <c r="B111" s="143"/>
      <c r="C111" s="116" t="s">
        <v>88</v>
      </c>
      <c r="D111" s="89"/>
      <c r="E111" s="90"/>
      <c r="F111" s="90"/>
      <c r="G111" s="90"/>
      <c r="H111" s="89"/>
      <c r="I111" s="89"/>
      <c r="J111" s="89"/>
      <c r="K111" s="89"/>
      <c r="L111" s="89"/>
      <c r="M111" s="89"/>
      <c r="N111" s="89"/>
      <c r="O111" s="17"/>
      <c r="P111" s="28"/>
      <c r="Q111" s="20">
        <f t="shared" si="16"/>
        <v>0</v>
      </c>
    </row>
    <row r="112" spans="1:17">
      <c r="A112" s="141"/>
      <c r="B112" s="143"/>
      <c r="C112" s="117" t="s">
        <v>90</v>
      </c>
      <c r="D112" s="91"/>
      <c r="E112" s="89"/>
      <c r="F112" s="89"/>
      <c r="G112" s="91"/>
      <c r="H112" s="91"/>
      <c r="I112" s="91"/>
      <c r="J112" s="91"/>
      <c r="K112" s="91"/>
      <c r="L112" s="91"/>
      <c r="M112" s="91"/>
      <c r="N112" s="91"/>
      <c r="O112" s="80"/>
      <c r="P112" s="32"/>
      <c r="Q112" s="20">
        <f t="shared" si="16"/>
        <v>0</v>
      </c>
    </row>
    <row r="113" spans="1:17">
      <c r="A113" s="141"/>
      <c r="B113" s="143"/>
      <c r="C113" s="117" t="s">
        <v>91</v>
      </c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80"/>
      <c r="P113" s="32"/>
      <c r="Q113" s="20">
        <f t="shared" si="16"/>
        <v>0</v>
      </c>
    </row>
    <row r="114" spans="1:17">
      <c r="A114" s="141"/>
      <c r="B114" s="143"/>
      <c r="C114" s="117" t="s">
        <v>92</v>
      </c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80"/>
      <c r="P114" s="32"/>
      <c r="Q114" s="20">
        <f t="shared" si="16"/>
        <v>0</v>
      </c>
    </row>
    <row r="115" spans="1:17">
      <c r="A115" s="141"/>
      <c r="B115" s="143"/>
      <c r="C115" s="116" t="s">
        <v>93</v>
      </c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80"/>
      <c r="P115" s="32"/>
      <c r="Q115" s="20">
        <f t="shared" si="16"/>
        <v>0</v>
      </c>
    </row>
    <row r="116" spans="1:17">
      <c r="A116" s="141"/>
      <c r="B116" s="143"/>
      <c r="C116" s="118" t="s">
        <v>94</v>
      </c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18"/>
      <c r="P116" s="33"/>
      <c r="Q116" s="22">
        <f t="shared" si="16"/>
        <v>0</v>
      </c>
    </row>
    <row r="117" spans="1:17">
      <c r="A117" s="141"/>
      <c r="B117" s="143" t="s">
        <v>11</v>
      </c>
      <c r="C117" s="119" t="s">
        <v>7</v>
      </c>
      <c r="D117" s="93"/>
      <c r="E117" s="93"/>
      <c r="F117" s="93"/>
      <c r="G117" s="93"/>
      <c r="H117" s="93"/>
      <c r="I117" s="93"/>
      <c r="J117" s="93"/>
      <c r="K117" s="93"/>
      <c r="L117" s="94"/>
      <c r="M117" s="94"/>
      <c r="N117" s="94"/>
      <c r="O117" s="79"/>
      <c r="P117" s="27"/>
      <c r="Q117" s="21">
        <f t="shared" si="16"/>
        <v>0</v>
      </c>
    </row>
    <row r="118" spans="1:17">
      <c r="A118" s="141"/>
      <c r="B118" s="143"/>
      <c r="C118" s="117" t="s">
        <v>4</v>
      </c>
      <c r="D118" s="95"/>
      <c r="E118" s="95"/>
      <c r="F118" s="95"/>
      <c r="G118" s="95"/>
      <c r="H118" s="95"/>
      <c r="I118" s="95"/>
      <c r="J118" s="95"/>
      <c r="K118" s="95"/>
      <c r="L118" s="91"/>
      <c r="M118" s="91"/>
      <c r="N118" s="91"/>
      <c r="O118" s="80"/>
      <c r="P118" s="32"/>
      <c r="Q118" s="20">
        <f t="shared" si="16"/>
        <v>0</v>
      </c>
    </row>
    <row r="119" spans="1:17">
      <c r="A119" s="141"/>
      <c r="B119" s="143"/>
      <c r="C119" s="117" t="s">
        <v>17</v>
      </c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80"/>
      <c r="P119" s="32"/>
      <c r="Q119" s="20">
        <f t="shared" si="16"/>
        <v>0</v>
      </c>
    </row>
    <row r="120" spans="1:17">
      <c r="A120" s="141"/>
      <c r="B120" s="143"/>
      <c r="C120" s="117" t="s">
        <v>18</v>
      </c>
      <c r="D120" s="90"/>
      <c r="E120" s="90"/>
      <c r="F120" s="90"/>
      <c r="G120" s="90"/>
      <c r="H120" s="91"/>
      <c r="I120" s="91"/>
      <c r="J120" s="91"/>
      <c r="K120" s="91"/>
      <c r="L120" s="91"/>
      <c r="M120" s="91"/>
      <c r="N120" s="91"/>
      <c r="O120" s="80"/>
      <c r="P120" s="32"/>
      <c r="Q120" s="20">
        <f t="shared" si="16"/>
        <v>0</v>
      </c>
    </row>
    <row r="121" spans="1:17">
      <c r="A121" s="141"/>
      <c r="B121" s="143"/>
      <c r="C121" s="120" t="s">
        <v>19</v>
      </c>
      <c r="D121" s="96"/>
      <c r="E121" s="96"/>
      <c r="F121" s="96"/>
      <c r="G121" s="96"/>
      <c r="H121" s="92"/>
      <c r="I121" s="92"/>
      <c r="J121" s="92"/>
      <c r="K121" s="92"/>
      <c r="L121" s="92"/>
      <c r="M121" s="92"/>
      <c r="N121" s="92"/>
      <c r="O121" s="18"/>
      <c r="P121" s="33"/>
      <c r="Q121" s="22">
        <f t="shared" si="16"/>
        <v>0</v>
      </c>
    </row>
    <row r="122" spans="1:17">
      <c r="A122" s="141"/>
      <c r="B122" s="143" t="s">
        <v>13</v>
      </c>
      <c r="C122" s="119" t="s">
        <v>10</v>
      </c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79"/>
      <c r="P122" s="27"/>
      <c r="Q122" s="21">
        <f t="shared" si="16"/>
        <v>0</v>
      </c>
    </row>
    <row r="123" spans="1:17">
      <c r="A123" s="141"/>
      <c r="B123" s="143"/>
      <c r="C123" s="116" t="s">
        <v>55</v>
      </c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17"/>
      <c r="P123" s="28"/>
      <c r="Q123" s="20">
        <f t="shared" si="16"/>
        <v>0</v>
      </c>
    </row>
    <row r="124" spans="1:17">
      <c r="A124" s="141"/>
      <c r="B124" s="143"/>
      <c r="C124" s="116" t="s">
        <v>56</v>
      </c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17"/>
      <c r="P124" s="28"/>
      <c r="Q124" s="20">
        <f t="shared" si="16"/>
        <v>0</v>
      </c>
    </row>
    <row r="125" spans="1:17">
      <c r="A125" s="141"/>
      <c r="B125" s="143"/>
      <c r="C125" s="120" t="s">
        <v>61</v>
      </c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18"/>
      <c r="P125" s="33"/>
      <c r="Q125" s="22">
        <f t="shared" si="16"/>
        <v>0</v>
      </c>
    </row>
    <row r="126" spans="1:17">
      <c r="A126" s="141"/>
      <c r="B126" s="156" t="s">
        <v>54</v>
      </c>
      <c r="C126" s="157"/>
      <c r="D126" s="56">
        <f>SUM(D109:D116)-SUM(D120:D121)</f>
        <v>0</v>
      </c>
      <c r="E126" s="56">
        <f t="shared" ref="E126:O126" si="17">SUM(E109:E116)-SUM(E120:E121)</f>
        <v>0</v>
      </c>
      <c r="F126" s="56">
        <f t="shared" si="17"/>
        <v>0</v>
      </c>
      <c r="G126" s="56">
        <f>SUM(G109:G116)-SUM(G120:G121)</f>
        <v>0</v>
      </c>
      <c r="H126" s="56">
        <f t="shared" si="17"/>
        <v>0</v>
      </c>
      <c r="I126" s="56">
        <f t="shared" si="17"/>
        <v>0</v>
      </c>
      <c r="J126" s="56">
        <f t="shared" si="17"/>
        <v>0</v>
      </c>
      <c r="K126" s="56">
        <f t="shared" si="17"/>
        <v>0</v>
      </c>
      <c r="L126" s="56">
        <f t="shared" si="17"/>
        <v>0</v>
      </c>
      <c r="M126" s="56">
        <f t="shared" si="17"/>
        <v>0</v>
      </c>
      <c r="N126" s="56">
        <f t="shared" si="17"/>
        <v>0</v>
      </c>
      <c r="O126" s="57">
        <f t="shared" si="17"/>
        <v>0</v>
      </c>
      <c r="P126" s="60">
        <f>SUM(P109:P116)-SUM(P120:P121)</f>
        <v>0</v>
      </c>
      <c r="Q126" s="59">
        <f>SUM(D126:P126)</f>
        <v>0</v>
      </c>
    </row>
    <row r="127" spans="1:17" ht="14.25" thickBot="1">
      <c r="A127" s="142"/>
      <c r="B127" s="147" t="s">
        <v>5</v>
      </c>
      <c r="C127" s="148"/>
      <c r="D127" s="42">
        <f>SUM(D109:D116)-SUM(D117:D121)+SUM(D122:D125)</f>
        <v>0</v>
      </c>
      <c r="E127" s="42">
        <f>SUM(E109:E116)-SUM(E117:E121)+SUM(E122:E125)</f>
        <v>0</v>
      </c>
      <c r="F127" s="42">
        <f t="shared" ref="F127:O127" si="18">SUM(F109:F116)-SUM(F117:F121)+SUM(F122:F125)</f>
        <v>0</v>
      </c>
      <c r="G127" s="42">
        <f>SUM(G109:G116)-SUM(G117:G121)+SUM(G122:G125)</f>
        <v>0</v>
      </c>
      <c r="H127" s="42">
        <f t="shared" si="18"/>
        <v>0</v>
      </c>
      <c r="I127" s="42">
        <f t="shared" si="18"/>
        <v>0</v>
      </c>
      <c r="J127" s="42">
        <f t="shared" si="18"/>
        <v>0</v>
      </c>
      <c r="K127" s="42">
        <f t="shared" si="18"/>
        <v>0</v>
      </c>
      <c r="L127" s="42">
        <f t="shared" si="18"/>
        <v>0</v>
      </c>
      <c r="M127" s="42">
        <f t="shared" si="18"/>
        <v>0</v>
      </c>
      <c r="N127" s="42">
        <f t="shared" si="18"/>
        <v>0</v>
      </c>
      <c r="O127" s="43">
        <f t="shared" si="18"/>
        <v>0</v>
      </c>
      <c r="P127" s="44">
        <f>SUM(P109:P116)-SUM(P117:P121)+SUM(P122:P125)</f>
        <v>0</v>
      </c>
      <c r="Q127" s="46">
        <f t="shared" si="16"/>
        <v>0</v>
      </c>
    </row>
    <row r="128" spans="1:17">
      <c r="A128" s="140"/>
      <c r="B128" s="158" t="s">
        <v>12</v>
      </c>
      <c r="C128" s="114" t="s">
        <v>87</v>
      </c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78"/>
      <c r="P128" s="30"/>
      <c r="Q128" s="19">
        <f>SUM(D128:P128)</f>
        <v>0</v>
      </c>
    </row>
    <row r="129" spans="1:17">
      <c r="A129" s="141"/>
      <c r="B129" s="154"/>
      <c r="C129" s="115" t="s">
        <v>89</v>
      </c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1"/>
      <c r="P129" s="31"/>
      <c r="Q129" s="20">
        <f t="shared" ref="Q129:Q146" si="19">SUM(D129:P129)</f>
        <v>0</v>
      </c>
    </row>
    <row r="130" spans="1:17">
      <c r="A130" s="141"/>
      <c r="B130" s="143"/>
      <c r="C130" s="116" t="s">
        <v>88</v>
      </c>
      <c r="D130" s="89"/>
      <c r="E130" s="90"/>
      <c r="F130" s="90"/>
      <c r="G130" s="90"/>
      <c r="H130" s="89"/>
      <c r="I130" s="89"/>
      <c r="J130" s="89"/>
      <c r="K130" s="89"/>
      <c r="L130" s="89"/>
      <c r="M130" s="89"/>
      <c r="N130" s="89"/>
      <c r="O130" s="17"/>
      <c r="P130" s="28"/>
      <c r="Q130" s="20">
        <f t="shared" si="19"/>
        <v>0</v>
      </c>
    </row>
    <row r="131" spans="1:17">
      <c r="A131" s="141"/>
      <c r="B131" s="143"/>
      <c r="C131" s="117" t="s">
        <v>90</v>
      </c>
      <c r="D131" s="91"/>
      <c r="E131" s="89"/>
      <c r="F131" s="89"/>
      <c r="G131" s="91"/>
      <c r="H131" s="91"/>
      <c r="I131" s="91"/>
      <c r="J131" s="91"/>
      <c r="K131" s="91"/>
      <c r="L131" s="91"/>
      <c r="M131" s="91"/>
      <c r="N131" s="91"/>
      <c r="O131" s="80"/>
      <c r="P131" s="32"/>
      <c r="Q131" s="20">
        <f t="shared" si="19"/>
        <v>0</v>
      </c>
    </row>
    <row r="132" spans="1:17">
      <c r="A132" s="141"/>
      <c r="B132" s="143"/>
      <c r="C132" s="117" t="s">
        <v>91</v>
      </c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80"/>
      <c r="P132" s="32"/>
      <c r="Q132" s="20">
        <f t="shared" si="19"/>
        <v>0</v>
      </c>
    </row>
    <row r="133" spans="1:17">
      <c r="A133" s="141"/>
      <c r="B133" s="143"/>
      <c r="C133" s="117" t="s">
        <v>92</v>
      </c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80"/>
      <c r="P133" s="32"/>
      <c r="Q133" s="20">
        <f t="shared" si="19"/>
        <v>0</v>
      </c>
    </row>
    <row r="134" spans="1:17">
      <c r="A134" s="141"/>
      <c r="B134" s="143"/>
      <c r="C134" s="116" t="s">
        <v>93</v>
      </c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80"/>
      <c r="P134" s="32"/>
      <c r="Q134" s="20">
        <f t="shared" si="19"/>
        <v>0</v>
      </c>
    </row>
    <row r="135" spans="1:17">
      <c r="A135" s="141"/>
      <c r="B135" s="143"/>
      <c r="C135" s="118" t="s">
        <v>94</v>
      </c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18"/>
      <c r="P135" s="33"/>
      <c r="Q135" s="22">
        <f t="shared" si="19"/>
        <v>0</v>
      </c>
    </row>
    <row r="136" spans="1:17">
      <c r="A136" s="141"/>
      <c r="B136" s="143" t="s">
        <v>11</v>
      </c>
      <c r="C136" s="119" t="s">
        <v>7</v>
      </c>
      <c r="D136" s="93"/>
      <c r="E136" s="93"/>
      <c r="F136" s="93"/>
      <c r="G136" s="93"/>
      <c r="H136" s="93"/>
      <c r="I136" s="93"/>
      <c r="J136" s="93"/>
      <c r="K136" s="93"/>
      <c r="L136" s="94"/>
      <c r="M136" s="94"/>
      <c r="N136" s="94"/>
      <c r="O136" s="79"/>
      <c r="P136" s="27"/>
      <c r="Q136" s="21">
        <f t="shared" si="19"/>
        <v>0</v>
      </c>
    </row>
    <row r="137" spans="1:17">
      <c r="A137" s="141"/>
      <c r="B137" s="143"/>
      <c r="C137" s="117" t="s">
        <v>4</v>
      </c>
      <c r="D137" s="95"/>
      <c r="E137" s="95"/>
      <c r="F137" s="95"/>
      <c r="G137" s="95"/>
      <c r="H137" s="95"/>
      <c r="I137" s="95"/>
      <c r="J137" s="95"/>
      <c r="K137" s="95"/>
      <c r="L137" s="91"/>
      <c r="M137" s="91"/>
      <c r="N137" s="91"/>
      <c r="O137" s="80"/>
      <c r="P137" s="32"/>
      <c r="Q137" s="20">
        <f t="shared" si="19"/>
        <v>0</v>
      </c>
    </row>
    <row r="138" spans="1:17">
      <c r="A138" s="141"/>
      <c r="B138" s="143"/>
      <c r="C138" s="117" t="s">
        <v>17</v>
      </c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80"/>
      <c r="P138" s="32"/>
      <c r="Q138" s="20">
        <f t="shared" si="19"/>
        <v>0</v>
      </c>
    </row>
    <row r="139" spans="1:17">
      <c r="A139" s="141"/>
      <c r="B139" s="143"/>
      <c r="C139" s="117" t="s">
        <v>18</v>
      </c>
      <c r="D139" s="90"/>
      <c r="E139" s="90"/>
      <c r="F139" s="90"/>
      <c r="G139" s="90"/>
      <c r="H139" s="91"/>
      <c r="I139" s="91"/>
      <c r="J139" s="91"/>
      <c r="K139" s="91"/>
      <c r="L139" s="91"/>
      <c r="M139" s="91"/>
      <c r="N139" s="91"/>
      <c r="O139" s="80"/>
      <c r="P139" s="32"/>
      <c r="Q139" s="20">
        <f t="shared" si="19"/>
        <v>0</v>
      </c>
    </row>
    <row r="140" spans="1:17">
      <c r="A140" s="141"/>
      <c r="B140" s="143"/>
      <c r="C140" s="120" t="s">
        <v>19</v>
      </c>
      <c r="D140" s="96"/>
      <c r="E140" s="96"/>
      <c r="F140" s="96"/>
      <c r="G140" s="96"/>
      <c r="H140" s="92"/>
      <c r="I140" s="92"/>
      <c r="J140" s="92"/>
      <c r="K140" s="92"/>
      <c r="L140" s="92"/>
      <c r="M140" s="92"/>
      <c r="N140" s="92"/>
      <c r="O140" s="18"/>
      <c r="P140" s="33"/>
      <c r="Q140" s="22">
        <f t="shared" si="19"/>
        <v>0</v>
      </c>
    </row>
    <row r="141" spans="1:17">
      <c r="A141" s="141"/>
      <c r="B141" s="143" t="s">
        <v>13</v>
      </c>
      <c r="C141" s="119" t="s">
        <v>10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79"/>
      <c r="P141" s="27"/>
      <c r="Q141" s="21">
        <f t="shared" si="19"/>
        <v>0</v>
      </c>
    </row>
    <row r="142" spans="1:17">
      <c r="A142" s="141"/>
      <c r="B142" s="143"/>
      <c r="C142" s="116" t="s">
        <v>55</v>
      </c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17"/>
      <c r="P142" s="28"/>
      <c r="Q142" s="20">
        <f t="shared" si="19"/>
        <v>0</v>
      </c>
    </row>
    <row r="143" spans="1:17">
      <c r="A143" s="141"/>
      <c r="B143" s="143"/>
      <c r="C143" s="116" t="s">
        <v>56</v>
      </c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17"/>
      <c r="P143" s="28"/>
      <c r="Q143" s="20">
        <f t="shared" si="19"/>
        <v>0</v>
      </c>
    </row>
    <row r="144" spans="1:17">
      <c r="A144" s="141"/>
      <c r="B144" s="143"/>
      <c r="C144" s="120" t="s">
        <v>61</v>
      </c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18"/>
      <c r="P144" s="33"/>
      <c r="Q144" s="22">
        <f t="shared" si="19"/>
        <v>0</v>
      </c>
    </row>
    <row r="145" spans="1:17">
      <c r="A145" s="141"/>
      <c r="B145" s="156" t="s">
        <v>54</v>
      </c>
      <c r="C145" s="157"/>
      <c r="D145" s="56">
        <f>SUM(D128:D135)-SUM(D139:D140)</f>
        <v>0</v>
      </c>
      <c r="E145" s="56">
        <f t="shared" ref="E145:O145" si="20">SUM(E128:E135)-SUM(E139:E140)</f>
        <v>0</v>
      </c>
      <c r="F145" s="56">
        <f t="shared" si="20"/>
        <v>0</v>
      </c>
      <c r="G145" s="56">
        <f>SUM(G128:G135)-SUM(G139:G140)</f>
        <v>0</v>
      </c>
      <c r="H145" s="56">
        <f t="shared" si="20"/>
        <v>0</v>
      </c>
      <c r="I145" s="56">
        <f t="shared" si="20"/>
        <v>0</v>
      </c>
      <c r="J145" s="56">
        <f t="shared" si="20"/>
        <v>0</v>
      </c>
      <c r="K145" s="56">
        <f t="shared" si="20"/>
        <v>0</v>
      </c>
      <c r="L145" s="56">
        <f t="shared" si="20"/>
        <v>0</v>
      </c>
      <c r="M145" s="56">
        <f t="shared" si="20"/>
        <v>0</v>
      </c>
      <c r="N145" s="56">
        <f t="shared" si="20"/>
        <v>0</v>
      </c>
      <c r="O145" s="57">
        <f t="shared" si="20"/>
        <v>0</v>
      </c>
      <c r="P145" s="60">
        <f>SUM(P128:P135)-SUM(P139:P140)</f>
        <v>0</v>
      </c>
      <c r="Q145" s="59">
        <f>SUM(D145:P145)</f>
        <v>0</v>
      </c>
    </row>
    <row r="146" spans="1:17" ht="14.25" thickBot="1">
      <c r="A146" s="142"/>
      <c r="B146" s="147" t="s">
        <v>5</v>
      </c>
      <c r="C146" s="148"/>
      <c r="D146" s="42">
        <f>SUM(D128:D135)-SUM(D136:D140)+SUM(D141:D144)</f>
        <v>0</v>
      </c>
      <c r="E146" s="42">
        <f>SUM(E128:E135)-SUM(E136:E140)+SUM(E141:E144)</f>
        <v>0</v>
      </c>
      <c r="F146" s="42">
        <f t="shared" ref="F146:O146" si="21">SUM(F128:F135)-SUM(F136:F140)+SUM(F141:F144)</f>
        <v>0</v>
      </c>
      <c r="G146" s="42">
        <f>SUM(G128:G135)-SUM(G136:G140)+SUM(G141:G144)</f>
        <v>0</v>
      </c>
      <c r="H146" s="42">
        <f t="shared" si="21"/>
        <v>0</v>
      </c>
      <c r="I146" s="42">
        <f t="shared" si="21"/>
        <v>0</v>
      </c>
      <c r="J146" s="42">
        <f t="shared" si="21"/>
        <v>0</v>
      </c>
      <c r="K146" s="42">
        <f t="shared" si="21"/>
        <v>0</v>
      </c>
      <c r="L146" s="42">
        <f t="shared" si="21"/>
        <v>0</v>
      </c>
      <c r="M146" s="42">
        <f t="shared" si="21"/>
        <v>0</v>
      </c>
      <c r="N146" s="42">
        <f t="shared" si="21"/>
        <v>0</v>
      </c>
      <c r="O146" s="43">
        <f t="shared" si="21"/>
        <v>0</v>
      </c>
      <c r="P146" s="44">
        <f>SUM(P128:P135)-SUM(P136:P140)+SUM(P141:P144)</f>
        <v>0</v>
      </c>
      <c r="Q146" s="46">
        <f t="shared" si="19"/>
        <v>0</v>
      </c>
    </row>
    <row r="147" spans="1:17">
      <c r="A147" s="140"/>
      <c r="B147" s="158" t="s">
        <v>12</v>
      </c>
      <c r="C147" s="114" t="s">
        <v>87</v>
      </c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78"/>
      <c r="P147" s="30"/>
      <c r="Q147" s="19">
        <f>SUM(D147:P147)</f>
        <v>0</v>
      </c>
    </row>
    <row r="148" spans="1:17">
      <c r="A148" s="141"/>
      <c r="B148" s="154"/>
      <c r="C148" s="115" t="s">
        <v>89</v>
      </c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1"/>
      <c r="P148" s="31"/>
      <c r="Q148" s="20">
        <f t="shared" ref="Q148:Q165" si="22">SUM(D148:P148)</f>
        <v>0</v>
      </c>
    </row>
    <row r="149" spans="1:17">
      <c r="A149" s="141"/>
      <c r="B149" s="143"/>
      <c r="C149" s="116" t="s">
        <v>88</v>
      </c>
      <c r="D149" s="89"/>
      <c r="E149" s="90"/>
      <c r="F149" s="90"/>
      <c r="G149" s="90"/>
      <c r="H149" s="89"/>
      <c r="I149" s="89"/>
      <c r="J149" s="89"/>
      <c r="K149" s="89"/>
      <c r="L149" s="89"/>
      <c r="M149" s="89"/>
      <c r="N149" s="89"/>
      <c r="O149" s="17"/>
      <c r="P149" s="28"/>
      <c r="Q149" s="20">
        <f t="shared" si="22"/>
        <v>0</v>
      </c>
    </row>
    <row r="150" spans="1:17">
      <c r="A150" s="141"/>
      <c r="B150" s="143"/>
      <c r="C150" s="117" t="s">
        <v>90</v>
      </c>
      <c r="D150" s="91"/>
      <c r="E150" s="89"/>
      <c r="F150" s="89"/>
      <c r="G150" s="91"/>
      <c r="H150" s="91"/>
      <c r="I150" s="91"/>
      <c r="J150" s="91"/>
      <c r="K150" s="91"/>
      <c r="L150" s="91"/>
      <c r="M150" s="91"/>
      <c r="N150" s="91"/>
      <c r="O150" s="80"/>
      <c r="P150" s="32"/>
      <c r="Q150" s="20">
        <f t="shared" si="22"/>
        <v>0</v>
      </c>
    </row>
    <row r="151" spans="1:17">
      <c r="A151" s="141"/>
      <c r="B151" s="143"/>
      <c r="C151" s="117" t="s">
        <v>91</v>
      </c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80"/>
      <c r="P151" s="32"/>
      <c r="Q151" s="20">
        <f t="shared" si="22"/>
        <v>0</v>
      </c>
    </row>
    <row r="152" spans="1:17">
      <c r="A152" s="141"/>
      <c r="B152" s="143"/>
      <c r="C152" s="117" t="s">
        <v>92</v>
      </c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80"/>
      <c r="P152" s="32"/>
      <c r="Q152" s="20">
        <f t="shared" si="22"/>
        <v>0</v>
      </c>
    </row>
    <row r="153" spans="1:17">
      <c r="A153" s="141"/>
      <c r="B153" s="143"/>
      <c r="C153" s="116" t="s">
        <v>93</v>
      </c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80"/>
      <c r="P153" s="32"/>
      <c r="Q153" s="20">
        <f t="shared" si="22"/>
        <v>0</v>
      </c>
    </row>
    <row r="154" spans="1:17">
      <c r="A154" s="141"/>
      <c r="B154" s="143"/>
      <c r="C154" s="118" t="s">
        <v>94</v>
      </c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18"/>
      <c r="P154" s="33"/>
      <c r="Q154" s="22">
        <f t="shared" si="22"/>
        <v>0</v>
      </c>
    </row>
    <row r="155" spans="1:17">
      <c r="A155" s="141"/>
      <c r="B155" s="143" t="s">
        <v>11</v>
      </c>
      <c r="C155" s="119" t="s">
        <v>7</v>
      </c>
      <c r="D155" s="93"/>
      <c r="E155" s="93"/>
      <c r="F155" s="93"/>
      <c r="G155" s="93"/>
      <c r="H155" s="93"/>
      <c r="I155" s="93"/>
      <c r="J155" s="93"/>
      <c r="K155" s="93"/>
      <c r="L155" s="94"/>
      <c r="M155" s="94"/>
      <c r="N155" s="94"/>
      <c r="O155" s="79"/>
      <c r="P155" s="27"/>
      <c r="Q155" s="21">
        <f t="shared" si="22"/>
        <v>0</v>
      </c>
    </row>
    <row r="156" spans="1:17">
      <c r="A156" s="141"/>
      <c r="B156" s="143"/>
      <c r="C156" s="117" t="s">
        <v>4</v>
      </c>
      <c r="D156" s="95"/>
      <c r="E156" s="95"/>
      <c r="F156" s="95"/>
      <c r="G156" s="95"/>
      <c r="H156" s="95"/>
      <c r="I156" s="95"/>
      <c r="J156" s="95"/>
      <c r="K156" s="95"/>
      <c r="L156" s="91"/>
      <c r="M156" s="91"/>
      <c r="N156" s="91"/>
      <c r="O156" s="80"/>
      <c r="P156" s="32"/>
      <c r="Q156" s="20">
        <f t="shared" si="22"/>
        <v>0</v>
      </c>
    </row>
    <row r="157" spans="1:17">
      <c r="A157" s="141"/>
      <c r="B157" s="143"/>
      <c r="C157" s="117" t="s">
        <v>17</v>
      </c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80"/>
      <c r="P157" s="32"/>
      <c r="Q157" s="20">
        <f t="shared" si="22"/>
        <v>0</v>
      </c>
    </row>
    <row r="158" spans="1:17">
      <c r="A158" s="141"/>
      <c r="B158" s="143"/>
      <c r="C158" s="117" t="s">
        <v>18</v>
      </c>
      <c r="D158" s="90"/>
      <c r="E158" s="90"/>
      <c r="F158" s="90"/>
      <c r="G158" s="90"/>
      <c r="H158" s="91"/>
      <c r="I158" s="91"/>
      <c r="J158" s="91"/>
      <c r="K158" s="91"/>
      <c r="L158" s="91"/>
      <c r="M158" s="91"/>
      <c r="N158" s="91"/>
      <c r="O158" s="80"/>
      <c r="P158" s="32"/>
      <c r="Q158" s="20">
        <f t="shared" si="22"/>
        <v>0</v>
      </c>
    </row>
    <row r="159" spans="1:17">
      <c r="A159" s="141"/>
      <c r="B159" s="143"/>
      <c r="C159" s="120" t="s">
        <v>19</v>
      </c>
      <c r="D159" s="96"/>
      <c r="E159" s="96"/>
      <c r="F159" s="96"/>
      <c r="G159" s="96"/>
      <c r="H159" s="92"/>
      <c r="I159" s="92"/>
      <c r="J159" s="92"/>
      <c r="K159" s="92"/>
      <c r="L159" s="92"/>
      <c r="M159" s="92"/>
      <c r="N159" s="92"/>
      <c r="O159" s="18"/>
      <c r="P159" s="33"/>
      <c r="Q159" s="22">
        <f t="shared" si="22"/>
        <v>0</v>
      </c>
    </row>
    <row r="160" spans="1:17">
      <c r="A160" s="141"/>
      <c r="B160" s="143" t="s">
        <v>13</v>
      </c>
      <c r="C160" s="119" t="s">
        <v>10</v>
      </c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79"/>
      <c r="P160" s="27"/>
      <c r="Q160" s="21">
        <f t="shared" si="22"/>
        <v>0</v>
      </c>
    </row>
    <row r="161" spans="1:17">
      <c r="A161" s="141"/>
      <c r="B161" s="143"/>
      <c r="C161" s="116" t="s">
        <v>55</v>
      </c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17"/>
      <c r="P161" s="28"/>
      <c r="Q161" s="20">
        <f t="shared" si="22"/>
        <v>0</v>
      </c>
    </row>
    <row r="162" spans="1:17">
      <c r="A162" s="141"/>
      <c r="B162" s="143"/>
      <c r="C162" s="116" t="s">
        <v>56</v>
      </c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17"/>
      <c r="P162" s="28"/>
      <c r="Q162" s="20">
        <f t="shared" si="22"/>
        <v>0</v>
      </c>
    </row>
    <row r="163" spans="1:17">
      <c r="A163" s="141"/>
      <c r="B163" s="143"/>
      <c r="C163" s="120" t="s">
        <v>61</v>
      </c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18"/>
      <c r="P163" s="33"/>
      <c r="Q163" s="22">
        <f t="shared" si="22"/>
        <v>0</v>
      </c>
    </row>
    <row r="164" spans="1:17">
      <c r="A164" s="141"/>
      <c r="B164" s="156" t="s">
        <v>54</v>
      </c>
      <c r="C164" s="157"/>
      <c r="D164" s="56">
        <f>SUM(D147:D154)-SUM(D158:D159)</f>
        <v>0</v>
      </c>
      <c r="E164" s="56">
        <f t="shared" ref="E164:O164" si="23">SUM(E147:E154)-SUM(E158:E159)</f>
        <v>0</v>
      </c>
      <c r="F164" s="56">
        <f t="shared" si="23"/>
        <v>0</v>
      </c>
      <c r="G164" s="56">
        <f>SUM(G147:G154)-SUM(G158:G159)</f>
        <v>0</v>
      </c>
      <c r="H164" s="56">
        <f t="shared" si="23"/>
        <v>0</v>
      </c>
      <c r="I164" s="56">
        <f t="shared" si="23"/>
        <v>0</v>
      </c>
      <c r="J164" s="56">
        <f t="shared" si="23"/>
        <v>0</v>
      </c>
      <c r="K164" s="56">
        <f t="shared" si="23"/>
        <v>0</v>
      </c>
      <c r="L164" s="56">
        <f t="shared" si="23"/>
        <v>0</v>
      </c>
      <c r="M164" s="56">
        <f t="shared" si="23"/>
        <v>0</v>
      </c>
      <c r="N164" s="56">
        <f t="shared" si="23"/>
        <v>0</v>
      </c>
      <c r="O164" s="57">
        <f t="shared" si="23"/>
        <v>0</v>
      </c>
      <c r="P164" s="60">
        <f>SUM(P147:P154)-SUM(P158:P159)</f>
        <v>0</v>
      </c>
      <c r="Q164" s="59">
        <f>SUM(D164:P164)</f>
        <v>0</v>
      </c>
    </row>
    <row r="165" spans="1:17" ht="14.25" thickBot="1">
      <c r="A165" s="142"/>
      <c r="B165" s="147" t="s">
        <v>5</v>
      </c>
      <c r="C165" s="148"/>
      <c r="D165" s="42">
        <f>SUM(D147:D154)-SUM(D155:D159)+SUM(D160:D163)</f>
        <v>0</v>
      </c>
      <c r="E165" s="42">
        <f>SUM(E147:E154)-SUM(E155:E159)+SUM(E160:E163)</f>
        <v>0</v>
      </c>
      <c r="F165" s="42">
        <f t="shared" ref="F165:O165" si="24">SUM(F147:F154)-SUM(F155:F159)+SUM(F160:F163)</f>
        <v>0</v>
      </c>
      <c r="G165" s="42">
        <f>SUM(G147:G154)-SUM(G155:G159)+SUM(G160:G163)</f>
        <v>0</v>
      </c>
      <c r="H165" s="42">
        <f t="shared" si="24"/>
        <v>0</v>
      </c>
      <c r="I165" s="42">
        <f t="shared" si="24"/>
        <v>0</v>
      </c>
      <c r="J165" s="42">
        <f t="shared" si="24"/>
        <v>0</v>
      </c>
      <c r="K165" s="42">
        <f t="shared" si="24"/>
        <v>0</v>
      </c>
      <c r="L165" s="42">
        <f t="shared" si="24"/>
        <v>0</v>
      </c>
      <c r="M165" s="42">
        <f t="shared" si="24"/>
        <v>0</v>
      </c>
      <c r="N165" s="42">
        <f t="shared" si="24"/>
        <v>0</v>
      </c>
      <c r="O165" s="43">
        <f t="shared" si="24"/>
        <v>0</v>
      </c>
      <c r="P165" s="44">
        <f>SUM(P147:P154)-SUM(P155:P159)+SUM(P160:P163)</f>
        <v>0</v>
      </c>
      <c r="Q165" s="46">
        <f t="shared" si="22"/>
        <v>0</v>
      </c>
    </row>
    <row r="166" spans="1:17">
      <c r="A166" s="140"/>
      <c r="B166" s="158" t="s">
        <v>12</v>
      </c>
      <c r="C166" s="114" t="s">
        <v>87</v>
      </c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78"/>
      <c r="P166" s="30"/>
      <c r="Q166" s="19">
        <f>SUM(D166:P166)</f>
        <v>0</v>
      </c>
    </row>
    <row r="167" spans="1:17">
      <c r="A167" s="141"/>
      <c r="B167" s="154"/>
      <c r="C167" s="115" t="s">
        <v>89</v>
      </c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1"/>
      <c r="P167" s="31"/>
      <c r="Q167" s="20">
        <f t="shared" ref="Q167:Q184" si="25">SUM(D167:P167)</f>
        <v>0</v>
      </c>
    </row>
    <row r="168" spans="1:17">
      <c r="A168" s="141"/>
      <c r="B168" s="143"/>
      <c r="C168" s="116" t="s">
        <v>88</v>
      </c>
      <c r="D168" s="89"/>
      <c r="E168" s="90"/>
      <c r="F168" s="90"/>
      <c r="G168" s="90"/>
      <c r="H168" s="89"/>
      <c r="I168" s="89"/>
      <c r="J168" s="89"/>
      <c r="K168" s="89"/>
      <c r="L168" s="89"/>
      <c r="M168" s="89"/>
      <c r="N168" s="89"/>
      <c r="O168" s="17"/>
      <c r="P168" s="28"/>
      <c r="Q168" s="20">
        <f t="shared" si="25"/>
        <v>0</v>
      </c>
    </row>
    <row r="169" spans="1:17">
      <c r="A169" s="141"/>
      <c r="B169" s="143"/>
      <c r="C169" s="117" t="s">
        <v>90</v>
      </c>
      <c r="D169" s="91"/>
      <c r="E169" s="89"/>
      <c r="F169" s="89"/>
      <c r="G169" s="91"/>
      <c r="H169" s="91"/>
      <c r="I169" s="91"/>
      <c r="J169" s="91"/>
      <c r="K169" s="91"/>
      <c r="L169" s="91"/>
      <c r="M169" s="91"/>
      <c r="N169" s="91"/>
      <c r="O169" s="80"/>
      <c r="P169" s="32"/>
      <c r="Q169" s="20">
        <f t="shared" si="25"/>
        <v>0</v>
      </c>
    </row>
    <row r="170" spans="1:17">
      <c r="A170" s="141"/>
      <c r="B170" s="143"/>
      <c r="C170" s="117" t="s">
        <v>91</v>
      </c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80"/>
      <c r="P170" s="32"/>
      <c r="Q170" s="20">
        <f t="shared" si="25"/>
        <v>0</v>
      </c>
    </row>
    <row r="171" spans="1:17">
      <c r="A171" s="141"/>
      <c r="B171" s="143"/>
      <c r="C171" s="117" t="s">
        <v>92</v>
      </c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80"/>
      <c r="P171" s="32"/>
      <c r="Q171" s="20">
        <f t="shared" si="25"/>
        <v>0</v>
      </c>
    </row>
    <row r="172" spans="1:17">
      <c r="A172" s="141"/>
      <c r="B172" s="143"/>
      <c r="C172" s="116" t="s">
        <v>93</v>
      </c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80"/>
      <c r="P172" s="32"/>
      <c r="Q172" s="20">
        <f t="shared" si="25"/>
        <v>0</v>
      </c>
    </row>
    <row r="173" spans="1:17">
      <c r="A173" s="141"/>
      <c r="B173" s="143"/>
      <c r="C173" s="118" t="s">
        <v>94</v>
      </c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18"/>
      <c r="P173" s="33"/>
      <c r="Q173" s="22">
        <f t="shared" si="25"/>
        <v>0</v>
      </c>
    </row>
    <row r="174" spans="1:17">
      <c r="A174" s="141"/>
      <c r="B174" s="143" t="s">
        <v>11</v>
      </c>
      <c r="C174" s="119" t="s">
        <v>7</v>
      </c>
      <c r="D174" s="93"/>
      <c r="E174" s="93"/>
      <c r="F174" s="93"/>
      <c r="G174" s="93"/>
      <c r="H174" s="93"/>
      <c r="I174" s="93"/>
      <c r="J174" s="93"/>
      <c r="K174" s="93"/>
      <c r="L174" s="94"/>
      <c r="M174" s="94"/>
      <c r="N174" s="94"/>
      <c r="O174" s="79"/>
      <c r="P174" s="27"/>
      <c r="Q174" s="21">
        <f t="shared" si="25"/>
        <v>0</v>
      </c>
    </row>
    <row r="175" spans="1:17">
      <c r="A175" s="141"/>
      <c r="B175" s="143"/>
      <c r="C175" s="117" t="s">
        <v>4</v>
      </c>
      <c r="D175" s="95"/>
      <c r="E175" s="95"/>
      <c r="F175" s="95"/>
      <c r="G175" s="95"/>
      <c r="H175" s="95"/>
      <c r="I175" s="95"/>
      <c r="J175" s="95"/>
      <c r="K175" s="95"/>
      <c r="L175" s="91"/>
      <c r="M175" s="91"/>
      <c r="N175" s="91"/>
      <c r="O175" s="80"/>
      <c r="P175" s="32"/>
      <c r="Q175" s="20">
        <f t="shared" si="25"/>
        <v>0</v>
      </c>
    </row>
    <row r="176" spans="1:17">
      <c r="A176" s="141"/>
      <c r="B176" s="143"/>
      <c r="C176" s="117" t="s">
        <v>17</v>
      </c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80"/>
      <c r="P176" s="32"/>
      <c r="Q176" s="20">
        <f t="shared" si="25"/>
        <v>0</v>
      </c>
    </row>
    <row r="177" spans="1:17">
      <c r="A177" s="141"/>
      <c r="B177" s="143"/>
      <c r="C177" s="117" t="s">
        <v>18</v>
      </c>
      <c r="D177" s="90"/>
      <c r="E177" s="90"/>
      <c r="F177" s="90"/>
      <c r="G177" s="90"/>
      <c r="H177" s="91"/>
      <c r="I177" s="91"/>
      <c r="J177" s="91"/>
      <c r="K177" s="91"/>
      <c r="L177" s="91"/>
      <c r="M177" s="91"/>
      <c r="N177" s="91"/>
      <c r="O177" s="80"/>
      <c r="P177" s="32"/>
      <c r="Q177" s="20">
        <f t="shared" si="25"/>
        <v>0</v>
      </c>
    </row>
    <row r="178" spans="1:17">
      <c r="A178" s="141"/>
      <c r="B178" s="143"/>
      <c r="C178" s="120" t="s">
        <v>19</v>
      </c>
      <c r="D178" s="96"/>
      <c r="E178" s="96"/>
      <c r="F178" s="96"/>
      <c r="G178" s="96"/>
      <c r="H178" s="92"/>
      <c r="I178" s="92"/>
      <c r="J178" s="92"/>
      <c r="K178" s="92"/>
      <c r="L178" s="92"/>
      <c r="M178" s="92"/>
      <c r="N178" s="92"/>
      <c r="O178" s="18"/>
      <c r="P178" s="33"/>
      <c r="Q178" s="22">
        <f t="shared" si="25"/>
        <v>0</v>
      </c>
    </row>
    <row r="179" spans="1:17">
      <c r="A179" s="141"/>
      <c r="B179" s="143" t="s">
        <v>13</v>
      </c>
      <c r="C179" s="119" t="s">
        <v>10</v>
      </c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79"/>
      <c r="P179" s="27"/>
      <c r="Q179" s="21">
        <f t="shared" si="25"/>
        <v>0</v>
      </c>
    </row>
    <row r="180" spans="1:17">
      <c r="A180" s="141"/>
      <c r="B180" s="143"/>
      <c r="C180" s="116" t="s">
        <v>55</v>
      </c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17"/>
      <c r="P180" s="28"/>
      <c r="Q180" s="20">
        <f t="shared" si="25"/>
        <v>0</v>
      </c>
    </row>
    <row r="181" spans="1:17">
      <c r="A181" s="141"/>
      <c r="B181" s="143"/>
      <c r="C181" s="116" t="s">
        <v>56</v>
      </c>
      <c r="D181" s="89"/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17"/>
      <c r="P181" s="28"/>
      <c r="Q181" s="20">
        <f t="shared" si="25"/>
        <v>0</v>
      </c>
    </row>
    <row r="182" spans="1:17">
      <c r="A182" s="141"/>
      <c r="B182" s="143"/>
      <c r="C182" s="120" t="s">
        <v>61</v>
      </c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18"/>
      <c r="P182" s="33"/>
      <c r="Q182" s="22">
        <f t="shared" si="25"/>
        <v>0</v>
      </c>
    </row>
    <row r="183" spans="1:17">
      <c r="A183" s="141"/>
      <c r="B183" s="156" t="s">
        <v>54</v>
      </c>
      <c r="C183" s="157"/>
      <c r="D183" s="56">
        <f>SUM(D166:D173)-SUM(D177:D178)</f>
        <v>0</v>
      </c>
      <c r="E183" s="56">
        <f t="shared" ref="E183:O183" si="26">SUM(E166:E173)-SUM(E177:E178)</f>
        <v>0</v>
      </c>
      <c r="F183" s="56">
        <f t="shared" si="26"/>
        <v>0</v>
      </c>
      <c r="G183" s="56">
        <f>SUM(G166:G173)-SUM(G177:G178)</f>
        <v>0</v>
      </c>
      <c r="H183" s="56">
        <f t="shared" si="26"/>
        <v>0</v>
      </c>
      <c r="I183" s="56">
        <f t="shared" si="26"/>
        <v>0</v>
      </c>
      <c r="J183" s="56">
        <f t="shared" si="26"/>
        <v>0</v>
      </c>
      <c r="K183" s="56">
        <f t="shared" si="26"/>
        <v>0</v>
      </c>
      <c r="L183" s="56">
        <f t="shared" si="26"/>
        <v>0</v>
      </c>
      <c r="M183" s="56">
        <f t="shared" si="26"/>
        <v>0</v>
      </c>
      <c r="N183" s="56">
        <f t="shared" si="26"/>
        <v>0</v>
      </c>
      <c r="O183" s="57">
        <f t="shared" si="26"/>
        <v>0</v>
      </c>
      <c r="P183" s="60">
        <f>SUM(P166:P173)-SUM(P177:P178)</f>
        <v>0</v>
      </c>
      <c r="Q183" s="59">
        <f>SUM(D183:P183)</f>
        <v>0</v>
      </c>
    </row>
    <row r="184" spans="1:17" ht="14.25" thickBot="1">
      <c r="A184" s="142"/>
      <c r="B184" s="147" t="s">
        <v>5</v>
      </c>
      <c r="C184" s="148"/>
      <c r="D184" s="42">
        <f>SUM(D166:D173)-SUM(D174:D178)+SUM(D179:D182)</f>
        <v>0</v>
      </c>
      <c r="E184" s="42">
        <f>SUM(E166:E173)-SUM(E174:E178)+SUM(E179:E182)</f>
        <v>0</v>
      </c>
      <c r="F184" s="42">
        <f t="shared" ref="F184:O184" si="27">SUM(F166:F173)-SUM(F174:F178)+SUM(F179:F182)</f>
        <v>0</v>
      </c>
      <c r="G184" s="42">
        <f>SUM(G166:G173)-SUM(G174:G178)+SUM(G179:G182)</f>
        <v>0</v>
      </c>
      <c r="H184" s="42">
        <f t="shared" si="27"/>
        <v>0</v>
      </c>
      <c r="I184" s="42">
        <f t="shared" si="27"/>
        <v>0</v>
      </c>
      <c r="J184" s="42">
        <f t="shared" si="27"/>
        <v>0</v>
      </c>
      <c r="K184" s="42">
        <f t="shared" si="27"/>
        <v>0</v>
      </c>
      <c r="L184" s="42">
        <f t="shared" si="27"/>
        <v>0</v>
      </c>
      <c r="M184" s="42">
        <f t="shared" si="27"/>
        <v>0</v>
      </c>
      <c r="N184" s="42">
        <f t="shared" si="27"/>
        <v>0</v>
      </c>
      <c r="O184" s="43">
        <f t="shared" si="27"/>
        <v>0</v>
      </c>
      <c r="P184" s="44">
        <f>SUM(P166:P173)-SUM(P174:P178)+SUM(P179:P182)</f>
        <v>0</v>
      </c>
      <c r="Q184" s="46">
        <f t="shared" si="25"/>
        <v>0</v>
      </c>
    </row>
    <row r="185" spans="1:17">
      <c r="A185" s="140"/>
      <c r="B185" s="158" t="s">
        <v>12</v>
      </c>
      <c r="C185" s="114" t="s">
        <v>87</v>
      </c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78"/>
      <c r="P185" s="30"/>
      <c r="Q185" s="19">
        <f>SUM(D185:P185)</f>
        <v>0</v>
      </c>
    </row>
    <row r="186" spans="1:17">
      <c r="A186" s="141"/>
      <c r="B186" s="154"/>
      <c r="C186" s="115" t="s">
        <v>89</v>
      </c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1"/>
      <c r="P186" s="31"/>
      <c r="Q186" s="20">
        <f t="shared" ref="Q186:Q203" si="28">SUM(D186:P186)</f>
        <v>0</v>
      </c>
    </row>
    <row r="187" spans="1:17">
      <c r="A187" s="141"/>
      <c r="B187" s="143"/>
      <c r="C187" s="116" t="s">
        <v>88</v>
      </c>
      <c r="D187" s="89"/>
      <c r="E187" s="90"/>
      <c r="F187" s="90"/>
      <c r="G187" s="90"/>
      <c r="H187" s="89"/>
      <c r="I187" s="89"/>
      <c r="J187" s="89"/>
      <c r="K187" s="89"/>
      <c r="L187" s="89"/>
      <c r="M187" s="89"/>
      <c r="N187" s="89"/>
      <c r="O187" s="17"/>
      <c r="P187" s="28"/>
      <c r="Q187" s="20">
        <f t="shared" si="28"/>
        <v>0</v>
      </c>
    </row>
    <row r="188" spans="1:17">
      <c r="A188" s="141"/>
      <c r="B188" s="143"/>
      <c r="C188" s="117" t="s">
        <v>90</v>
      </c>
      <c r="D188" s="91"/>
      <c r="E188" s="89"/>
      <c r="F188" s="89"/>
      <c r="G188" s="91"/>
      <c r="H188" s="91"/>
      <c r="I188" s="91"/>
      <c r="J188" s="91"/>
      <c r="K188" s="91"/>
      <c r="L188" s="91"/>
      <c r="M188" s="91"/>
      <c r="N188" s="91"/>
      <c r="O188" s="80"/>
      <c r="P188" s="32"/>
      <c r="Q188" s="20">
        <f t="shared" si="28"/>
        <v>0</v>
      </c>
    </row>
    <row r="189" spans="1:17">
      <c r="A189" s="141"/>
      <c r="B189" s="143"/>
      <c r="C189" s="117" t="s">
        <v>91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80"/>
      <c r="P189" s="32"/>
      <c r="Q189" s="20">
        <f t="shared" si="28"/>
        <v>0</v>
      </c>
    </row>
    <row r="190" spans="1:17">
      <c r="A190" s="141"/>
      <c r="B190" s="143"/>
      <c r="C190" s="117" t="s">
        <v>92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80"/>
      <c r="P190" s="32"/>
      <c r="Q190" s="20">
        <f t="shared" si="28"/>
        <v>0</v>
      </c>
    </row>
    <row r="191" spans="1:17">
      <c r="A191" s="141"/>
      <c r="B191" s="143"/>
      <c r="C191" s="116" t="s">
        <v>93</v>
      </c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80"/>
      <c r="P191" s="32"/>
      <c r="Q191" s="20">
        <f t="shared" si="28"/>
        <v>0</v>
      </c>
    </row>
    <row r="192" spans="1:17">
      <c r="A192" s="141"/>
      <c r="B192" s="143"/>
      <c r="C192" s="118" t="s">
        <v>94</v>
      </c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18"/>
      <c r="P192" s="33"/>
      <c r="Q192" s="22">
        <f t="shared" si="28"/>
        <v>0</v>
      </c>
    </row>
    <row r="193" spans="1:17">
      <c r="A193" s="141"/>
      <c r="B193" s="143" t="s">
        <v>11</v>
      </c>
      <c r="C193" s="119" t="s">
        <v>7</v>
      </c>
      <c r="D193" s="93"/>
      <c r="E193" s="93"/>
      <c r="F193" s="93"/>
      <c r="G193" s="93"/>
      <c r="H193" s="93"/>
      <c r="I193" s="93"/>
      <c r="J193" s="93"/>
      <c r="K193" s="93"/>
      <c r="L193" s="94"/>
      <c r="M193" s="94"/>
      <c r="N193" s="94"/>
      <c r="O193" s="79"/>
      <c r="P193" s="27"/>
      <c r="Q193" s="21">
        <f t="shared" si="28"/>
        <v>0</v>
      </c>
    </row>
    <row r="194" spans="1:17">
      <c r="A194" s="141"/>
      <c r="B194" s="143"/>
      <c r="C194" s="117" t="s">
        <v>4</v>
      </c>
      <c r="D194" s="95"/>
      <c r="E194" s="95"/>
      <c r="F194" s="95"/>
      <c r="G194" s="95"/>
      <c r="H194" s="95"/>
      <c r="I194" s="95"/>
      <c r="J194" s="95"/>
      <c r="K194" s="95"/>
      <c r="L194" s="91"/>
      <c r="M194" s="91"/>
      <c r="N194" s="91"/>
      <c r="O194" s="80"/>
      <c r="P194" s="32"/>
      <c r="Q194" s="20">
        <f t="shared" si="28"/>
        <v>0</v>
      </c>
    </row>
    <row r="195" spans="1:17">
      <c r="A195" s="141"/>
      <c r="B195" s="143"/>
      <c r="C195" s="117" t="s">
        <v>17</v>
      </c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80"/>
      <c r="P195" s="32"/>
      <c r="Q195" s="20">
        <f t="shared" si="28"/>
        <v>0</v>
      </c>
    </row>
    <row r="196" spans="1:17">
      <c r="A196" s="141"/>
      <c r="B196" s="143"/>
      <c r="C196" s="117" t="s">
        <v>18</v>
      </c>
      <c r="D196" s="90"/>
      <c r="E196" s="90"/>
      <c r="F196" s="90"/>
      <c r="G196" s="90"/>
      <c r="H196" s="91"/>
      <c r="I196" s="91"/>
      <c r="J196" s="91"/>
      <c r="K196" s="91"/>
      <c r="L196" s="91"/>
      <c r="M196" s="91"/>
      <c r="N196" s="91"/>
      <c r="O196" s="80"/>
      <c r="P196" s="32"/>
      <c r="Q196" s="20">
        <f t="shared" si="28"/>
        <v>0</v>
      </c>
    </row>
    <row r="197" spans="1:17">
      <c r="A197" s="141"/>
      <c r="B197" s="143"/>
      <c r="C197" s="120" t="s">
        <v>19</v>
      </c>
      <c r="D197" s="96"/>
      <c r="E197" s="96"/>
      <c r="F197" s="96"/>
      <c r="G197" s="96"/>
      <c r="H197" s="92"/>
      <c r="I197" s="92"/>
      <c r="J197" s="92"/>
      <c r="K197" s="92"/>
      <c r="L197" s="92"/>
      <c r="M197" s="92"/>
      <c r="N197" s="92"/>
      <c r="O197" s="18"/>
      <c r="P197" s="33"/>
      <c r="Q197" s="22">
        <f t="shared" si="28"/>
        <v>0</v>
      </c>
    </row>
    <row r="198" spans="1:17">
      <c r="A198" s="141"/>
      <c r="B198" s="143" t="s">
        <v>13</v>
      </c>
      <c r="C198" s="119" t="s">
        <v>10</v>
      </c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79"/>
      <c r="P198" s="27"/>
      <c r="Q198" s="21">
        <f t="shared" si="28"/>
        <v>0</v>
      </c>
    </row>
    <row r="199" spans="1:17">
      <c r="A199" s="141"/>
      <c r="B199" s="143"/>
      <c r="C199" s="116" t="s">
        <v>55</v>
      </c>
      <c r="D199" s="89"/>
      <c r="E199" s="89"/>
      <c r="F199" s="89"/>
      <c r="G199" s="89"/>
      <c r="H199" s="89"/>
      <c r="I199" s="89"/>
      <c r="J199" s="89"/>
      <c r="K199" s="89"/>
      <c r="L199" s="89"/>
      <c r="M199" s="89"/>
      <c r="N199" s="89"/>
      <c r="O199" s="17"/>
      <c r="P199" s="28"/>
      <c r="Q199" s="20">
        <f t="shared" si="28"/>
        <v>0</v>
      </c>
    </row>
    <row r="200" spans="1:17">
      <c r="A200" s="141"/>
      <c r="B200" s="143"/>
      <c r="C200" s="116" t="s">
        <v>56</v>
      </c>
      <c r="D200" s="89"/>
      <c r="E200" s="89"/>
      <c r="F200" s="89"/>
      <c r="G200" s="89"/>
      <c r="H200" s="89"/>
      <c r="I200" s="89"/>
      <c r="J200" s="89"/>
      <c r="K200" s="89"/>
      <c r="L200" s="89"/>
      <c r="M200" s="89"/>
      <c r="N200" s="89"/>
      <c r="O200" s="17"/>
      <c r="P200" s="28"/>
      <c r="Q200" s="20">
        <f t="shared" si="28"/>
        <v>0</v>
      </c>
    </row>
    <row r="201" spans="1:17">
      <c r="A201" s="141"/>
      <c r="B201" s="143"/>
      <c r="C201" s="120" t="s">
        <v>61</v>
      </c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18"/>
      <c r="P201" s="33"/>
      <c r="Q201" s="22">
        <f t="shared" si="28"/>
        <v>0</v>
      </c>
    </row>
    <row r="202" spans="1:17">
      <c r="A202" s="141"/>
      <c r="B202" s="156" t="s">
        <v>54</v>
      </c>
      <c r="C202" s="157"/>
      <c r="D202" s="56">
        <f>SUM(D185:D192)-SUM(D196:D197)</f>
        <v>0</v>
      </c>
      <c r="E202" s="56">
        <f t="shared" ref="E202:O202" si="29">SUM(E185:E192)-SUM(E196:E197)</f>
        <v>0</v>
      </c>
      <c r="F202" s="56">
        <f t="shared" si="29"/>
        <v>0</v>
      </c>
      <c r="G202" s="56">
        <f>SUM(G185:G192)-SUM(G196:G197)</f>
        <v>0</v>
      </c>
      <c r="H202" s="56">
        <f t="shared" si="29"/>
        <v>0</v>
      </c>
      <c r="I202" s="56">
        <f t="shared" si="29"/>
        <v>0</v>
      </c>
      <c r="J202" s="56">
        <f t="shared" si="29"/>
        <v>0</v>
      </c>
      <c r="K202" s="56">
        <f t="shared" si="29"/>
        <v>0</v>
      </c>
      <c r="L202" s="56">
        <f t="shared" si="29"/>
        <v>0</v>
      </c>
      <c r="M202" s="56">
        <f t="shared" si="29"/>
        <v>0</v>
      </c>
      <c r="N202" s="56">
        <f t="shared" si="29"/>
        <v>0</v>
      </c>
      <c r="O202" s="57">
        <f t="shared" si="29"/>
        <v>0</v>
      </c>
      <c r="P202" s="60">
        <f>SUM(P185:P192)-SUM(P196:P197)</f>
        <v>0</v>
      </c>
      <c r="Q202" s="59">
        <f>SUM(D202:P202)</f>
        <v>0</v>
      </c>
    </row>
    <row r="203" spans="1:17" ht="14.25" thickBot="1">
      <c r="A203" s="142"/>
      <c r="B203" s="147" t="s">
        <v>5</v>
      </c>
      <c r="C203" s="148"/>
      <c r="D203" s="42">
        <f>SUM(D185:D192)-SUM(D193:D197)+SUM(D198:D201)</f>
        <v>0</v>
      </c>
      <c r="E203" s="42">
        <f>SUM(E185:E192)-SUM(E193:E197)+SUM(E198:E201)</f>
        <v>0</v>
      </c>
      <c r="F203" s="42">
        <f t="shared" ref="F203:O203" si="30">SUM(F185:F192)-SUM(F193:F197)+SUM(F198:F201)</f>
        <v>0</v>
      </c>
      <c r="G203" s="42">
        <f>SUM(G185:G192)-SUM(G193:G197)+SUM(G198:G201)</f>
        <v>0</v>
      </c>
      <c r="H203" s="42">
        <f t="shared" si="30"/>
        <v>0</v>
      </c>
      <c r="I203" s="42">
        <f t="shared" si="30"/>
        <v>0</v>
      </c>
      <c r="J203" s="42">
        <f t="shared" si="30"/>
        <v>0</v>
      </c>
      <c r="K203" s="42">
        <f t="shared" si="30"/>
        <v>0</v>
      </c>
      <c r="L203" s="42">
        <f t="shared" si="30"/>
        <v>0</v>
      </c>
      <c r="M203" s="42">
        <f t="shared" si="30"/>
        <v>0</v>
      </c>
      <c r="N203" s="42">
        <f t="shared" si="30"/>
        <v>0</v>
      </c>
      <c r="O203" s="43">
        <f t="shared" si="30"/>
        <v>0</v>
      </c>
      <c r="P203" s="44">
        <f>SUM(P185:P192)-SUM(P193:P197)+SUM(P198:P201)</f>
        <v>0</v>
      </c>
      <c r="Q203" s="46">
        <f t="shared" si="28"/>
        <v>0</v>
      </c>
    </row>
    <row r="204" spans="1:17">
      <c r="A204" s="140"/>
      <c r="B204" s="158" t="s">
        <v>12</v>
      </c>
      <c r="C204" s="114" t="s">
        <v>87</v>
      </c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78"/>
      <c r="P204" s="30"/>
      <c r="Q204" s="19">
        <f>SUM(D204:P204)</f>
        <v>0</v>
      </c>
    </row>
    <row r="205" spans="1:17">
      <c r="A205" s="141"/>
      <c r="B205" s="154"/>
      <c r="C205" s="115" t="s">
        <v>89</v>
      </c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1"/>
      <c r="P205" s="31"/>
      <c r="Q205" s="20">
        <f t="shared" ref="Q205:Q222" si="31">SUM(D205:P205)</f>
        <v>0</v>
      </c>
    </row>
    <row r="206" spans="1:17">
      <c r="A206" s="141"/>
      <c r="B206" s="143"/>
      <c r="C206" s="116" t="s">
        <v>88</v>
      </c>
      <c r="D206" s="89"/>
      <c r="E206" s="90"/>
      <c r="F206" s="90"/>
      <c r="G206" s="90"/>
      <c r="H206" s="89"/>
      <c r="I206" s="89"/>
      <c r="J206" s="89"/>
      <c r="K206" s="89"/>
      <c r="L206" s="89"/>
      <c r="M206" s="89"/>
      <c r="N206" s="89"/>
      <c r="O206" s="17"/>
      <c r="P206" s="28"/>
      <c r="Q206" s="20">
        <f t="shared" si="31"/>
        <v>0</v>
      </c>
    </row>
    <row r="207" spans="1:17">
      <c r="A207" s="141"/>
      <c r="B207" s="143"/>
      <c r="C207" s="117" t="s">
        <v>90</v>
      </c>
      <c r="D207" s="91"/>
      <c r="E207" s="89"/>
      <c r="F207" s="89"/>
      <c r="G207" s="91"/>
      <c r="H207" s="91"/>
      <c r="I207" s="91"/>
      <c r="J207" s="91"/>
      <c r="K207" s="91"/>
      <c r="L207" s="91"/>
      <c r="M207" s="91"/>
      <c r="N207" s="91"/>
      <c r="O207" s="80"/>
      <c r="P207" s="32"/>
      <c r="Q207" s="20">
        <f t="shared" si="31"/>
        <v>0</v>
      </c>
    </row>
    <row r="208" spans="1:17">
      <c r="A208" s="141"/>
      <c r="B208" s="143"/>
      <c r="C208" s="117" t="s">
        <v>91</v>
      </c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80"/>
      <c r="P208" s="32"/>
      <c r="Q208" s="20">
        <f t="shared" si="31"/>
        <v>0</v>
      </c>
    </row>
    <row r="209" spans="1:17">
      <c r="A209" s="141"/>
      <c r="B209" s="143"/>
      <c r="C209" s="117" t="s">
        <v>92</v>
      </c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80"/>
      <c r="P209" s="32"/>
      <c r="Q209" s="20">
        <f t="shared" si="31"/>
        <v>0</v>
      </c>
    </row>
    <row r="210" spans="1:17">
      <c r="A210" s="141"/>
      <c r="B210" s="143"/>
      <c r="C210" s="116" t="s">
        <v>93</v>
      </c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80"/>
      <c r="P210" s="32"/>
      <c r="Q210" s="20">
        <f t="shared" si="31"/>
        <v>0</v>
      </c>
    </row>
    <row r="211" spans="1:17">
      <c r="A211" s="141"/>
      <c r="B211" s="143"/>
      <c r="C211" s="118" t="s">
        <v>94</v>
      </c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18"/>
      <c r="P211" s="33"/>
      <c r="Q211" s="22">
        <f t="shared" si="31"/>
        <v>0</v>
      </c>
    </row>
    <row r="212" spans="1:17">
      <c r="A212" s="141"/>
      <c r="B212" s="143" t="s">
        <v>11</v>
      </c>
      <c r="C212" s="119" t="s">
        <v>7</v>
      </c>
      <c r="D212" s="93"/>
      <c r="E212" s="93"/>
      <c r="F212" s="93"/>
      <c r="G212" s="93"/>
      <c r="H212" s="93"/>
      <c r="I212" s="93"/>
      <c r="J212" s="93"/>
      <c r="K212" s="93"/>
      <c r="L212" s="94"/>
      <c r="M212" s="94"/>
      <c r="N212" s="94"/>
      <c r="O212" s="79"/>
      <c r="P212" s="27"/>
      <c r="Q212" s="21">
        <f t="shared" si="31"/>
        <v>0</v>
      </c>
    </row>
    <row r="213" spans="1:17">
      <c r="A213" s="141"/>
      <c r="B213" s="143"/>
      <c r="C213" s="117" t="s">
        <v>4</v>
      </c>
      <c r="D213" s="95"/>
      <c r="E213" s="95"/>
      <c r="F213" s="95"/>
      <c r="G213" s="95"/>
      <c r="H213" s="95"/>
      <c r="I213" s="95"/>
      <c r="J213" s="95"/>
      <c r="K213" s="95"/>
      <c r="L213" s="91"/>
      <c r="M213" s="91"/>
      <c r="N213" s="91"/>
      <c r="O213" s="80"/>
      <c r="P213" s="32"/>
      <c r="Q213" s="20">
        <f t="shared" si="31"/>
        <v>0</v>
      </c>
    </row>
    <row r="214" spans="1:17">
      <c r="A214" s="141"/>
      <c r="B214" s="143"/>
      <c r="C214" s="117" t="s">
        <v>17</v>
      </c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80"/>
      <c r="P214" s="32"/>
      <c r="Q214" s="20">
        <f t="shared" si="31"/>
        <v>0</v>
      </c>
    </row>
    <row r="215" spans="1:17">
      <c r="A215" s="141"/>
      <c r="B215" s="143"/>
      <c r="C215" s="117" t="s">
        <v>18</v>
      </c>
      <c r="D215" s="90"/>
      <c r="E215" s="90"/>
      <c r="F215" s="90"/>
      <c r="G215" s="90"/>
      <c r="H215" s="91"/>
      <c r="I215" s="91"/>
      <c r="J215" s="91"/>
      <c r="K215" s="91"/>
      <c r="L215" s="91"/>
      <c r="M215" s="91"/>
      <c r="N215" s="91"/>
      <c r="O215" s="80"/>
      <c r="P215" s="32"/>
      <c r="Q215" s="20">
        <f t="shared" si="31"/>
        <v>0</v>
      </c>
    </row>
    <row r="216" spans="1:17">
      <c r="A216" s="141"/>
      <c r="B216" s="143"/>
      <c r="C216" s="120" t="s">
        <v>19</v>
      </c>
      <c r="D216" s="96"/>
      <c r="E216" s="96"/>
      <c r="F216" s="96"/>
      <c r="G216" s="96"/>
      <c r="H216" s="92"/>
      <c r="I216" s="92"/>
      <c r="J216" s="92"/>
      <c r="K216" s="92"/>
      <c r="L216" s="92"/>
      <c r="M216" s="92"/>
      <c r="N216" s="92"/>
      <c r="O216" s="18"/>
      <c r="P216" s="33"/>
      <c r="Q216" s="22">
        <f t="shared" si="31"/>
        <v>0</v>
      </c>
    </row>
    <row r="217" spans="1:17">
      <c r="A217" s="141"/>
      <c r="B217" s="143" t="s">
        <v>13</v>
      </c>
      <c r="C217" s="119" t="s">
        <v>10</v>
      </c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79"/>
      <c r="P217" s="27"/>
      <c r="Q217" s="21">
        <f t="shared" si="31"/>
        <v>0</v>
      </c>
    </row>
    <row r="218" spans="1:17">
      <c r="A218" s="141"/>
      <c r="B218" s="143"/>
      <c r="C218" s="116" t="s">
        <v>55</v>
      </c>
      <c r="D218" s="89"/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17"/>
      <c r="P218" s="28"/>
      <c r="Q218" s="20">
        <f t="shared" si="31"/>
        <v>0</v>
      </c>
    </row>
    <row r="219" spans="1:17">
      <c r="A219" s="141"/>
      <c r="B219" s="143"/>
      <c r="C219" s="116" t="s">
        <v>56</v>
      </c>
      <c r="D219" s="89"/>
      <c r="E219" s="89"/>
      <c r="F219" s="89"/>
      <c r="G219" s="89"/>
      <c r="H219" s="89"/>
      <c r="I219" s="89"/>
      <c r="J219" s="89"/>
      <c r="K219" s="89"/>
      <c r="L219" s="89"/>
      <c r="M219" s="89"/>
      <c r="N219" s="89"/>
      <c r="O219" s="17"/>
      <c r="P219" s="28"/>
      <c r="Q219" s="20">
        <f t="shared" si="31"/>
        <v>0</v>
      </c>
    </row>
    <row r="220" spans="1:17">
      <c r="A220" s="141"/>
      <c r="B220" s="143"/>
      <c r="C220" s="120" t="s">
        <v>61</v>
      </c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18"/>
      <c r="P220" s="33"/>
      <c r="Q220" s="22">
        <f t="shared" si="31"/>
        <v>0</v>
      </c>
    </row>
    <row r="221" spans="1:17">
      <c r="A221" s="141"/>
      <c r="B221" s="156" t="s">
        <v>54</v>
      </c>
      <c r="C221" s="157"/>
      <c r="D221" s="56">
        <f>SUM(D204:D211)-SUM(D215:D216)</f>
        <v>0</v>
      </c>
      <c r="E221" s="56">
        <f t="shared" ref="E221:O221" si="32">SUM(E204:E211)-SUM(E215:E216)</f>
        <v>0</v>
      </c>
      <c r="F221" s="56">
        <f t="shared" si="32"/>
        <v>0</v>
      </c>
      <c r="G221" s="56">
        <f>SUM(G204:G211)-SUM(G215:G216)</f>
        <v>0</v>
      </c>
      <c r="H221" s="56">
        <f t="shared" si="32"/>
        <v>0</v>
      </c>
      <c r="I221" s="56">
        <f t="shared" si="32"/>
        <v>0</v>
      </c>
      <c r="J221" s="56">
        <f t="shared" si="32"/>
        <v>0</v>
      </c>
      <c r="K221" s="56">
        <f t="shared" si="32"/>
        <v>0</v>
      </c>
      <c r="L221" s="56">
        <f t="shared" si="32"/>
        <v>0</v>
      </c>
      <c r="M221" s="56">
        <f t="shared" si="32"/>
        <v>0</v>
      </c>
      <c r="N221" s="56">
        <f t="shared" si="32"/>
        <v>0</v>
      </c>
      <c r="O221" s="57">
        <f t="shared" si="32"/>
        <v>0</v>
      </c>
      <c r="P221" s="60">
        <f>SUM(P204:P211)-SUM(P215:P216)</f>
        <v>0</v>
      </c>
      <c r="Q221" s="59">
        <f>SUM(D221:P221)</f>
        <v>0</v>
      </c>
    </row>
    <row r="222" spans="1:17" ht="14.25" thickBot="1">
      <c r="A222" s="142"/>
      <c r="B222" s="147" t="s">
        <v>5</v>
      </c>
      <c r="C222" s="148"/>
      <c r="D222" s="42">
        <f>SUM(D204:D211)-SUM(D212:D216)+SUM(D217:D220)</f>
        <v>0</v>
      </c>
      <c r="E222" s="42">
        <f>SUM(E204:E211)-SUM(E212:E216)+SUM(E217:E220)</f>
        <v>0</v>
      </c>
      <c r="F222" s="42">
        <f t="shared" ref="F222:O222" si="33">SUM(F204:F211)-SUM(F212:F216)+SUM(F217:F220)</f>
        <v>0</v>
      </c>
      <c r="G222" s="42">
        <f>SUM(G204:G211)-SUM(G212:G216)+SUM(G217:G220)</f>
        <v>0</v>
      </c>
      <c r="H222" s="42">
        <f t="shared" si="33"/>
        <v>0</v>
      </c>
      <c r="I222" s="42">
        <f t="shared" si="33"/>
        <v>0</v>
      </c>
      <c r="J222" s="42">
        <f t="shared" si="33"/>
        <v>0</v>
      </c>
      <c r="K222" s="42">
        <f t="shared" si="33"/>
        <v>0</v>
      </c>
      <c r="L222" s="42">
        <f t="shared" si="33"/>
        <v>0</v>
      </c>
      <c r="M222" s="42">
        <f t="shared" si="33"/>
        <v>0</v>
      </c>
      <c r="N222" s="42">
        <f t="shared" si="33"/>
        <v>0</v>
      </c>
      <c r="O222" s="43">
        <f t="shared" si="33"/>
        <v>0</v>
      </c>
      <c r="P222" s="44">
        <f>SUM(P204:P211)-SUM(P212:P216)+SUM(P217:P220)</f>
        <v>0</v>
      </c>
      <c r="Q222" s="46">
        <f t="shared" si="31"/>
        <v>0</v>
      </c>
    </row>
    <row r="223" spans="1:17">
      <c r="A223" s="140"/>
      <c r="B223" s="158" t="s">
        <v>12</v>
      </c>
      <c r="C223" s="114" t="s">
        <v>87</v>
      </c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78"/>
      <c r="P223" s="30"/>
      <c r="Q223" s="19">
        <f>SUM(D223:P223)</f>
        <v>0</v>
      </c>
    </row>
    <row r="224" spans="1:17">
      <c r="A224" s="141"/>
      <c r="B224" s="154"/>
      <c r="C224" s="115" t="s">
        <v>89</v>
      </c>
      <c r="D224" s="88"/>
      <c r="E224" s="88"/>
      <c r="F224" s="88"/>
      <c r="G224" s="88"/>
      <c r="H224" s="88"/>
      <c r="I224" s="88"/>
      <c r="J224" s="88"/>
      <c r="K224" s="88"/>
      <c r="L224" s="88"/>
      <c r="M224" s="88"/>
      <c r="N224" s="88"/>
      <c r="O224" s="81"/>
      <c r="P224" s="31"/>
      <c r="Q224" s="20">
        <f t="shared" ref="Q224:Q241" si="34">SUM(D224:P224)</f>
        <v>0</v>
      </c>
    </row>
    <row r="225" spans="1:17">
      <c r="A225" s="141"/>
      <c r="B225" s="143"/>
      <c r="C225" s="116" t="s">
        <v>88</v>
      </c>
      <c r="D225" s="89"/>
      <c r="E225" s="90"/>
      <c r="F225" s="90"/>
      <c r="G225" s="90"/>
      <c r="H225" s="89"/>
      <c r="I225" s="89"/>
      <c r="J225" s="89"/>
      <c r="K225" s="89"/>
      <c r="L225" s="89"/>
      <c r="M225" s="89"/>
      <c r="N225" s="89"/>
      <c r="O225" s="17"/>
      <c r="P225" s="28"/>
      <c r="Q225" s="20">
        <f t="shared" si="34"/>
        <v>0</v>
      </c>
    </row>
    <row r="226" spans="1:17">
      <c r="A226" s="141"/>
      <c r="B226" s="143"/>
      <c r="C226" s="117" t="s">
        <v>90</v>
      </c>
      <c r="D226" s="91"/>
      <c r="E226" s="89"/>
      <c r="F226" s="89"/>
      <c r="G226" s="91"/>
      <c r="H226" s="91"/>
      <c r="I226" s="91"/>
      <c r="J226" s="91"/>
      <c r="K226" s="91"/>
      <c r="L226" s="91"/>
      <c r="M226" s="91"/>
      <c r="N226" s="91"/>
      <c r="O226" s="80"/>
      <c r="P226" s="32"/>
      <c r="Q226" s="20">
        <f t="shared" si="34"/>
        <v>0</v>
      </c>
    </row>
    <row r="227" spans="1:17">
      <c r="A227" s="141"/>
      <c r="B227" s="143"/>
      <c r="C227" s="117" t="s">
        <v>91</v>
      </c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80"/>
      <c r="P227" s="32"/>
      <c r="Q227" s="20">
        <f t="shared" si="34"/>
        <v>0</v>
      </c>
    </row>
    <row r="228" spans="1:17">
      <c r="A228" s="141"/>
      <c r="B228" s="143"/>
      <c r="C228" s="117" t="s">
        <v>92</v>
      </c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80"/>
      <c r="P228" s="32"/>
      <c r="Q228" s="20">
        <f t="shared" si="34"/>
        <v>0</v>
      </c>
    </row>
    <row r="229" spans="1:17">
      <c r="A229" s="141"/>
      <c r="B229" s="143"/>
      <c r="C229" s="116" t="s">
        <v>93</v>
      </c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80"/>
      <c r="P229" s="32"/>
      <c r="Q229" s="20">
        <f t="shared" si="34"/>
        <v>0</v>
      </c>
    </row>
    <row r="230" spans="1:17">
      <c r="A230" s="141"/>
      <c r="B230" s="143"/>
      <c r="C230" s="118" t="s">
        <v>94</v>
      </c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18"/>
      <c r="P230" s="33"/>
      <c r="Q230" s="22">
        <f t="shared" si="34"/>
        <v>0</v>
      </c>
    </row>
    <row r="231" spans="1:17">
      <c r="A231" s="141"/>
      <c r="B231" s="143" t="s">
        <v>11</v>
      </c>
      <c r="C231" s="119" t="s">
        <v>7</v>
      </c>
      <c r="D231" s="93"/>
      <c r="E231" s="93"/>
      <c r="F231" s="93"/>
      <c r="G231" s="93"/>
      <c r="H231" s="93"/>
      <c r="I231" s="93"/>
      <c r="J231" s="93"/>
      <c r="K231" s="93"/>
      <c r="L231" s="94"/>
      <c r="M231" s="94"/>
      <c r="N231" s="94"/>
      <c r="O231" s="79"/>
      <c r="P231" s="27"/>
      <c r="Q231" s="21">
        <f t="shared" si="34"/>
        <v>0</v>
      </c>
    </row>
    <row r="232" spans="1:17">
      <c r="A232" s="141"/>
      <c r="B232" s="143"/>
      <c r="C232" s="117" t="s">
        <v>4</v>
      </c>
      <c r="D232" s="95"/>
      <c r="E232" s="95"/>
      <c r="F232" s="95"/>
      <c r="G232" s="95"/>
      <c r="H232" s="95"/>
      <c r="I232" s="95"/>
      <c r="J232" s="95"/>
      <c r="K232" s="95"/>
      <c r="L232" s="91"/>
      <c r="M232" s="91"/>
      <c r="N232" s="91"/>
      <c r="O232" s="80"/>
      <c r="P232" s="32"/>
      <c r="Q232" s="20">
        <f t="shared" si="34"/>
        <v>0</v>
      </c>
    </row>
    <row r="233" spans="1:17">
      <c r="A233" s="141"/>
      <c r="B233" s="143"/>
      <c r="C233" s="117" t="s">
        <v>17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80"/>
      <c r="P233" s="32"/>
      <c r="Q233" s="20">
        <f t="shared" si="34"/>
        <v>0</v>
      </c>
    </row>
    <row r="234" spans="1:17">
      <c r="A234" s="141"/>
      <c r="B234" s="143"/>
      <c r="C234" s="117" t="s">
        <v>18</v>
      </c>
      <c r="D234" s="90"/>
      <c r="E234" s="90"/>
      <c r="F234" s="90"/>
      <c r="G234" s="90"/>
      <c r="H234" s="91"/>
      <c r="I234" s="91"/>
      <c r="J234" s="91"/>
      <c r="K234" s="91"/>
      <c r="L234" s="91"/>
      <c r="M234" s="91"/>
      <c r="N234" s="91"/>
      <c r="O234" s="80"/>
      <c r="P234" s="32"/>
      <c r="Q234" s="20">
        <f t="shared" si="34"/>
        <v>0</v>
      </c>
    </row>
    <row r="235" spans="1:17">
      <c r="A235" s="141"/>
      <c r="B235" s="143"/>
      <c r="C235" s="120" t="s">
        <v>19</v>
      </c>
      <c r="D235" s="96"/>
      <c r="E235" s="96"/>
      <c r="F235" s="96"/>
      <c r="G235" s="96"/>
      <c r="H235" s="92"/>
      <c r="I235" s="92"/>
      <c r="J235" s="92"/>
      <c r="K235" s="92"/>
      <c r="L235" s="92"/>
      <c r="M235" s="92"/>
      <c r="N235" s="92"/>
      <c r="O235" s="18"/>
      <c r="P235" s="33"/>
      <c r="Q235" s="22">
        <f t="shared" si="34"/>
        <v>0</v>
      </c>
    </row>
    <row r="236" spans="1:17">
      <c r="A236" s="141"/>
      <c r="B236" s="143" t="s">
        <v>13</v>
      </c>
      <c r="C236" s="119" t="s">
        <v>10</v>
      </c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79"/>
      <c r="P236" s="27"/>
      <c r="Q236" s="21">
        <f t="shared" si="34"/>
        <v>0</v>
      </c>
    </row>
    <row r="237" spans="1:17">
      <c r="A237" s="141"/>
      <c r="B237" s="143"/>
      <c r="C237" s="116" t="s">
        <v>55</v>
      </c>
      <c r="D237" s="89"/>
      <c r="E237" s="89"/>
      <c r="F237" s="89"/>
      <c r="G237" s="89"/>
      <c r="H237" s="89"/>
      <c r="I237" s="89"/>
      <c r="J237" s="89"/>
      <c r="K237" s="89"/>
      <c r="L237" s="89"/>
      <c r="M237" s="89"/>
      <c r="N237" s="89"/>
      <c r="O237" s="17"/>
      <c r="P237" s="28"/>
      <c r="Q237" s="20">
        <f t="shared" si="34"/>
        <v>0</v>
      </c>
    </row>
    <row r="238" spans="1:17">
      <c r="A238" s="141"/>
      <c r="B238" s="143"/>
      <c r="C238" s="116" t="s">
        <v>56</v>
      </c>
      <c r="D238" s="89"/>
      <c r="E238" s="89"/>
      <c r="F238" s="89"/>
      <c r="G238" s="89"/>
      <c r="H238" s="89"/>
      <c r="I238" s="89"/>
      <c r="J238" s="89"/>
      <c r="K238" s="89"/>
      <c r="L238" s="89"/>
      <c r="M238" s="89"/>
      <c r="N238" s="89"/>
      <c r="O238" s="17"/>
      <c r="P238" s="28"/>
      <c r="Q238" s="20">
        <f t="shared" si="34"/>
        <v>0</v>
      </c>
    </row>
    <row r="239" spans="1:17">
      <c r="A239" s="141"/>
      <c r="B239" s="143"/>
      <c r="C239" s="120" t="s">
        <v>61</v>
      </c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18"/>
      <c r="P239" s="33"/>
      <c r="Q239" s="22">
        <f t="shared" si="34"/>
        <v>0</v>
      </c>
    </row>
    <row r="240" spans="1:17">
      <c r="A240" s="141"/>
      <c r="B240" s="156" t="s">
        <v>54</v>
      </c>
      <c r="C240" s="157"/>
      <c r="D240" s="56">
        <f>SUM(D223:D230)-SUM(D234:D235)</f>
        <v>0</v>
      </c>
      <c r="E240" s="56">
        <f t="shared" ref="E240:O240" si="35">SUM(E223:E230)-SUM(E234:E235)</f>
        <v>0</v>
      </c>
      <c r="F240" s="56">
        <f t="shared" si="35"/>
        <v>0</v>
      </c>
      <c r="G240" s="56">
        <f>SUM(G223:G230)-SUM(G234:G235)</f>
        <v>0</v>
      </c>
      <c r="H240" s="56">
        <f t="shared" si="35"/>
        <v>0</v>
      </c>
      <c r="I240" s="56">
        <f t="shared" si="35"/>
        <v>0</v>
      </c>
      <c r="J240" s="56">
        <f t="shared" si="35"/>
        <v>0</v>
      </c>
      <c r="K240" s="56">
        <f t="shared" si="35"/>
        <v>0</v>
      </c>
      <c r="L240" s="56">
        <f t="shared" si="35"/>
        <v>0</v>
      </c>
      <c r="M240" s="56">
        <f t="shared" si="35"/>
        <v>0</v>
      </c>
      <c r="N240" s="56">
        <f t="shared" si="35"/>
        <v>0</v>
      </c>
      <c r="O240" s="57">
        <f t="shared" si="35"/>
        <v>0</v>
      </c>
      <c r="P240" s="60">
        <f>SUM(P223:P230)-SUM(P234:P235)</f>
        <v>0</v>
      </c>
      <c r="Q240" s="59">
        <f>SUM(D240:P240)</f>
        <v>0</v>
      </c>
    </row>
    <row r="241" spans="1:17" ht="14.25" thickBot="1">
      <c r="A241" s="142"/>
      <c r="B241" s="147" t="s">
        <v>5</v>
      </c>
      <c r="C241" s="148"/>
      <c r="D241" s="42">
        <f>SUM(D223:D230)-SUM(D231:D235)+SUM(D236:D239)</f>
        <v>0</v>
      </c>
      <c r="E241" s="42">
        <f>SUM(E223:E230)-SUM(E231:E235)+SUM(E236:E239)</f>
        <v>0</v>
      </c>
      <c r="F241" s="42">
        <f t="shared" ref="F241:O241" si="36">SUM(F223:F230)-SUM(F231:F235)+SUM(F236:F239)</f>
        <v>0</v>
      </c>
      <c r="G241" s="42">
        <f>SUM(G223:G230)-SUM(G231:G235)+SUM(G236:G239)</f>
        <v>0</v>
      </c>
      <c r="H241" s="42">
        <f t="shared" si="36"/>
        <v>0</v>
      </c>
      <c r="I241" s="42">
        <f t="shared" si="36"/>
        <v>0</v>
      </c>
      <c r="J241" s="42">
        <f t="shared" si="36"/>
        <v>0</v>
      </c>
      <c r="K241" s="42">
        <f t="shared" si="36"/>
        <v>0</v>
      </c>
      <c r="L241" s="42">
        <f t="shared" si="36"/>
        <v>0</v>
      </c>
      <c r="M241" s="42">
        <f t="shared" si="36"/>
        <v>0</v>
      </c>
      <c r="N241" s="42">
        <f t="shared" si="36"/>
        <v>0</v>
      </c>
      <c r="O241" s="43">
        <f t="shared" si="36"/>
        <v>0</v>
      </c>
      <c r="P241" s="44">
        <f>SUM(P223:P230)-SUM(P231:P235)+SUM(P236:P239)</f>
        <v>0</v>
      </c>
      <c r="Q241" s="46">
        <f t="shared" si="34"/>
        <v>0</v>
      </c>
    </row>
    <row r="242" spans="1:17">
      <c r="A242" s="140"/>
      <c r="B242" s="158" t="s">
        <v>12</v>
      </c>
      <c r="C242" s="114" t="s">
        <v>87</v>
      </c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78"/>
      <c r="P242" s="30"/>
      <c r="Q242" s="19">
        <f>SUM(D242:P242)</f>
        <v>0</v>
      </c>
    </row>
    <row r="243" spans="1:17">
      <c r="A243" s="141"/>
      <c r="B243" s="154"/>
      <c r="C243" s="115" t="s">
        <v>89</v>
      </c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1"/>
      <c r="P243" s="31"/>
      <c r="Q243" s="20">
        <f t="shared" ref="Q243:Q260" si="37">SUM(D243:P243)</f>
        <v>0</v>
      </c>
    </row>
    <row r="244" spans="1:17">
      <c r="A244" s="141"/>
      <c r="B244" s="143"/>
      <c r="C244" s="116" t="s">
        <v>88</v>
      </c>
      <c r="D244" s="89"/>
      <c r="E244" s="90"/>
      <c r="F244" s="90"/>
      <c r="G244" s="90"/>
      <c r="H244" s="89"/>
      <c r="I244" s="89"/>
      <c r="J244" s="89"/>
      <c r="K244" s="89"/>
      <c r="L244" s="89"/>
      <c r="M244" s="89"/>
      <c r="N244" s="89"/>
      <c r="O244" s="17"/>
      <c r="P244" s="28"/>
      <c r="Q244" s="20">
        <f t="shared" si="37"/>
        <v>0</v>
      </c>
    </row>
    <row r="245" spans="1:17">
      <c r="A245" s="141"/>
      <c r="B245" s="143"/>
      <c r="C245" s="117" t="s">
        <v>90</v>
      </c>
      <c r="D245" s="91"/>
      <c r="E245" s="89"/>
      <c r="F245" s="89"/>
      <c r="G245" s="91"/>
      <c r="H245" s="91"/>
      <c r="I245" s="91"/>
      <c r="J245" s="91"/>
      <c r="K245" s="91"/>
      <c r="L245" s="91"/>
      <c r="M245" s="91"/>
      <c r="N245" s="91"/>
      <c r="O245" s="80"/>
      <c r="P245" s="32"/>
      <c r="Q245" s="20">
        <f t="shared" si="37"/>
        <v>0</v>
      </c>
    </row>
    <row r="246" spans="1:17">
      <c r="A246" s="141"/>
      <c r="B246" s="143"/>
      <c r="C246" s="117" t="s">
        <v>91</v>
      </c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80"/>
      <c r="P246" s="32"/>
      <c r="Q246" s="20">
        <f t="shared" si="37"/>
        <v>0</v>
      </c>
    </row>
    <row r="247" spans="1:17">
      <c r="A247" s="141"/>
      <c r="B247" s="143"/>
      <c r="C247" s="117" t="s">
        <v>92</v>
      </c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80"/>
      <c r="P247" s="32"/>
      <c r="Q247" s="20">
        <f t="shared" si="37"/>
        <v>0</v>
      </c>
    </row>
    <row r="248" spans="1:17">
      <c r="A248" s="141"/>
      <c r="B248" s="143"/>
      <c r="C248" s="116" t="s">
        <v>93</v>
      </c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80"/>
      <c r="P248" s="32"/>
      <c r="Q248" s="20">
        <f t="shared" si="37"/>
        <v>0</v>
      </c>
    </row>
    <row r="249" spans="1:17">
      <c r="A249" s="141"/>
      <c r="B249" s="143"/>
      <c r="C249" s="118" t="s">
        <v>94</v>
      </c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18"/>
      <c r="P249" s="33"/>
      <c r="Q249" s="22">
        <f t="shared" si="37"/>
        <v>0</v>
      </c>
    </row>
    <row r="250" spans="1:17">
      <c r="A250" s="141"/>
      <c r="B250" s="143" t="s">
        <v>11</v>
      </c>
      <c r="C250" s="119" t="s">
        <v>7</v>
      </c>
      <c r="D250" s="93"/>
      <c r="E250" s="93"/>
      <c r="F250" s="93"/>
      <c r="G250" s="93"/>
      <c r="H250" s="93"/>
      <c r="I250" s="93"/>
      <c r="J250" s="93"/>
      <c r="K250" s="93"/>
      <c r="L250" s="94"/>
      <c r="M250" s="94"/>
      <c r="N250" s="94"/>
      <c r="O250" s="79"/>
      <c r="P250" s="27"/>
      <c r="Q250" s="21">
        <f t="shared" si="37"/>
        <v>0</v>
      </c>
    </row>
    <row r="251" spans="1:17">
      <c r="A251" s="141"/>
      <c r="B251" s="143"/>
      <c r="C251" s="117" t="s">
        <v>4</v>
      </c>
      <c r="D251" s="95"/>
      <c r="E251" s="95"/>
      <c r="F251" s="95"/>
      <c r="G251" s="95"/>
      <c r="H251" s="95"/>
      <c r="I251" s="95"/>
      <c r="J251" s="95"/>
      <c r="K251" s="95"/>
      <c r="L251" s="91"/>
      <c r="M251" s="91"/>
      <c r="N251" s="91"/>
      <c r="O251" s="80"/>
      <c r="P251" s="32"/>
      <c r="Q251" s="20">
        <f t="shared" si="37"/>
        <v>0</v>
      </c>
    </row>
    <row r="252" spans="1:17">
      <c r="A252" s="141"/>
      <c r="B252" s="143"/>
      <c r="C252" s="117" t="s">
        <v>17</v>
      </c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80"/>
      <c r="P252" s="32"/>
      <c r="Q252" s="20">
        <f t="shared" si="37"/>
        <v>0</v>
      </c>
    </row>
    <row r="253" spans="1:17">
      <c r="A253" s="141"/>
      <c r="B253" s="143"/>
      <c r="C253" s="117" t="s">
        <v>18</v>
      </c>
      <c r="D253" s="90"/>
      <c r="E253" s="90"/>
      <c r="F253" s="90"/>
      <c r="G253" s="90"/>
      <c r="H253" s="91"/>
      <c r="I253" s="91"/>
      <c r="J253" s="91"/>
      <c r="K253" s="91"/>
      <c r="L253" s="91"/>
      <c r="M253" s="91"/>
      <c r="N253" s="91"/>
      <c r="O253" s="80"/>
      <c r="P253" s="32"/>
      <c r="Q253" s="20">
        <f t="shared" si="37"/>
        <v>0</v>
      </c>
    </row>
    <row r="254" spans="1:17">
      <c r="A254" s="141"/>
      <c r="B254" s="143"/>
      <c r="C254" s="120" t="s">
        <v>19</v>
      </c>
      <c r="D254" s="96"/>
      <c r="E254" s="96"/>
      <c r="F254" s="96"/>
      <c r="G254" s="96"/>
      <c r="H254" s="92"/>
      <c r="I254" s="92"/>
      <c r="J254" s="92"/>
      <c r="K254" s="92"/>
      <c r="L254" s="92"/>
      <c r="M254" s="92"/>
      <c r="N254" s="92"/>
      <c r="O254" s="18"/>
      <c r="P254" s="33"/>
      <c r="Q254" s="22">
        <f t="shared" si="37"/>
        <v>0</v>
      </c>
    </row>
    <row r="255" spans="1:17">
      <c r="A255" s="141"/>
      <c r="B255" s="143" t="s">
        <v>13</v>
      </c>
      <c r="C255" s="119" t="s">
        <v>10</v>
      </c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79"/>
      <c r="P255" s="27"/>
      <c r="Q255" s="21">
        <f t="shared" si="37"/>
        <v>0</v>
      </c>
    </row>
    <row r="256" spans="1:17">
      <c r="A256" s="141"/>
      <c r="B256" s="143"/>
      <c r="C256" s="116" t="s">
        <v>55</v>
      </c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17"/>
      <c r="P256" s="28"/>
      <c r="Q256" s="20">
        <f t="shared" si="37"/>
        <v>0</v>
      </c>
    </row>
    <row r="257" spans="1:17">
      <c r="A257" s="141"/>
      <c r="B257" s="143"/>
      <c r="C257" s="116" t="s">
        <v>56</v>
      </c>
      <c r="D257" s="89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17"/>
      <c r="P257" s="28"/>
      <c r="Q257" s="20">
        <f t="shared" si="37"/>
        <v>0</v>
      </c>
    </row>
    <row r="258" spans="1:17">
      <c r="A258" s="141"/>
      <c r="B258" s="143"/>
      <c r="C258" s="120" t="s">
        <v>61</v>
      </c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18"/>
      <c r="P258" s="33"/>
      <c r="Q258" s="22">
        <f t="shared" si="37"/>
        <v>0</v>
      </c>
    </row>
    <row r="259" spans="1:17">
      <c r="A259" s="141"/>
      <c r="B259" s="156" t="s">
        <v>54</v>
      </c>
      <c r="C259" s="157"/>
      <c r="D259" s="56">
        <f>SUM(D242:D249)-SUM(D253:D254)</f>
        <v>0</v>
      </c>
      <c r="E259" s="56">
        <f t="shared" ref="E259:O259" si="38">SUM(E242:E249)-SUM(E253:E254)</f>
        <v>0</v>
      </c>
      <c r="F259" s="56">
        <f t="shared" si="38"/>
        <v>0</v>
      </c>
      <c r="G259" s="56">
        <f>SUM(G242:G249)-SUM(G253:G254)</f>
        <v>0</v>
      </c>
      <c r="H259" s="56">
        <f t="shared" si="38"/>
        <v>0</v>
      </c>
      <c r="I259" s="56">
        <f t="shared" si="38"/>
        <v>0</v>
      </c>
      <c r="J259" s="56">
        <f t="shared" si="38"/>
        <v>0</v>
      </c>
      <c r="K259" s="56">
        <f t="shared" si="38"/>
        <v>0</v>
      </c>
      <c r="L259" s="56">
        <f t="shared" si="38"/>
        <v>0</v>
      </c>
      <c r="M259" s="56">
        <f t="shared" si="38"/>
        <v>0</v>
      </c>
      <c r="N259" s="56">
        <f t="shared" si="38"/>
        <v>0</v>
      </c>
      <c r="O259" s="57">
        <f t="shared" si="38"/>
        <v>0</v>
      </c>
      <c r="P259" s="60">
        <f>SUM(P242:P249)-SUM(P253:P254)</f>
        <v>0</v>
      </c>
      <c r="Q259" s="59">
        <f>SUM(D259:P259)</f>
        <v>0</v>
      </c>
    </row>
    <row r="260" spans="1:17" ht="14.25" thickBot="1">
      <c r="A260" s="142"/>
      <c r="B260" s="147" t="s">
        <v>5</v>
      </c>
      <c r="C260" s="148"/>
      <c r="D260" s="42">
        <f>SUM(D242:D249)-SUM(D250:D254)+SUM(D255:D258)</f>
        <v>0</v>
      </c>
      <c r="E260" s="42">
        <f>SUM(E242:E249)-SUM(E250:E254)+SUM(E255:E258)</f>
        <v>0</v>
      </c>
      <c r="F260" s="42">
        <f t="shared" ref="F260:O260" si="39">SUM(F242:F249)-SUM(F250:F254)+SUM(F255:F258)</f>
        <v>0</v>
      </c>
      <c r="G260" s="42">
        <f>SUM(G242:G249)-SUM(G250:G254)+SUM(G255:G258)</f>
        <v>0</v>
      </c>
      <c r="H260" s="42">
        <f t="shared" si="39"/>
        <v>0</v>
      </c>
      <c r="I260" s="42">
        <f t="shared" si="39"/>
        <v>0</v>
      </c>
      <c r="J260" s="42">
        <f t="shared" si="39"/>
        <v>0</v>
      </c>
      <c r="K260" s="42">
        <f t="shared" si="39"/>
        <v>0</v>
      </c>
      <c r="L260" s="42">
        <f t="shared" si="39"/>
        <v>0</v>
      </c>
      <c r="M260" s="42">
        <f t="shared" si="39"/>
        <v>0</v>
      </c>
      <c r="N260" s="42">
        <f t="shared" si="39"/>
        <v>0</v>
      </c>
      <c r="O260" s="43">
        <f t="shared" si="39"/>
        <v>0</v>
      </c>
      <c r="P260" s="44">
        <f>SUM(P242:P249)-SUM(P250:P254)+SUM(P255:P258)</f>
        <v>0</v>
      </c>
      <c r="Q260" s="46">
        <f t="shared" si="37"/>
        <v>0</v>
      </c>
    </row>
    <row r="261" spans="1:17">
      <c r="A261" s="140"/>
      <c r="B261" s="158" t="s">
        <v>12</v>
      </c>
      <c r="C261" s="114" t="s">
        <v>87</v>
      </c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78"/>
      <c r="P261" s="30"/>
      <c r="Q261" s="19">
        <f>SUM(D261:P261)</f>
        <v>0</v>
      </c>
    </row>
    <row r="262" spans="1:17">
      <c r="A262" s="141"/>
      <c r="B262" s="154"/>
      <c r="C262" s="115" t="s">
        <v>89</v>
      </c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1"/>
      <c r="P262" s="31"/>
      <c r="Q262" s="20">
        <f t="shared" ref="Q262:Q279" si="40">SUM(D262:P262)</f>
        <v>0</v>
      </c>
    </row>
    <row r="263" spans="1:17">
      <c r="A263" s="141"/>
      <c r="B263" s="143"/>
      <c r="C263" s="116" t="s">
        <v>88</v>
      </c>
      <c r="D263" s="89"/>
      <c r="E263" s="90"/>
      <c r="F263" s="90"/>
      <c r="G263" s="90"/>
      <c r="H263" s="89"/>
      <c r="I263" s="89"/>
      <c r="J263" s="89"/>
      <c r="K263" s="89"/>
      <c r="L263" s="89"/>
      <c r="M263" s="89"/>
      <c r="N263" s="89"/>
      <c r="O263" s="17"/>
      <c r="P263" s="28"/>
      <c r="Q263" s="20">
        <f t="shared" si="40"/>
        <v>0</v>
      </c>
    </row>
    <row r="264" spans="1:17">
      <c r="A264" s="141"/>
      <c r="B264" s="143"/>
      <c r="C264" s="117" t="s">
        <v>90</v>
      </c>
      <c r="D264" s="91"/>
      <c r="E264" s="89"/>
      <c r="F264" s="89"/>
      <c r="G264" s="91"/>
      <c r="H264" s="91"/>
      <c r="I264" s="91"/>
      <c r="J264" s="91"/>
      <c r="K264" s="91"/>
      <c r="L264" s="91"/>
      <c r="M264" s="91"/>
      <c r="N264" s="91"/>
      <c r="O264" s="80"/>
      <c r="P264" s="32"/>
      <c r="Q264" s="20">
        <f t="shared" si="40"/>
        <v>0</v>
      </c>
    </row>
    <row r="265" spans="1:17">
      <c r="A265" s="141"/>
      <c r="B265" s="143"/>
      <c r="C265" s="117" t="s">
        <v>91</v>
      </c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80"/>
      <c r="P265" s="32"/>
      <c r="Q265" s="20">
        <f t="shared" si="40"/>
        <v>0</v>
      </c>
    </row>
    <row r="266" spans="1:17">
      <c r="A266" s="141"/>
      <c r="B266" s="143"/>
      <c r="C266" s="117" t="s">
        <v>92</v>
      </c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80"/>
      <c r="P266" s="32"/>
      <c r="Q266" s="20">
        <f t="shared" si="40"/>
        <v>0</v>
      </c>
    </row>
    <row r="267" spans="1:17">
      <c r="A267" s="141"/>
      <c r="B267" s="143"/>
      <c r="C267" s="116" t="s">
        <v>93</v>
      </c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80"/>
      <c r="P267" s="32"/>
      <c r="Q267" s="20">
        <f t="shared" si="40"/>
        <v>0</v>
      </c>
    </row>
    <row r="268" spans="1:17">
      <c r="A268" s="141"/>
      <c r="B268" s="143"/>
      <c r="C268" s="118" t="s">
        <v>94</v>
      </c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18"/>
      <c r="P268" s="33"/>
      <c r="Q268" s="22">
        <f t="shared" si="40"/>
        <v>0</v>
      </c>
    </row>
    <row r="269" spans="1:17">
      <c r="A269" s="141"/>
      <c r="B269" s="143" t="s">
        <v>11</v>
      </c>
      <c r="C269" s="119" t="s">
        <v>7</v>
      </c>
      <c r="D269" s="93"/>
      <c r="E269" s="93"/>
      <c r="F269" s="93"/>
      <c r="G269" s="93"/>
      <c r="H269" s="93"/>
      <c r="I269" s="93"/>
      <c r="J269" s="93"/>
      <c r="K269" s="93"/>
      <c r="L269" s="94"/>
      <c r="M269" s="94"/>
      <c r="N269" s="94"/>
      <c r="O269" s="79"/>
      <c r="P269" s="27"/>
      <c r="Q269" s="21">
        <f t="shared" si="40"/>
        <v>0</v>
      </c>
    </row>
    <row r="270" spans="1:17">
      <c r="A270" s="141"/>
      <c r="B270" s="143"/>
      <c r="C270" s="117" t="s">
        <v>4</v>
      </c>
      <c r="D270" s="95"/>
      <c r="E270" s="95"/>
      <c r="F270" s="95"/>
      <c r="G270" s="95"/>
      <c r="H270" s="95"/>
      <c r="I270" s="95"/>
      <c r="J270" s="95"/>
      <c r="K270" s="95"/>
      <c r="L270" s="91"/>
      <c r="M270" s="91"/>
      <c r="N270" s="91"/>
      <c r="O270" s="80"/>
      <c r="P270" s="32"/>
      <c r="Q270" s="20">
        <f t="shared" si="40"/>
        <v>0</v>
      </c>
    </row>
    <row r="271" spans="1:17">
      <c r="A271" s="141"/>
      <c r="B271" s="143"/>
      <c r="C271" s="117" t="s">
        <v>17</v>
      </c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80"/>
      <c r="P271" s="32"/>
      <c r="Q271" s="20">
        <f t="shared" si="40"/>
        <v>0</v>
      </c>
    </row>
    <row r="272" spans="1:17">
      <c r="A272" s="141"/>
      <c r="B272" s="143"/>
      <c r="C272" s="117" t="s">
        <v>18</v>
      </c>
      <c r="D272" s="90"/>
      <c r="E272" s="90"/>
      <c r="F272" s="90"/>
      <c r="G272" s="90"/>
      <c r="H272" s="91"/>
      <c r="I272" s="91"/>
      <c r="J272" s="91"/>
      <c r="K272" s="91"/>
      <c r="L272" s="91"/>
      <c r="M272" s="91"/>
      <c r="N272" s="91"/>
      <c r="O272" s="80"/>
      <c r="P272" s="32"/>
      <c r="Q272" s="20">
        <f t="shared" si="40"/>
        <v>0</v>
      </c>
    </row>
    <row r="273" spans="1:17">
      <c r="A273" s="141"/>
      <c r="B273" s="143"/>
      <c r="C273" s="120" t="s">
        <v>19</v>
      </c>
      <c r="D273" s="96"/>
      <c r="E273" s="96"/>
      <c r="F273" s="96"/>
      <c r="G273" s="96"/>
      <c r="H273" s="92"/>
      <c r="I273" s="92"/>
      <c r="J273" s="92"/>
      <c r="K273" s="92"/>
      <c r="L273" s="92"/>
      <c r="M273" s="92"/>
      <c r="N273" s="92"/>
      <c r="O273" s="18"/>
      <c r="P273" s="33"/>
      <c r="Q273" s="22">
        <f t="shared" si="40"/>
        <v>0</v>
      </c>
    </row>
    <row r="274" spans="1:17">
      <c r="A274" s="141"/>
      <c r="B274" s="143" t="s">
        <v>13</v>
      </c>
      <c r="C274" s="119" t="s">
        <v>10</v>
      </c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79"/>
      <c r="P274" s="27"/>
      <c r="Q274" s="21">
        <f t="shared" si="40"/>
        <v>0</v>
      </c>
    </row>
    <row r="275" spans="1:17">
      <c r="A275" s="141"/>
      <c r="B275" s="143"/>
      <c r="C275" s="116" t="s">
        <v>55</v>
      </c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17"/>
      <c r="P275" s="28"/>
      <c r="Q275" s="20">
        <f t="shared" si="40"/>
        <v>0</v>
      </c>
    </row>
    <row r="276" spans="1:17">
      <c r="A276" s="141"/>
      <c r="B276" s="143"/>
      <c r="C276" s="116" t="s">
        <v>56</v>
      </c>
      <c r="D276" s="89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17"/>
      <c r="P276" s="28"/>
      <c r="Q276" s="20">
        <f t="shared" si="40"/>
        <v>0</v>
      </c>
    </row>
    <row r="277" spans="1:17">
      <c r="A277" s="141"/>
      <c r="B277" s="143"/>
      <c r="C277" s="120" t="s">
        <v>61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18"/>
      <c r="P277" s="33"/>
      <c r="Q277" s="22">
        <f t="shared" si="40"/>
        <v>0</v>
      </c>
    </row>
    <row r="278" spans="1:17">
      <c r="A278" s="141"/>
      <c r="B278" s="156" t="s">
        <v>54</v>
      </c>
      <c r="C278" s="157"/>
      <c r="D278" s="56">
        <f>SUM(D261:D268)-SUM(D272:D273)</f>
        <v>0</v>
      </c>
      <c r="E278" s="56">
        <f t="shared" ref="E278:O278" si="41">SUM(E261:E268)-SUM(E272:E273)</f>
        <v>0</v>
      </c>
      <c r="F278" s="56">
        <f t="shared" si="41"/>
        <v>0</v>
      </c>
      <c r="G278" s="56">
        <f>SUM(G261:G268)-SUM(G272:G273)</f>
        <v>0</v>
      </c>
      <c r="H278" s="56">
        <f t="shared" si="41"/>
        <v>0</v>
      </c>
      <c r="I278" s="56">
        <f t="shared" si="41"/>
        <v>0</v>
      </c>
      <c r="J278" s="56">
        <f t="shared" si="41"/>
        <v>0</v>
      </c>
      <c r="K278" s="56">
        <f t="shared" si="41"/>
        <v>0</v>
      </c>
      <c r="L278" s="56">
        <f t="shared" si="41"/>
        <v>0</v>
      </c>
      <c r="M278" s="56">
        <f t="shared" si="41"/>
        <v>0</v>
      </c>
      <c r="N278" s="56">
        <f t="shared" si="41"/>
        <v>0</v>
      </c>
      <c r="O278" s="57">
        <f t="shared" si="41"/>
        <v>0</v>
      </c>
      <c r="P278" s="60">
        <f>SUM(P261:P268)-SUM(P272:P273)</f>
        <v>0</v>
      </c>
      <c r="Q278" s="59">
        <f>SUM(D278:P278)</f>
        <v>0</v>
      </c>
    </row>
    <row r="279" spans="1:17" ht="14.25" thickBot="1">
      <c r="A279" s="142"/>
      <c r="B279" s="147" t="s">
        <v>5</v>
      </c>
      <c r="C279" s="148"/>
      <c r="D279" s="42">
        <f>SUM(D261:D268)-SUM(D269:D273)+SUM(D274:D277)</f>
        <v>0</v>
      </c>
      <c r="E279" s="42">
        <f>SUM(E261:E268)-SUM(E269:E273)+SUM(E274:E277)</f>
        <v>0</v>
      </c>
      <c r="F279" s="42">
        <f t="shared" ref="F279:O279" si="42">SUM(F261:F268)-SUM(F269:F273)+SUM(F274:F277)</f>
        <v>0</v>
      </c>
      <c r="G279" s="42">
        <f>SUM(G261:G268)-SUM(G269:G273)+SUM(G274:G277)</f>
        <v>0</v>
      </c>
      <c r="H279" s="42">
        <f t="shared" si="42"/>
        <v>0</v>
      </c>
      <c r="I279" s="42">
        <f t="shared" si="42"/>
        <v>0</v>
      </c>
      <c r="J279" s="42">
        <f t="shared" si="42"/>
        <v>0</v>
      </c>
      <c r="K279" s="42">
        <f t="shared" si="42"/>
        <v>0</v>
      </c>
      <c r="L279" s="42">
        <f t="shared" si="42"/>
        <v>0</v>
      </c>
      <c r="M279" s="42">
        <f t="shared" si="42"/>
        <v>0</v>
      </c>
      <c r="N279" s="42">
        <f t="shared" si="42"/>
        <v>0</v>
      </c>
      <c r="O279" s="43">
        <f t="shared" si="42"/>
        <v>0</v>
      </c>
      <c r="P279" s="44">
        <f>SUM(P261:P268)-SUM(P269:P273)+SUM(P274:P277)</f>
        <v>0</v>
      </c>
      <c r="Q279" s="46">
        <f t="shared" si="40"/>
        <v>0</v>
      </c>
    </row>
    <row r="280" spans="1:17">
      <c r="A280" s="140"/>
      <c r="B280" s="158" t="s">
        <v>12</v>
      </c>
      <c r="C280" s="114" t="s">
        <v>87</v>
      </c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78"/>
      <c r="P280" s="30"/>
      <c r="Q280" s="19">
        <f>SUM(D280:P280)</f>
        <v>0</v>
      </c>
    </row>
    <row r="281" spans="1:17">
      <c r="A281" s="141"/>
      <c r="B281" s="154"/>
      <c r="C281" s="115" t="s">
        <v>89</v>
      </c>
      <c r="D281" s="88"/>
      <c r="E281" s="88"/>
      <c r="F281" s="88"/>
      <c r="G281" s="88"/>
      <c r="H281" s="88"/>
      <c r="I281" s="88"/>
      <c r="J281" s="88"/>
      <c r="K281" s="88"/>
      <c r="L281" s="88"/>
      <c r="M281" s="88"/>
      <c r="N281" s="88"/>
      <c r="O281" s="81"/>
      <c r="P281" s="31"/>
      <c r="Q281" s="20">
        <f t="shared" ref="Q281:Q298" si="43">SUM(D281:P281)</f>
        <v>0</v>
      </c>
    </row>
    <row r="282" spans="1:17">
      <c r="A282" s="141"/>
      <c r="B282" s="143"/>
      <c r="C282" s="116" t="s">
        <v>88</v>
      </c>
      <c r="D282" s="89"/>
      <c r="E282" s="90"/>
      <c r="F282" s="90"/>
      <c r="G282" s="90"/>
      <c r="H282" s="89"/>
      <c r="I282" s="89"/>
      <c r="J282" s="89"/>
      <c r="K282" s="89"/>
      <c r="L282" s="89"/>
      <c r="M282" s="89"/>
      <c r="N282" s="89"/>
      <c r="O282" s="17"/>
      <c r="P282" s="28"/>
      <c r="Q282" s="20">
        <f t="shared" si="43"/>
        <v>0</v>
      </c>
    </row>
    <row r="283" spans="1:17">
      <c r="A283" s="141"/>
      <c r="B283" s="143"/>
      <c r="C283" s="117" t="s">
        <v>90</v>
      </c>
      <c r="D283" s="91"/>
      <c r="E283" s="89"/>
      <c r="F283" s="89"/>
      <c r="G283" s="91"/>
      <c r="H283" s="91"/>
      <c r="I283" s="91"/>
      <c r="J283" s="91"/>
      <c r="K283" s="91"/>
      <c r="L283" s="91"/>
      <c r="M283" s="91"/>
      <c r="N283" s="91"/>
      <c r="O283" s="80"/>
      <c r="P283" s="32"/>
      <c r="Q283" s="20">
        <f t="shared" si="43"/>
        <v>0</v>
      </c>
    </row>
    <row r="284" spans="1:17">
      <c r="A284" s="141"/>
      <c r="B284" s="143"/>
      <c r="C284" s="117" t="s">
        <v>91</v>
      </c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80"/>
      <c r="P284" s="32"/>
      <c r="Q284" s="20">
        <f t="shared" si="43"/>
        <v>0</v>
      </c>
    </row>
    <row r="285" spans="1:17">
      <c r="A285" s="141"/>
      <c r="B285" s="143"/>
      <c r="C285" s="117" t="s">
        <v>92</v>
      </c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80"/>
      <c r="P285" s="32"/>
      <c r="Q285" s="20">
        <f t="shared" si="43"/>
        <v>0</v>
      </c>
    </row>
    <row r="286" spans="1:17">
      <c r="A286" s="141"/>
      <c r="B286" s="143"/>
      <c r="C286" s="116" t="s">
        <v>93</v>
      </c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80"/>
      <c r="P286" s="32"/>
      <c r="Q286" s="20">
        <f t="shared" si="43"/>
        <v>0</v>
      </c>
    </row>
    <row r="287" spans="1:17">
      <c r="A287" s="141"/>
      <c r="B287" s="143"/>
      <c r="C287" s="118" t="s">
        <v>94</v>
      </c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18"/>
      <c r="P287" s="33"/>
      <c r="Q287" s="22">
        <f t="shared" si="43"/>
        <v>0</v>
      </c>
    </row>
    <row r="288" spans="1:17">
      <c r="A288" s="141"/>
      <c r="B288" s="143" t="s">
        <v>11</v>
      </c>
      <c r="C288" s="119" t="s">
        <v>7</v>
      </c>
      <c r="D288" s="93"/>
      <c r="E288" s="93"/>
      <c r="F288" s="93"/>
      <c r="G288" s="93"/>
      <c r="H288" s="93"/>
      <c r="I288" s="93"/>
      <c r="J288" s="93"/>
      <c r="K288" s="93"/>
      <c r="L288" s="94"/>
      <c r="M288" s="94"/>
      <c r="N288" s="94"/>
      <c r="O288" s="79"/>
      <c r="P288" s="27"/>
      <c r="Q288" s="21">
        <f t="shared" si="43"/>
        <v>0</v>
      </c>
    </row>
    <row r="289" spans="1:17">
      <c r="A289" s="141"/>
      <c r="B289" s="143"/>
      <c r="C289" s="117" t="s">
        <v>4</v>
      </c>
      <c r="D289" s="95"/>
      <c r="E289" s="95"/>
      <c r="F289" s="95"/>
      <c r="G289" s="95"/>
      <c r="H289" s="95"/>
      <c r="I289" s="95"/>
      <c r="J289" s="95"/>
      <c r="K289" s="95"/>
      <c r="L289" s="91"/>
      <c r="M289" s="91"/>
      <c r="N289" s="91"/>
      <c r="O289" s="80"/>
      <c r="P289" s="32"/>
      <c r="Q289" s="20">
        <f t="shared" si="43"/>
        <v>0</v>
      </c>
    </row>
    <row r="290" spans="1:17">
      <c r="A290" s="141"/>
      <c r="B290" s="143"/>
      <c r="C290" s="117" t="s">
        <v>17</v>
      </c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80"/>
      <c r="P290" s="32"/>
      <c r="Q290" s="20">
        <f t="shared" si="43"/>
        <v>0</v>
      </c>
    </row>
    <row r="291" spans="1:17">
      <c r="A291" s="141"/>
      <c r="B291" s="143"/>
      <c r="C291" s="117" t="s">
        <v>18</v>
      </c>
      <c r="D291" s="90"/>
      <c r="E291" s="90"/>
      <c r="F291" s="90"/>
      <c r="G291" s="90"/>
      <c r="H291" s="91"/>
      <c r="I291" s="91"/>
      <c r="J291" s="91"/>
      <c r="K291" s="91"/>
      <c r="L291" s="91"/>
      <c r="M291" s="91"/>
      <c r="N291" s="91"/>
      <c r="O291" s="80"/>
      <c r="P291" s="32"/>
      <c r="Q291" s="20">
        <f t="shared" si="43"/>
        <v>0</v>
      </c>
    </row>
    <row r="292" spans="1:17">
      <c r="A292" s="141"/>
      <c r="B292" s="143"/>
      <c r="C292" s="120" t="s">
        <v>19</v>
      </c>
      <c r="D292" s="96"/>
      <c r="E292" s="96"/>
      <c r="F292" s="96"/>
      <c r="G292" s="96"/>
      <c r="H292" s="92"/>
      <c r="I292" s="92"/>
      <c r="J292" s="92"/>
      <c r="K292" s="92"/>
      <c r="L292" s="92"/>
      <c r="M292" s="92"/>
      <c r="N292" s="92"/>
      <c r="O292" s="18"/>
      <c r="P292" s="33"/>
      <c r="Q292" s="22">
        <f t="shared" si="43"/>
        <v>0</v>
      </c>
    </row>
    <row r="293" spans="1:17">
      <c r="A293" s="141"/>
      <c r="B293" s="143" t="s">
        <v>13</v>
      </c>
      <c r="C293" s="119" t="s">
        <v>10</v>
      </c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79"/>
      <c r="P293" s="27"/>
      <c r="Q293" s="21">
        <f t="shared" si="43"/>
        <v>0</v>
      </c>
    </row>
    <row r="294" spans="1:17">
      <c r="A294" s="141"/>
      <c r="B294" s="143"/>
      <c r="C294" s="116" t="s">
        <v>55</v>
      </c>
      <c r="D294" s="89"/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17"/>
      <c r="P294" s="28"/>
      <c r="Q294" s="20">
        <f t="shared" si="43"/>
        <v>0</v>
      </c>
    </row>
    <row r="295" spans="1:17">
      <c r="A295" s="141"/>
      <c r="B295" s="143"/>
      <c r="C295" s="116" t="s">
        <v>56</v>
      </c>
      <c r="D295" s="89"/>
      <c r="E295" s="89"/>
      <c r="F295" s="89"/>
      <c r="G295" s="89"/>
      <c r="H295" s="89"/>
      <c r="I295" s="89"/>
      <c r="J295" s="89"/>
      <c r="K295" s="89"/>
      <c r="L295" s="89"/>
      <c r="M295" s="89"/>
      <c r="N295" s="89"/>
      <c r="O295" s="17"/>
      <c r="P295" s="28"/>
      <c r="Q295" s="20">
        <f t="shared" si="43"/>
        <v>0</v>
      </c>
    </row>
    <row r="296" spans="1:17">
      <c r="A296" s="141"/>
      <c r="B296" s="143"/>
      <c r="C296" s="120" t="s">
        <v>61</v>
      </c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18"/>
      <c r="P296" s="33"/>
      <c r="Q296" s="22">
        <f t="shared" si="43"/>
        <v>0</v>
      </c>
    </row>
    <row r="297" spans="1:17">
      <c r="A297" s="141"/>
      <c r="B297" s="156" t="s">
        <v>54</v>
      </c>
      <c r="C297" s="157"/>
      <c r="D297" s="56">
        <f>SUM(D280:D287)-SUM(D291:D292)</f>
        <v>0</v>
      </c>
      <c r="E297" s="56">
        <f t="shared" ref="E297:O297" si="44">SUM(E280:E287)-SUM(E291:E292)</f>
        <v>0</v>
      </c>
      <c r="F297" s="56">
        <f t="shared" si="44"/>
        <v>0</v>
      </c>
      <c r="G297" s="56">
        <f>SUM(G280:G287)-SUM(G291:G292)</f>
        <v>0</v>
      </c>
      <c r="H297" s="56">
        <f t="shared" si="44"/>
        <v>0</v>
      </c>
      <c r="I297" s="56">
        <f t="shared" si="44"/>
        <v>0</v>
      </c>
      <c r="J297" s="56">
        <f t="shared" si="44"/>
        <v>0</v>
      </c>
      <c r="K297" s="56">
        <f t="shared" si="44"/>
        <v>0</v>
      </c>
      <c r="L297" s="56">
        <f t="shared" si="44"/>
        <v>0</v>
      </c>
      <c r="M297" s="56">
        <f t="shared" si="44"/>
        <v>0</v>
      </c>
      <c r="N297" s="56">
        <f t="shared" si="44"/>
        <v>0</v>
      </c>
      <c r="O297" s="57">
        <f t="shared" si="44"/>
        <v>0</v>
      </c>
      <c r="P297" s="60">
        <f>SUM(P280:P287)-SUM(P291:P292)</f>
        <v>0</v>
      </c>
      <c r="Q297" s="59">
        <f>SUM(D297:P297)</f>
        <v>0</v>
      </c>
    </row>
    <row r="298" spans="1:17" ht="14.25" thickBot="1">
      <c r="A298" s="142"/>
      <c r="B298" s="147" t="s">
        <v>5</v>
      </c>
      <c r="C298" s="148"/>
      <c r="D298" s="42">
        <f>SUM(D280:D287)-SUM(D288:D292)+SUM(D293:D296)</f>
        <v>0</v>
      </c>
      <c r="E298" s="42">
        <f>SUM(E280:E287)-SUM(E288:E292)+SUM(E293:E296)</f>
        <v>0</v>
      </c>
      <c r="F298" s="42">
        <f t="shared" ref="F298:O298" si="45">SUM(F280:F287)-SUM(F288:F292)+SUM(F293:F296)</f>
        <v>0</v>
      </c>
      <c r="G298" s="42">
        <f>SUM(G280:G287)-SUM(G288:G292)+SUM(G293:G296)</f>
        <v>0</v>
      </c>
      <c r="H298" s="42">
        <f t="shared" si="45"/>
        <v>0</v>
      </c>
      <c r="I298" s="42">
        <f t="shared" si="45"/>
        <v>0</v>
      </c>
      <c r="J298" s="42">
        <f t="shared" si="45"/>
        <v>0</v>
      </c>
      <c r="K298" s="42">
        <f t="shared" si="45"/>
        <v>0</v>
      </c>
      <c r="L298" s="42">
        <f t="shared" si="45"/>
        <v>0</v>
      </c>
      <c r="M298" s="42">
        <f t="shared" si="45"/>
        <v>0</v>
      </c>
      <c r="N298" s="42">
        <f t="shared" si="45"/>
        <v>0</v>
      </c>
      <c r="O298" s="43">
        <f t="shared" si="45"/>
        <v>0</v>
      </c>
      <c r="P298" s="44">
        <f>SUM(P280:P287)-SUM(P288:P292)+SUM(P293:P296)</f>
        <v>0</v>
      </c>
      <c r="Q298" s="46">
        <f t="shared" si="43"/>
        <v>0</v>
      </c>
    </row>
    <row r="299" spans="1:17">
      <c r="A299" s="140"/>
      <c r="B299" s="158" t="s">
        <v>12</v>
      </c>
      <c r="C299" s="114" t="s">
        <v>87</v>
      </c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78"/>
      <c r="P299" s="30"/>
      <c r="Q299" s="19">
        <f>SUM(D299:P299)</f>
        <v>0</v>
      </c>
    </row>
    <row r="300" spans="1:17">
      <c r="A300" s="141"/>
      <c r="B300" s="154"/>
      <c r="C300" s="115" t="s">
        <v>89</v>
      </c>
      <c r="D300" s="88"/>
      <c r="E300" s="88"/>
      <c r="F300" s="88"/>
      <c r="G300" s="88"/>
      <c r="H300" s="88"/>
      <c r="I300" s="88"/>
      <c r="J300" s="88"/>
      <c r="K300" s="88"/>
      <c r="L300" s="88"/>
      <c r="M300" s="88"/>
      <c r="N300" s="88"/>
      <c r="O300" s="81"/>
      <c r="P300" s="31"/>
      <c r="Q300" s="20">
        <f t="shared" ref="Q300:Q317" si="46">SUM(D300:P300)</f>
        <v>0</v>
      </c>
    </row>
    <row r="301" spans="1:17">
      <c r="A301" s="141"/>
      <c r="B301" s="143"/>
      <c r="C301" s="116" t="s">
        <v>88</v>
      </c>
      <c r="D301" s="89"/>
      <c r="E301" s="90"/>
      <c r="F301" s="90"/>
      <c r="G301" s="90"/>
      <c r="H301" s="89"/>
      <c r="I301" s="89"/>
      <c r="J301" s="89"/>
      <c r="K301" s="89"/>
      <c r="L301" s="89"/>
      <c r="M301" s="89"/>
      <c r="N301" s="89"/>
      <c r="O301" s="17"/>
      <c r="P301" s="28"/>
      <c r="Q301" s="20">
        <f t="shared" si="46"/>
        <v>0</v>
      </c>
    </row>
    <row r="302" spans="1:17">
      <c r="A302" s="141"/>
      <c r="B302" s="143"/>
      <c r="C302" s="117" t="s">
        <v>90</v>
      </c>
      <c r="D302" s="91"/>
      <c r="E302" s="89"/>
      <c r="F302" s="89"/>
      <c r="G302" s="91"/>
      <c r="H302" s="91"/>
      <c r="I302" s="91"/>
      <c r="J302" s="91"/>
      <c r="K302" s="91"/>
      <c r="L302" s="91"/>
      <c r="M302" s="91"/>
      <c r="N302" s="91"/>
      <c r="O302" s="80"/>
      <c r="P302" s="32"/>
      <c r="Q302" s="20">
        <f t="shared" si="46"/>
        <v>0</v>
      </c>
    </row>
    <row r="303" spans="1:17">
      <c r="A303" s="141"/>
      <c r="B303" s="143"/>
      <c r="C303" s="117" t="s">
        <v>91</v>
      </c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80"/>
      <c r="P303" s="32"/>
      <c r="Q303" s="20">
        <f t="shared" si="46"/>
        <v>0</v>
      </c>
    </row>
    <row r="304" spans="1:17">
      <c r="A304" s="141"/>
      <c r="B304" s="143"/>
      <c r="C304" s="117" t="s">
        <v>92</v>
      </c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80"/>
      <c r="P304" s="32"/>
      <c r="Q304" s="20">
        <f t="shared" si="46"/>
        <v>0</v>
      </c>
    </row>
    <row r="305" spans="1:17">
      <c r="A305" s="141"/>
      <c r="B305" s="143"/>
      <c r="C305" s="116" t="s">
        <v>93</v>
      </c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80"/>
      <c r="P305" s="32"/>
      <c r="Q305" s="20">
        <f t="shared" si="46"/>
        <v>0</v>
      </c>
    </row>
    <row r="306" spans="1:17">
      <c r="A306" s="141"/>
      <c r="B306" s="143"/>
      <c r="C306" s="118" t="s">
        <v>94</v>
      </c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18"/>
      <c r="P306" s="33"/>
      <c r="Q306" s="22">
        <f t="shared" si="46"/>
        <v>0</v>
      </c>
    </row>
    <row r="307" spans="1:17">
      <c r="A307" s="141"/>
      <c r="B307" s="143" t="s">
        <v>11</v>
      </c>
      <c r="C307" s="119" t="s">
        <v>7</v>
      </c>
      <c r="D307" s="93"/>
      <c r="E307" s="93"/>
      <c r="F307" s="93"/>
      <c r="G307" s="93"/>
      <c r="H307" s="93"/>
      <c r="I307" s="93"/>
      <c r="J307" s="93"/>
      <c r="K307" s="93"/>
      <c r="L307" s="94"/>
      <c r="M307" s="94"/>
      <c r="N307" s="94"/>
      <c r="O307" s="79"/>
      <c r="P307" s="27"/>
      <c r="Q307" s="21">
        <f t="shared" si="46"/>
        <v>0</v>
      </c>
    </row>
    <row r="308" spans="1:17">
      <c r="A308" s="141"/>
      <c r="B308" s="143"/>
      <c r="C308" s="117" t="s">
        <v>4</v>
      </c>
      <c r="D308" s="95"/>
      <c r="E308" s="95"/>
      <c r="F308" s="95"/>
      <c r="G308" s="95"/>
      <c r="H308" s="95"/>
      <c r="I308" s="95"/>
      <c r="J308" s="95"/>
      <c r="K308" s="95"/>
      <c r="L308" s="91"/>
      <c r="M308" s="91"/>
      <c r="N308" s="91"/>
      <c r="O308" s="80"/>
      <c r="P308" s="32"/>
      <c r="Q308" s="20">
        <f t="shared" si="46"/>
        <v>0</v>
      </c>
    </row>
    <row r="309" spans="1:17">
      <c r="A309" s="141"/>
      <c r="B309" s="143"/>
      <c r="C309" s="117" t="s">
        <v>17</v>
      </c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80"/>
      <c r="P309" s="32"/>
      <c r="Q309" s="20">
        <f t="shared" si="46"/>
        <v>0</v>
      </c>
    </row>
    <row r="310" spans="1:17">
      <c r="A310" s="141"/>
      <c r="B310" s="143"/>
      <c r="C310" s="117" t="s">
        <v>18</v>
      </c>
      <c r="D310" s="90"/>
      <c r="E310" s="90"/>
      <c r="F310" s="90"/>
      <c r="G310" s="90"/>
      <c r="H310" s="91"/>
      <c r="I310" s="91"/>
      <c r="J310" s="91"/>
      <c r="K310" s="91"/>
      <c r="L310" s="91"/>
      <c r="M310" s="91"/>
      <c r="N310" s="91"/>
      <c r="O310" s="80"/>
      <c r="P310" s="32"/>
      <c r="Q310" s="20">
        <f t="shared" si="46"/>
        <v>0</v>
      </c>
    </row>
    <row r="311" spans="1:17">
      <c r="A311" s="141"/>
      <c r="B311" s="143"/>
      <c r="C311" s="120" t="s">
        <v>19</v>
      </c>
      <c r="D311" s="96"/>
      <c r="E311" s="96"/>
      <c r="F311" s="96"/>
      <c r="G311" s="96"/>
      <c r="H311" s="92"/>
      <c r="I311" s="92"/>
      <c r="J311" s="92"/>
      <c r="K311" s="92"/>
      <c r="L311" s="92"/>
      <c r="M311" s="92"/>
      <c r="N311" s="92"/>
      <c r="O311" s="18"/>
      <c r="P311" s="33"/>
      <c r="Q311" s="22">
        <f t="shared" si="46"/>
        <v>0</v>
      </c>
    </row>
    <row r="312" spans="1:17">
      <c r="A312" s="141"/>
      <c r="B312" s="143" t="s">
        <v>13</v>
      </c>
      <c r="C312" s="119" t="s">
        <v>10</v>
      </c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79"/>
      <c r="P312" s="27"/>
      <c r="Q312" s="21">
        <f t="shared" si="46"/>
        <v>0</v>
      </c>
    </row>
    <row r="313" spans="1:17">
      <c r="A313" s="141"/>
      <c r="B313" s="143"/>
      <c r="C313" s="116" t="s">
        <v>55</v>
      </c>
      <c r="D313" s="89"/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17"/>
      <c r="P313" s="28"/>
      <c r="Q313" s="20">
        <f t="shared" si="46"/>
        <v>0</v>
      </c>
    </row>
    <row r="314" spans="1:17">
      <c r="A314" s="141"/>
      <c r="B314" s="143"/>
      <c r="C314" s="116" t="s">
        <v>56</v>
      </c>
      <c r="D314" s="89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17"/>
      <c r="P314" s="28"/>
      <c r="Q314" s="20">
        <f t="shared" si="46"/>
        <v>0</v>
      </c>
    </row>
    <row r="315" spans="1:17">
      <c r="A315" s="141"/>
      <c r="B315" s="143"/>
      <c r="C315" s="120" t="s">
        <v>61</v>
      </c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18"/>
      <c r="P315" s="33"/>
      <c r="Q315" s="22">
        <f t="shared" si="46"/>
        <v>0</v>
      </c>
    </row>
    <row r="316" spans="1:17">
      <c r="A316" s="141"/>
      <c r="B316" s="156" t="s">
        <v>54</v>
      </c>
      <c r="C316" s="157"/>
      <c r="D316" s="56">
        <f>SUM(D299:D306)-SUM(D310:D311)</f>
        <v>0</v>
      </c>
      <c r="E316" s="56">
        <f t="shared" ref="E316:O316" si="47">SUM(E299:E306)-SUM(E310:E311)</f>
        <v>0</v>
      </c>
      <c r="F316" s="56">
        <f t="shared" si="47"/>
        <v>0</v>
      </c>
      <c r="G316" s="56">
        <f>SUM(G299:G306)-SUM(G310:G311)</f>
        <v>0</v>
      </c>
      <c r="H316" s="56">
        <f t="shared" si="47"/>
        <v>0</v>
      </c>
      <c r="I316" s="56">
        <f t="shared" si="47"/>
        <v>0</v>
      </c>
      <c r="J316" s="56">
        <f t="shared" si="47"/>
        <v>0</v>
      </c>
      <c r="K316" s="56">
        <f t="shared" si="47"/>
        <v>0</v>
      </c>
      <c r="L316" s="56">
        <f t="shared" si="47"/>
        <v>0</v>
      </c>
      <c r="M316" s="56">
        <f t="shared" si="47"/>
        <v>0</v>
      </c>
      <c r="N316" s="56">
        <f t="shared" si="47"/>
        <v>0</v>
      </c>
      <c r="O316" s="57">
        <f t="shared" si="47"/>
        <v>0</v>
      </c>
      <c r="P316" s="60">
        <f>SUM(P299:P306)-SUM(P310:P311)</f>
        <v>0</v>
      </c>
      <c r="Q316" s="59">
        <f>SUM(D316:P316)</f>
        <v>0</v>
      </c>
    </row>
    <row r="317" spans="1:17" ht="14.25" thickBot="1">
      <c r="A317" s="142"/>
      <c r="B317" s="147" t="s">
        <v>5</v>
      </c>
      <c r="C317" s="148"/>
      <c r="D317" s="42">
        <f>SUM(D299:D306)-SUM(D307:D311)+SUM(D312:D315)</f>
        <v>0</v>
      </c>
      <c r="E317" s="42">
        <f>SUM(E299:E306)-SUM(E307:E311)+SUM(E312:E315)</f>
        <v>0</v>
      </c>
      <c r="F317" s="42">
        <f t="shared" ref="F317:O317" si="48">SUM(F299:F306)-SUM(F307:F311)+SUM(F312:F315)</f>
        <v>0</v>
      </c>
      <c r="G317" s="42">
        <f>SUM(G299:G306)-SUM(G307:G311)+SUM(G312:G315)</f>
        <v>0</v>
      </c>
      <c r="H317" s="42">
        <f t="shared" si="48"/>
        <v>0</v>
      </c>
      <c r="I317" s="42">
        <f t="shared" si="48"/>
        <v>0</v>
      </c>
      <c r="J317" s="42">
        <f t="shared" si="48"/>
        <v>0</v>
      </c>
      <c r="K317" s="42">
        <f t="shared" si="48"/>
        <v>0</v>
      </c>
      <c r="L317" s="42">
        <f t="shared" si="48"/>
        <v>0</v>
      </c>
      <c r="M317" s="42">
        <f t="shared" si="48"/>
        <v>0</v>
      </c>
      <c r="N317" s="42">
        <f t="shared" si="48"/>
        <v>0</v>
      </c>
      <c r="O317" s="43">
        <f t="shared" si="48"/>
        <v>0</v>
      </c>
      <c r="P317" s="44">
        <f>SUM(P299:P306)-SUM(P307:P311)+SUM(P312:P315)</f>
        <v>0</v>
      </c>
      <c r="Q317" s="46">
        <f t="shared" si="46"/>
        <v>0</v>
      </c>
    </row>
    <row r="318" spans="1:17">
      <c r="A318" s="140"/>
      <c r="B318" s="158" t="s">
        <v>12</v>
      </c>
      <c r="C318" s="114" t="s">
        <v>87</v>
      </c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78"/>
      <c r="P318" s="30"/>
      <c r="Q318" s="19">
        <f>SUM(D318:P318)</f>
        <v>0</v>
      </c>
    </row>
    <row r="319" spans="1:17">
      <c r="A319" s="141"/>
      <c r="B319" s="154"/>
      <c r="C319" s="115" t="s">
        <v>89</v>
      </c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/>
      <c r="O319" s="81"/>
      <c r="P319" s="31"/>
      <c r="Q319" s="20">
        <f t="shared" ref="Q319:Q336" si="49">SUM(D319:P319)</f>
        <v>0</v>
      </c>
    </row>
    <row r="320" spans="1:17">
      <c r="A320" s="141"/>
      <c r="B320" s="143"/>
      <c r="C320" s="116" t="s">
        <v>88</v>
      </c>
      <c r="D320" s="89"/>
      <c r="E320" s="90"/>
      <c r="F320" s="90"/>
      <c r="G320" s="90"/>
      <c r="H320" s="89"/>
      <c r="I320" s="89"/>
      <c r="J320" s="89"/>
      <c r="K320" s="89"/>
      <c r="L320" s="89"/>
      <c r="M320" s="89"/>
      <c r="N320" s="89"/>
      <c r="O320" s="17"/>
      <c r="P320" s="28"/>
      <c r="Q320" s="20">
        <f t="shared" si="49"/>
        <v>0</v>
      </c>
    </row>
    <row r="321" spans="1:17">
      <c r="A321" s="141"/>
      <c r="B321" s="143"/>
      <c r="C321" s="117" t="s">
        <v>90</v>
      </c>
      <c r="D321" s="91"/>
      <c r="E321" s="89"/>
      <c r="F321" s="89"/>
      <c r="G321" s="91"/>
      <c r="H321" s="91"/>
      <c r="I321" s="91"/>
      <c r="J321" s="91"/>
      <c r="K321" s="91"/>
      <c r="L321" s="91"/>
      <c r="M321" s="91"/>
      <c r="N321" s="91"/>
      <c r="O321" s="80"/>
      <c r="P321" s="32"/>
      <c r="Q321" s="20">
        <f t="shared" si="49"/>
        <v>0</v>
      </c>
    </row>
    <row r="322" spans="1:17">
      <c r="A322" s="141"/>
      <c r="B322" s="143"/>
      <c r="C322" s="117" t="s">
        <v>91</v>
      </c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80"/>
      <c r="P322" s="32"/>
      <c r="Q322" s="20">
        <f t="shared" si="49"/>
        <v>0</v>
      </c>
    </row>
    <row r="323" spans="1:17">
      <c r="A323" s="141"/>
      <c r="B323" s="143"/>
      <c r="C323" s="117" t="s">
        <v>92</v>
      </c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80"/>
      <c r="P323" s="32"/>
      <c r="Q323" s="20">
        <f t="shared" si="49"/>
        <v>0</v>
      </c>
    </row>
    <row r="324" spans="1:17">
      <c r="A324" s="141"/>
      <c r="B324" s="143"/>
      <c r="C324" s="116" t="s">
        <v>93</v>
      </c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80"/>
      <c r="P324" s="32"/>
      <c r="Q324" s="20">
        <f t="shared" si="49"/>
        <v>0</v>
      </c>
    </row>
    <row r="325" spans="1:17">
      <c r="A325" s="141"/>
      <c r="B325" s="143"/>
      <c r="C325" s="118" t="s">
        <v>94</v>
      </c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18"/>
      <c r="P325" s="33"/>
      <c r="Q325" s="22">
        <f t="shared" si="49"/>
        <v>0</v>
      </c>
    </row>
    <row r="326" spans="1:17">
      <c r="A326" s="141"/>
      <c r="B326" s="143" t="s">
        <v>11</v>
      </c>
      <c r="C326" s="119" t="s">
        <v>7</v>
      </c>
      <c r="D326" s="93"/>
      <c r="E326" s="93"/>
      <c r="F326" s="93"/>
      <c r="G326" s="93"/>
      <c r="H326" s="93"/>
      <c r="I326" s="93"/>
      <c r="J326" s="93"/>
      <c r="K326" s="93"/>
      <c r="L326" s="94"/>
      <c r="M326" s="94"/>
      <c r="N326" s="94"/>
      <c r="O326" s="79"/>
      <c r="P326" s="27"/>
      <c r="Q326" s="21">
        <f t="shared" si="49"/>
        <v>0</v>
      </c>
    </row>
    <row r="327" spans="1:17">
      <c r="A327" s="141"/>
      <c r="B327" s="143"/>
      <c r="C327" s="117" t="s">
        <v>4</v>
      </c>
      <c r="D327" s="95"/>
      <c r="E327" s="95"/>
      <c r="F327" s="95"/>
      <c r="G327" s="95"/>
      <c r="H327" s="95"/>
      <c r="I327" s="95"/>
      <c r="J327" s="95"/>
      <c r="K327" s="95"/>
      <c r="L327" s="91"/>
      <c r="M327" s="91"/>
      <c r="N327" s="91"/>
      <c r="O327" s="80"/>
      <c r="P327" s="32"/>
      <c r="Q327" s="20">
        <f t="shared" si="49"/>
        <v>0</v>
      </c>
    </row>
    <row r="328" spans="1:17">
      <c r="A328" s="141"/>
      <c r="B328" s="143"/>
      <c r="C328" s="117" t="s">
        <v>17</v>
      </c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80"/>
      <c r="P328" s="32"/>
      <c r="Q328" s="20">
        <f t="shared" si="49"/>
        <v>0</v>
      </c>
    </row>
    <row r="329" spans="1:17">
      <c r="A329" s="141"/>
      <c r="B329" s="143"/>
      <c r="C329" s="117" t="s">
        <v>18</v>
      </c>
      <c r="D329" s="90"/>
      <c r="E329" s="90"/>
      <c r="F329" s="90"/>
      <c r="G329" s="90"/>
      <c r="H329" s="91"/>
      <c r="I329" s="91"/>
      <c r="J329" s="91"/>
      <c r="K329" s="91"/>
      <c r="L329" s="91"/>
      <c r="M329" s="91"/>
      <c r="N329" s="91"/>
      <c r="O329" s="80"/>
      <c r="P329" s="32"/>
      <c r="Q329" s="20">
        <f t="shared" si="49"/>
        <v>0</v>
      </c>
    </row>
    <row r="330" spans="1:17">
      <c r="A330" s="141"/>
      <c r="B330" s="143"/>
      <c r="C330" s="120" t="s">
        <v>19</v>
      </c>
      <c r="D330" s="96"/>
      <c r="E330" s="96"/>
      <c r="F330" s="96"/>
      <c r="G330" s="96"/>
      <c r="H330" s="92"/>
      <c r="I330" s="92"/>
      <c r="J330" s="92"/>
      <c r="K330" s="92"/>
      <c r="L330" s="92"/>
      <c r="M330" s="92"/>
      <c r="N330" s="92"/>
      <c r="O330" s="18"/>
      <c r="P330" s="33"/>
      <c r="Q330" s="22">
        <f t="shared" si="49"/>
        <v>0</v>
      </c>
    </row>
    <row r="331" spans="1:17">
      <c r="A331" s="141"/>
      <c r="B331" s="143" t="s">
        <v>13</v>
      </c>
      <c r="C331" s="119" t="s">
        <v>10</v>
      </c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79"/>
      <c r="P331" s="27"/>
      <c r="Q331" s="21">
        <f t="shared" si="49"/>
        <v>0</v>
      </c>
    </row>
    <row r="332" spans="1:17">
      <c r="A332" s="141"/>
      <c r="B332" s="143"/>
      <c r="C332" s="116" t="s">
        <v>55</v>
      </c>
      <c r="D332" s="89"/>
      <c r="E332" s="89"/>
      <c r="F332" s="89"/>
      <c r="G332" s="89"/>
      <c r="H332" s="89"/>
      <c r="I332" s="89"/>
      <c r="J332" s="89"/>
      <c r="K332" s="89"/>
      <c r="L332" s="89"/>
      <c r="M332" s="89"/>
      <c r="N332" s="89"/>
      <c r="O332" s="17"/>
      <c r="P332" s="28"/>
      <c r="Q332" s="20">
        <f t="shared" si="49"/>
        <v>0</v>
      </c>
    </row>
    <row r="333" spans="1:17">
      <c r="A333" s="141"/>
      <c r="B333" s="143"/>
      <c r="C333" s="116" t="s">
        <v>56</v>
      </c>
      <c r="D333" s="89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17"/>
      <c r="P333" s="28"/>
      <c r="Q333" s="20">
        <f t="shared" si="49"/>
        <v>0</v>
      </c>
    </row>
    <row r="334" spans="1:17">
      <c r="A334" s="141"/>
      <c r="B334" s="143"/>
      <c r="C334" s="120" t="s">
        <v>61</v>
      </c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18"/>
      <c r="P334" s="33"/>
      <c r="Q334" s="22">
        <f t="shared" si="49"/>
        <v>0</v>
      </c>
    </row>
    <row r="335" spans="1:17">
      <c r="A335" s="141"/>
      <c r="B335" s="156" t="s">
        <v>54</v>
      </c>
      <c r="C335" s="157"/>
      <c r="D335" s="56">
        <f>SUM(D318:D325)-SUM(D329:D330)</f>
        <v>0</v>
      </c>
      <c r="E335" s="56">
        <f t="shared" ref="E335:O335" si="50">SUM(E318:E325)-SUM(E329:E330)</f>
        <v>0</v>
      </c>
      <c r="F335" s="56">
        <f t="shared" si="50"/>
        <v>0</v>
      </c>
      <c r="G335" s="56">
        <f>SUM(G318:G325)-SUM(G329:G330)</f>
        <v>0</v>
      </c>
      <c r="H335" s="56">
        <f t="shared" si="50"/>
        <v>0</v>
      </c>
      <c r="I335" s="56">
        <f t="shared" si="50"/>
        <v>0</v>
      </c>
      <c r="J335" s="56">
        <f t="shared" si="50"/>
        <v>0</v>
      </c>
      <c r="K335" s="56">
        <f t="shared" si="50"/>
        <v>0</v>
      </c>
      <c r="L335" s="56">
        <f t="shared" si="50"/>
        <v>0</v>
      </c>
      <c r="M335" s="56">
        <f t="shared" si="50"/>
        <v>0</v>
      </c>
      <c r="N335" s="56">
        <f t="shared" si="50"/>
        <v>0</v>
      </c>
      <c r="O335" s="57">
        <f t="shared" si="50"/>
        <v>0</v>
      </c>
      <c r="P335" s="60">
        <f>SUM(P318:P325)-SUM(P329:P330)</f>
        <v>0</v>
      </c>
      <c r="Q335" s="59">
        <f>SUM(D335:P335)</f>
        <v>0</v>
      </c>
    </row>
    <row r="336" spans="1:17" ht="14.25" thickBot="1">
      <c r="A336" s="142"/>
      <c r="B336" s="147" t="s">
        <v>5</v>
      </c>
      <c r="C336" s="148"/>
      <c r="D336" s="42">
        <f>SUM(D318:D325)-SUM(D326:D330)+SUM(D331:D334)</f>
        <v>0</v>
      </c>
      <c r="E336" s="42">
        <f>SUM(E318:E325)-SUM(E326:E330)+SUM(E331:E334)</f>
        <v>0</v>
      </c>
      <c r="F336" s="42">
        <f t="shared" ref="F336:O336" si="51">SUM(F318:F325)-SUM(F326:F330)+SUM(F331:F334)</f>
        <v>0</v>
      </c>
      <c r="G336" s="42">
        <f>SUM(G318:G325)-SUM(G326:G330)+SUM(G331:G334)</f>
        <v>0</v>
      </c>
      <c r="H336" s="42">
        <f t="shared" si="51"/>
        <v>0</v>
      </c>
      <c r="I336" s="42">
        <f t="shared" si="51"/>
        <v>0</v>
      </c>
      <c r="J336" s="42">
        <f t="shared" si="51"/>
        <v>0</v>
      </c>
      <c r="K336" s="42">
        <f t="shared" si="51"/>
        <v>0</v>
      </c>
      <c r="L336" s="42">
        <f t="shared" si="51"/>
        <v>0</v>
      </c>
      <c r="M336" s="42">
        <f t="shared" si="51"/>
        <v>0</v>
      </c>
      <c r="N336" s="42">
        <f t="shared" si="51"/>
        <v>0</v>
      </c>
      <c r="O336" s="43">
        <f t="shared" si="51"/>
        <v>0</v>
      </c>
      <c r="P336" s="44">
        <f>SUM(P318:P325)-SUM(P326:P330)+SUM(P331:P334)</f>
        <v>0</v>
      </c>
      <c r="Q336" s="46">
        <f t="shared" si="49"/>
        <v>0</v>
      </c>
    </row>
    <row r="337" spans="1:17">
      <c r="A337" s="140"/>
      <c r="B337" s="158" t="s">
        <v>12</v>
      </c>
      <c r="C337" s="114" t="s">
        <v>87</v>
      </c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78"/>
      <c r="P337" s="30"/>
      <c r="Q337" s="19">
        <f>SUM(D337:P337)</f>
        <v>0</v>
      </c>
    </row>
    <row r="338" spans="1:17">
      <c r="A338" s="141"/>
      <c r="B338" s="154"/>
      <c r="C338" s="115" t="s">
        <v>89</v>
      </c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1"/>
      <c r="P338" s="31"/>
      <c r="Q338" s="20">
        <f t="shared" ref="Q338:Q355" si="52">SUM(D338:P338)</f>
        <v>0</v>
      </c>
    </row>
    <row r="339" spans="1:17">
      <c r="A339" s="141"/>
      <c r="B339" s="143"/>
      <c r="C339" s="116" t="s">
        <v>88</v>
      </c>
      <c r="D339" s="89"/>
      <c r="E339" s="90"/>
      <c r="F339" s="90"/>
      <c r="G339" s="90"/>
      <c r="H339" s="89"/>
      <c r="I339" s="89"/>
      <c r="J339" s="89"/>
      <c r="K339" s="89"/>
      <c r="L339" s="89"/>
      <c r="M339" s="89"/>
      <c r="N339" s="89"/>
      <c r="O339" s="17"/>
      <c r="P339" s="28"/>
      <c r="Q339" s="20">
        <f t="shared" si="52"/>
        <v>0</v>
      </c>
    </row>
    <row r="340" spans="1:17">
      <c r="A340" s="141"/>
      <c r="B340" s="143"/>
      <c r="C340" s="117" t="s">
        <v>90</v>
      </c>
      <c r="D340" s="91"/>
      <c r="E340" s="89"/>
      <c r="F340" s="89"/>
      <c r="G340" s="91"/>
      <c r="H340" s="91"/>
      <c r="I340" s="91"/>
      <c r="J340" s="91"/>
      <c r="K340" s="91"/>
      <c r="L340" s="91"/>
      <c r="M340" s="91"/>
      <c r="N340" s="91"/>
      <c r="O340" s="80"/>
      <c r="P340" s="32"/>
      <c r="Q340" s="20">
        <f t="shared" si="52"/>
        <v>0</v>
      </c>
    </row>
    <row r="341" spans="1:17">
      <c r="A341" s="141"/>
      <c r="B341" s="143"/>
      <c r="C341" s="117" t="s">
        <v>91</v>
      </c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80"/>
      <c r="P341" s="32"/>
      <c r="Q341" s="20">
        <f t="shared" si="52"/>
        <v>0</v>
      </c>
    </row>
    <row r="342" spans="1:17">
      <c r="A342" s="141"/>
      <c r="B342" s="143"/>
      <c r="C342" s="117" t="s">
        <v>92</v>
      </c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80"/>
      <c r="P342" s="32"/>
      <c r="Q342" s="20">
        <f t="shared" si="52"/>
        <v>0</v>
      </c>
    </row>
    <row r="343" spans="1:17">
      <c r="A343" s="141"/>
      <c r="B343" s="143"/>
      <c r="C343" s="116" t="s">
        <v>93</v>
      </c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80"/>
      <c r="P343" s="32"/>
      <c r="Q343" s="20">
        <f t="shared" si="52"/>
        <v>0</v>
      </c>
    </row>
    <row r="344" spans="1:17">
      <c r="A344" s="141"/>
      <c r="B344" s="143"/>
      <c r="C344" s="118" t="s">
        <v>94</v>
      </c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18"/>
      <c r="P344" s="33"/>
      <c r="Q344" s="22">
        <f t="shared" si="52"/>
        <v>0</v>
      </c>
    </row>
    <row r="345" spans="1:17">
      <c r="A345" s="141"/>
      <c r="B345" s="143" t="s">
        <v>11</v>
      </c>
      <c r="C345" s="119" t="s">
        <v>7</v>
      </c>
      <c r="D345" s="93"/>
      <c r="E345" s="93"/>
      <c r="F345" s="93"/>
      <c r="G345" s="93"/>
      <c r="H345" s="93"/>
      <c r="I345" s="93"/>
      <c r="J345" s="93"/>
      <c r="K345" s="93"/>
      <c r="L345" s="94"/>
      <c r="M345" s="94"/>
      <c r="N345" s="94"/>
      <c r="O345" s="79"/>
      <c r="P345" s="27"/>
      <c r="Q345" s="21">
        <f t="shared" si="52"/>
        <v>0</v>
      </c>
    </row>
    <row r="346" spans="1:17">
      <c r="A346" s="141"/>
      <c r="B346" s="143"/>
      <c r="C346" s="117" t="s">
        <v>4</v>
      </c>
      <c r="D346" s="95"/>
      <c r="E346" s="95"/>
      <c r="F346" s="95"/>
      <c r="G346" s="95"/>
      <c r="H346" s="95"/>
      <c r="I346" s="95"/>
      <c r="J346" s="95"/>
      <c r="K346" s="95"/>
      <c r="L346" s="91"/>
      <c r="M346" s="91"/>
      <c r="N346" s="91"/>
      <c r="O346" s="80"/>
      <c r="P346" s="32"/>
      <c r="Q346" s="20">
        <f t="shared" si="52"/>
        <v>0</v>
      </c>
    </row>
    <row r="347" spans="1:17">
      <c r="A347" s="141"/>
      <c r="B347" s="143"/>
      <c r="C347" s="117" t="s">
        <v>17</v>
      </c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80"/>
      <c r="P347" s="32"/>
      <c r="Q347" s="20">
        <f t="shared" si="52"/>
        <v>0</v>
      </c>
    </row>
    <row r="348" spans="1:17">
      <c r="A348" s="141"/>
      <c r="B348" s="143"/>
      <c r="C348" s="117" t="s">
        <v>18</v>
      </c>
      <c r="D348" s="90"/>
      <c r="E348" s="90"/>
      <c r="F348" s="90"/>
      <c r="G348" s="90"/>
      <c r="H348" s="91"/>
      <c r="I348" s="91"/>
      <c r="J348" s="91"/>
      <c r="K348" s="91"/>
      <c r="L348" s="91"/>
      <c r="M348" s="91"/>
      <c r="N348" s="91"/>
      <c r="O348" s="80"/>
      <c r="P348" s="32"/>
      <c r="Q348" s="20">
        <f t="shared" si="52"/>
        <v>0</v>
      </c>
    </row>
    <row r="349" spans="1:17">
      <c r="A349" s="141"/>
      <c r="B349" s="143"/>
      <c r="C349" s="120" t="s">
        <v>19</v>
      </c>
      <c r="D349" s="96"/>
      <c r="E349" s="96"/>
      <c r="F349" s="96"/>
      <c r="G349" s="96"/>
      <c r="H349" s="92"/>
      <c r="I349" s="92"/>
      <c r="J349" s="92"/>
      <c r="K349" s="92"/>
      <c r="L349" s="92"/>
      <c r="M349" s="92"/>
      <c r="N349" s="92"/>
      <c r="O349" s="18"/>
      <c r="P349" s="33"/>
      <c r="Q349" s="22">
        <f t="shared" si="52"/>
        <v>0</v>
      </c>
    </row>
    <row r="350" spans="1:17">
      <c r="A350" s="141"/>
      <c r="B350" s="143" t="s">
        <v>13</v>
      </c>
      <c r="C350" s="119" t="s">
        <v>10</v>
      </c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79"/>
      <c r="P350" s="27"/>
      <c r="Q350" s="21">
        <f t="shared" si="52"/>
        <v>0</v>
      </c>
    </row>
    <row r="351" spans="1:17">
      <c r="A351" s="141"/>
      <c r="B351" s="143"/>
      <c r="C351" s="116" t="s">
        <v>55</v>
      </c>
      <c r="D351" s="89"/>
      <c r="E351" s="89"/>
      <c r="F351" s="89"/>
      <c r="G351" s="89"/>
      <c r="H351" s="89"/>
      <c r="I351" s="89"/>
      <c r="J351" s="89"/>
      <c r="K351" s="89"/>
      <c r="L351" s="89"/>
      <c r="M351" s="89"/>
      <c r="N351" s="89"/>
      <c r="O351" s="17"/>
      <c r="P351" s="28"/>
      <c r="Q351" s="20">
        <f t="shared" si="52"/>
        <v>0</v>
      </c>
    </row>
    <row r="352" spans="1:17">
      <c r="A352" s="141"/>
      <c r="B352" s="143"/>
      <c r="C352" s="116" t="s">
        <v>56</v>
      </c>
      <c r="D352" s="89"/>
      <c r="E352" s="89"/>
      <c r="F352" s="89"/>
      <c r="G352" s="89"/>
      <c r="H352" s="89"/>
      <c r="I352" s="89"/>
      <c r="J352" s="89"/>
      <c r="K352" s="89"/>
      <c r="L352" s="89"/>
      <c r="M352" s="89"/>
      <c r="N352" s="89"/>
      <c r="O352" s="17"/>
      <c r="P352" s="28"/>
      <c r="Q352" s="20">
        <f t="shared" si="52"/>
        <v>0</v>
      </c>
    </row>
    <row r="353" spans="1:17">
      <c r="A353" s="141"/>
      <c r="B353" s="143"/>
      <c r="C353" s="120" t="s">
        <v>61</v>
      </c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18"/>
      <c r="P353" s="33"/>
      <c r="Q353" s="22">
        <f t="shared" si="52"/>
        <v>0</v>
      </c>
    </row>
    <row r="354" spans="1:17">
      <c r="A354" s="141"/>
      <c r="B354" s="156" t="s">
        <v>54</v>
      </c>
      <c r="C354" s="157"/>
      <c r="D354" s="56">
        <f>SUM(D337:D344)-SUM(D348:D349)</f>
        <v>0</v>
      </c>
      <c r="E354" s="56">
        <f t="shared" ref="E354:O354" si="53">SUM(E337:E344)-SUM(E348:E349)</f>
        <v>0</v>
      </c>
      <c r="F354" s="56">
        <f t="shared" si="53"/>
        <v>0</v>
      </c>
      <c r="G354" s="56">
        <f>SUM(G337:G344)-SUM(G348:G349)</f>
        <v>0</v>
      </c>
      <c r="H354" s="56">
        <f t="shared" si="53"/>
        <v>0</v>
      </c>
      <c r="I354" s="56">
        <f t="shared" si="53"/>
        <v>0</v>
      </c>
      <c r="J354" s="56">
        <f t="shared" si="53"/>
        <v>0</v>
      </c>
      <c r="K354" s="56">
        <f t="shared" si="53"/>
        <v>0</v>
      </c>
      <c r="L354" s="56">
        <f t="shared" si="53"/>
        <v>0</v>
      </c>
      <c r="M354" s="56">
        <f t="shared" si="53"/>
        <v>0</v>
      </c>
      <c r="N354" s="56">
        <f t="shared" si="53"/>
        <v>0</v>
      </c>
      <c r="O354" s="57">
        <f t="shared" si="53"/>
        <v>0</v>
      </c>
      <c r="P354" s="60">
        <f>SUM(P337:P344)-SUM(P348:P349)</f>
        <v>0</v>
      </c>
      <c r="Q354" s="59">
        <f>SUM(D354:P354)</f>
        <v>0</v>
      </c>
    </row>
    <row r="355" spans="1:17" ht="14.25" thickBot="1">
      <c r="A355" s="142"/>
      <c r="B355" s="147" t="s">
        <v>5</v>
      </c>
      <c r="C355" s="148"/>
      <c r="D355" s="42">
        <f>SUM(D337:D344)-SUM(D345:D349)+SUM(D350:D353)</f>
        <v>0</v>
      </c>
      <c r="E355" s="42">
        <f>SUM(E337:E344)-SUM(E345:E349)+SUM(E350:E353)</f>
        <v>0</v>
      </c>
      <c r="F355" s="42">
        <f t="shared" ref="F355:O355" si="54">SUM(F337:F344)-SUM(F345:F349)+SUM(F350:F353)</f>
        <v>0</v>
      </c>
      <c r="G355" s="42">
        <f>SUM(G337:G344)-SUM(G345:G349)+SUM(G350:G353)</f>
        <v>0</v>
      </c>
      <c r="H355" s="42">
        <f t="shared" si="54"/>
        <v>0</v>
      </c>
      <c r="I355" s="42">
        <f t="shared" si="54"/>
        <v>0</v>
      </c>
      <c r="J355" s="42">
        <f t="shared" si="54"/>
        <v>0</v>
      </c>
      <c r="K355" s="42">
        <f t="shared" si="54"/>
        <v>0</v>
      </c>
      <c r="L355" s="42">
        <f t="shared" si="54"/>
        <v>0</v>
      </c>
      <c r="M355" s="42">
        <f t="shared" si="54"/>
        <v>0</v>
      </c>
      <c r="N355" s="42">
        <f t="shared" si="54"/>
        <v>0</v>
      </c>
      <c r="O355" s="43">
        <f t="shared" si="54"/>
        <v>0</v>
      </c>
      <c r="P355" s="44">
        <f>SUM(P337:P344)-SUM(P345:P349)+SUM(P350:P353)</f>
        <v>0</v>
      </c>
      <c r="Q355" s="46">
        <f t="shared" si="52"/>
        <v>0</v>
      </c>
    </row>
    <row r="356" spans="1:17">
      <c r="A356" s="140"/>
      <c r="B356" s="158" t="s">
        <v>12</v>
      </c>
      <c r="C356" s="114" t="s">
        <v>87</v>
      </c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78"/>
      <c r="P356" s="30"/>
      <c r="Q356" s="19">
        <f>SUM(D356:P356)</f>
        <v>0</v>
      </c>
    </row>
    <row r="357" spans="1:17">
      <c r="A357" s="141"/>
      <c r="B357" s="154"/>
      <c r="C357" s="115" t="s">
        <v>89</v>
      </c>
      <c r="D357" s="88"/>
      <c r="E357" s="88"/>
      <c r="F357" s="88"/>
      <c r="G357" s="88"/>
      <c r="H357" s="88"/>
      <c r="I357" s="88"/>
      <c r="J357" s="88"/>
      <c r="K357" s="88"/>
      <c r="L357" s="88"/>
      <c r="M357" s="88"/>
      <c r="N357" s="88"/>
      <c r="O357" s="81"/>
      <c r="P357" s="31"/>
      <c r="Q357" s="20">
        <f t="shared" ref="Q357:Q374" si="55">SUM(D357:P357)</f>
        <v>0</v>
      </c>
    </row>
    <row r="358" spans="1:17">
      <c r="A358" s="141"/>
      <c r="B358" s="143"/>
      <c r="C358" s="116" t="s">
        <v>88</v>
      </c>
      <c r="D358" s="89"/>
      <c r="E358" s="90"/>
      <c r="F358" s="90"/>
      <c r="G358" s="90"/>
      <c r="H358" s="89"/>
      <c r="I358" s="89"/>
      <c r="J358" s="89"/>
      <c r="K358" s="89"/>
      <c r="L358" s="89"/>
      <c r="M358" s="89"/>
      <c r="N358" s="89"/>
      <c r="O358" s="17"/>
      <c r="P358" s="28"/>
      <c r="Q358" s="20">
        <f t="shared" si="55"/>
        <v>0</v>
      </c>
    </row>
    <row r="359" spans="1:17">
      <c r="A359" s="141"/>
      <c r="B359" s="143"/>
      <c r="C359" s="117" t="s">
        <v>90</v>
      </c>
      <c r="D359" s="91"/>
      <c r="E359" s="89"/>
      <c r="F359" s="89"/>
      <c r="G359" s="91"/>
      <c r="H359" s="91"/>
      <c r="I359" s="91"/>
      <c r="J359" s="91"/>
      <c r="K359" s="91"/>
      <c r="L359" s="91"/>
      <c r="M359" s="91"/>
      <c r="N359" s="91"/>
      <c r="O359" s="80"/>
      <c r="P359" s="32"/>
      <c r="Q359" s="20">
        <f t="shared" si="55"/>
        <v>0</v>
      </c>
    </row>
    <row r="360" spans="1:17">
      <c r="A360" s="141"/>
      <c r="B360" s="143"/>
      <c r="C360" s="117" t="s">
        <v>91</v>
      </c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80"/>
      <c r="P360" s="32"/>
      <c r="Q360" s="20">
        <f t="shared" si="55"/>
        <v>0</v>
      </c>
    </row>
    <row r="361" spans="1:17">
      <c r="A361" s="141"/>
      <c r="B361" s="143"/>
      <c r="C361" s="117" t="s">
        <v>92</v>
      </c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80"/>
      <c r="P361" s="32"/>
      <c r="Q361" s="20">
        <f t="shared" si="55"/>
        <v>0</v>
      </c>
    </row>
    <row r="362" spans="1:17">
      <c r="A362" s="141"/>
      <c r="B362" s="143"/>
      <c r="C362" s="116" t="s">
        <v>93</v>
      </c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80"/>
      <c r="P362" s="32"/>
      <c r="Q362" s="20">
        <f t="shared" si="55"/>
        <v>0</v>
      </c>
    </row>
    <row r="363" spans="1:17">
      <c r="A363" s="141"/>
      <c r="B363" s="143"/>
      <c r="C363" s="118" t="s">
        <v>94</v>
      </c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18"/>
      <c r="P363" s="33"/>
      <c r="Q363" s="22">
        <f t="shared" si="55"/>
        <v>0</v>
      </c>
    </row>
    <row r="364" spans="1:17">
      <c r="A364" s="141"/>
      <c r="B364" s="143" t="s">
        <v>11</v>
      </c>
      <c r="C364" s="119" t="s">
        <v>7</v>
      </c>
      <c r="D364" s="93"/>
      <c r="E364" s="93"/>
      <c r="F364" s="93"/>
      <c r="G364" s="93"/>
      <c r="H364" s="93"/>
      <c r="I364" s="93"/>
      <c r="J364" s="93"/>
      <c r="K364" s="93"/>
      <c r="L364" s="94"/>
      <c r="M364" s="94"/>
      <c r="N364" s="94"/>
      <c r="O364" s="79"/>
      <c r="P364" s="27"/>
      <c r="Q364" s="21">
        <f t="shared" si="55"/>
        <v>0</v>
      </c>
    </row>
    <row r="365" spans="1:17">
      <c r="A365" s="141"/>
      <c r="B365" s="143"/>
      <c r="C365" s="117" t="s">
        <v>4</v>
      </c>
      <c r="D365" s="95"/>
      <c r="E365" s="95"/>
      <c r="F365" s="95"/>
      <c r="G365" s="95"/>
      <c r="H365" s="95"/>
      <c r="I365" s="95"/>
      <c r="J365" s="95"/>
      <c r="K365" s="95"/>
      <c r="L365" s="91"/>
      <c r="M365" s="91"/>
      <c r="N365" s="91"/>
      <c r="O365" s="80"/>
      <c r="P365" s="32"/>
      <c r="Q365" s="20">
        <f t="shared" si="55"/>
        <v>0</v>
      </c>
    </row>
    <row r="366" spans="1:17">
      <c r="A366" s="141"/>
      <c r="B366" s="143"/>
      <c r="C366" s="117" t="s">
        <v>17</v>
      </c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80"/>
      <c r="P366" s="32"/>
      <c r="Q366" s="20">
        <f t="shared" si="55"/>
        <v>0</v>
      </c>
    </row>
    <row r="367" spans="1:17">
      <c r="A367" s="141"/>
      <c r="B367" s="143"/>
      <c r="C367" s="117" t="s">
        <v>18</v>
      </c>
      <c r="D367" s="90"/>
      <c r="E367" s="90"/>
      <c r="F367" s="90"/>
      <c r="G367" s="90"/>
      <c r="H367" s="91"/>
      <c r="I367" s="91"/>
      <c r="J367" s="91"/>
      <c r="K367" s="91"/>
      <c r="L367" s="91"/>
      <c r="M367" s="91"/>
      <c r="N367" s="91"/>
      <c r="O367" s="80"/>
      <c r="P367" s="32"/>
      <c r="Q367" s="20">
        <f t="shared" si="55"/>
        <v>0</v>
      </c>
    </row>
    <row r="368" spans="1:17">
      <c r="A368" s="141"/>
      <c r="B368" s="143"/>
      <c r="C368" s="120" t="s">
        <v>19</v>
      </c>
      <c r="D368" s="96"/>
      <c r="E368" s="96"/>
      <c r="F368" s="96"/>
      <c r="G368" s="96"/>
      <c r="H368" s="92"/>
      <c r="I368" s="92"/>
      <c r="J368" s="92"/>
      <c r="K368" s="92"/>
      <c r="L368" s="92"/>
      <c r="M368" s="92"/>
      <c r="N368" s="92"/>
      <c r="O368" s="18"/>
      <c r="P368" s="33"/>
      <c r="Q368" s="22">
        <f t="shared" si="55"/>
        <v>0</v>
      </c>
    </row>
    <row r="369" spans="1:17">
      <c r="A369" s="141"/>
      <c r="B369" s="143" t="s">
        <v>13</v>
      </c>
      <c r="C369" s="119" t="s">
        <v>10</v>
      </c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79"/>
      <c r="P369" s="27"/>
      <c r="Q369" s="21">
        <f t="shared" si="55"/>
        <v>0</v>
      </c>
    </row>
    <row r="370" spans="1:17">
      <c r="A370" s="141"/>
      <c r="B370" s="143"/>
      <c r="C370" s="116" t="s">
        <v>55</v>
      </c>
      <c r="D370" s="89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17"/>
      <c r="P370" s="28"/>
      <c r="Q370" s="20">
        <f t="shared" si="55"/>
        <v>0</v>
      </c>
    </row>
    <row r="371" spans="1:17">
      <c r="A371" s="141"/>
      <c r="B371" s="143"/>
      <c r="C371" s="116" t="s">
        <v>56</v>
      </c>
      <c r="D371" s="89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17"/>
      <c r="P371" s="28"/>
      <c r="Q371" s="20">
        <f t="shared" si="55"/>
        <v>0</v>
      </c>
    </row>
    <row r="372" spans="1:17">
      <c r="A372" s="141"/>
      <c r="B372" s="143"/>
      <c r="C372" s="120" t="s">
        <v>61</v>
      </c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18"/>
      <c r="P372" s="33"/>
      <c r="Q372" s="22">
        <f t="shared" si="55"/>
        <v>0</v>
      </c>
    </row>
    <row r="373" spans="1:17">
      <c r="A373" s="141"/>
      <c r="B373" s="156" t="s">
        <v>54</v>
      </c>
      <c r="C373" s="157"/>
      <c r="D373" s="56">
        <f>SUM(D356:D363)-SUM(D367:D368)</f>
        <v>0</v>
      </c>
      <c r="E373" s="56">
        <f t="shared" ref="E373:O373" si="56">SUM(E356:E363)-SUM(E367:E368)</f>
        <v>0</v>
      </c>
      <c r="F373" s="56">
        <f t="shared" si="56"/>
        <v>0</v>
      </c>
      <c r="G373" s="56">
        <f>SUM(G356:G363)-SUM(G367:G368)</f>
        <v>0</v>
      </c>
      <c r="H373" s="56">
        <f t="shared" si="56"/>
        <v>0</v>
      </c>
      <c r="I373" s="56">
        <f t="shared" si="56"/>
        <v>0</v>
      </c>
      <c r="J373" s="56">
        <f t="shared" si="56"/>
        <v>0</v>
      </c>
      <c r="K373" s="56">
        <f t="shared" si="56"/>
        <v>0</v>
      </c>
      <c r="L373" s="56">
        <f t="shared" si="56"/>
        <v>0</v>
      </c>
      <c r="M373" s="56">
        <f t="shared" si="56"/>
        <v>0</v>
      </c>
      <c r="N373" s="56">
        <f t="shared" si="56"/>
        <v>0</v>
      </c>
      <c r="O373" s="57">
        <f t="shared" si="56"/>
        <v>0</v>
      </c>
      <c r="P373" s="60">
        <f>SUM(P356:P363)-SUM(P367:P368)</f>
        <v>0</v>
      </c>
      <c r="Q373" s="59">
        <f>SUM(D373:P373)</f>
        <v>0</v>
      </c>
    </row>
    <row r="374" spans="1:17" ht="14.25" thickBot="1">
      <c r="A374" s="142"/>
      <c r="B374" s="147" t="s">
        <v>5</v>
      </c>
      <c r="C374" s="148"/>
      <c r="D374" s="42">
        <f>SUM(D356:D363)-SUM(D364:D368)+SUM(D369:D372)</f>
        <v>0</v>
      </c>
      <c r="E374" s="42">
        <f>SUM(E356:E363)-SUM(E364:E368)+SUM(E369:E372)</f>
        <v>0</v>
      </c>
      <c r="F374" s="42">
        <f t="shared" ref="F374:O374" si="57">SUM(F356:F363)-SUM(F364:F368)+SUM(F369:F372)</f>
        <v>0</v>
      </c>
      <c r="G374" s="42">
        <f>SUM(G356:G363)-SUM(G364:G368)+SUM(G369:G372)</f>
        <v>0</v>
      </c>
      <c r="H374" s="42">
        <f t="shared" si="57"/>
        <v>0</v>
      </c>
      <c r="I374" s="42">
        <f t="shared" si="57"/>
        <v>0</v>
      </c>
      <c r="J374" s="42">
        <f t="shared" si="57"/>
        <v>0</v>
      </c>
      <c r="K374" s="42">
        <f t="shared" si="57"/>
        <v>0</v>
      </c>
      <c r="L374" s="42">
        <f t="shared" si="57"/>
        <v>0</v>
      </c>
      <c r="M374" s="42">
        <f t="shared" si="57"/>
        <v>0</v>
      </c>
      <c r="N374" s="42">
        <f t="shared" si="57"/>
        <v>0</v>
      </c>
      <c r="O374" s="43">
        <f t="shared" si="57"/>
        <v>0</v>
      </c>
      <c r="P374" s="44">
        <f>SUM(P356:P363)-SUM(P364:P368)+SUM(P369:P372)</f>
        <v>0</v>
      </c>
      <c r="Q374" s="46">
        <f t="shared" si="55"/>
        <v>0</v>
      </c>
    </row>
    <row r="375" spans="1:17">
      <c r="A375" s="140"/>
      <c r="B375" s="158" t="s">
        <v>12</v>
      </c>
      <c r="C375" s="114" t="s">
        <v>87</v>
      </c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78"/>
      <c r="P375" s="30"/>
      <c r="Q375" s="19">
        <f>SUM(D375:P375)</f>
        <v>0</v>
      </c>
    </row>
    <row r="376" spans="1:17">
      <c r="A376" s="141"/>
      <c r="B376" s="154"/>
      <c r="C376" s="115" t="s">
        <v>89</v>
      </c>
      <c r="D376" s="88"/>
      <c r="E376" s="88"/>
      <c r="F376" s="88"/>
      <c r="G376" s="88"/>
      <c r="H376" s="88"/>
      <c r="I376" s="88"/>
      <c r="J376" s="88"/>
      <c r="K376" s="88"/>
      <c r="L376" s="88"/>
      <c r="M376" s="88"/>
      <c r="N376" s="88"/>
      <c r="O376" s="81"/>
      <c r="P376" s="31"/>
      <c r="Q376" s="20">
        <f t="shared" ref="Q376:Q393" si="58">SUM(D376:P376)</f>
        <v>0</v>
      </c>
    </row>
    <row r="377" spans="1:17">
      <c r="A377" s="141"/>
      <c r="B377" s="143"/>
      <c r="C377" s="116" t="s">
        <v>88</v>
      </c>
      <c r="D377" s="89"/>
      <c r="E377" s="90"/>
      <c r="F377" s="90"/>
      <c r="G377" s="90"/>
      <c r="H377" s="89"/>
      <c r="I377" s="89"/>
      <c r="J377" s="89"/>
      <c r="K377" s="89"/>
      <c r="L377" s="89"/>
      <c r="M377" s="89"/>
      <c r="N377" s="89"/>
      <c r="O377" s="17"/>
      <c r="P377" s="28"/>
      <c r="Q377" s="20">
        <f t="shared" si="58"/>
        <v>0</v>
      </c>
    </row>
    <row r="378" spans="1:17">
      <c r="A378" s="141"/>
      <c r="B378" s="143"/>
      <c r="C378" s="117" t="s">
        <v>90</v>
      </c>
      <c r="D378" s="91"/>
      <c r="E378" s="89"/>
      <c r="F378" s="89"/>
      <c r="G378" s="91"/>
      <c r="H378" s="91"/>
      <c r="I378" s="91"/>
      <c r="J378" s="91"/>
      <c r="K378" s="91"/>
      <c r="L378" s="91"/>
      <c r="M378" s="91"/>
      <c r="N378" s="91"/>
      <c r="O378" s="80"/>
      <c r="P378" s="32"/>
      <c r="Q378" s="20">
        <f t="shared" si="58"/>
        <v>0</v>
      </c>
    </row>
    <row r="379" spans="1:17">
      <c r="A379" s="141"/>
      <c r="B379" s="143"/>
      <c r="C379" s="117" t="s">
        <v>91</v>
      </c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80"/>
      <c r="P379" s="32"/>
      <c r="Q379" s="20">
        <f t="shared" si="58"/>
        <v>0</v>
      </c>
    </row>
    <row r="380" spans="1:17">
      <c r="A380" s="141"/>
      <c r="B380" s="143"/>
      <c r="C380" s="117" t="s">
        <v>92</v>
      </c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80"/>
      <c r="P380" s="32"/>
      <c r="Q380" s="20">
        <f t="shared" si="58"/>
        <v>0</v>
      </c>
    </row>
    <row r="381" spans="1:17">
      <c r="A381" s="141"/>
      <c r="B381" s="143"/>
      <c r="C381" s="116" t="s">
        <v>93</v>
      </c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80"/>
      <c r="P381" s="32"/>
      <c r="Q381" s="20">
        <f t="shared" si="58"/>
        <v>0</v>
      </c>
    </row>
    <row r="382" spans="1:17">
      <c r="A382" s="141"/>
      <c r="B382" s="143"/>
      <c r="C382" s="118" t="s">
        <v>94</v>
      </c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18"/>
      <c r="P382" s="33"/>
      <c r="Q382" s="22">
        <f t="shared" si="58"/>
        <v>0</v>
      </c>
    </row>
    <row r="383" spans="1:17">
      <c r="A383" s="141"/>
      <c r="B383" s="143" t="s">
        <v>11</v>
      </c>
      <c r="C383" s="119" t="s">
        <v>7</v>
      </c>
      <c r="D383" s="93"/>
      <c r="E383" s="93"/>
      <c r="F383" s="93"/>
      <c r="G383" s="93"/>
      <c r="H383" s="93"/>
      <c r="I383" s="93"/>
      <c r="J383" s="93"/>
      <c r="K383" s="93"/>
      <c r="L383" s="94"/>
      <c r="M383" s="94"/>
      <c r="N383" s="94"/>
      <c r="O383" s="79"/>
      <c r="P383" s="27"/>
      <c r="Q383" s="21">
        <f t="shared" si="58"/>
        <v>0</v>
      </c>
    </row>
    <row r="384" spans="1:17">
      <c r="A384" s="141"/>
      <c r="B384" s="143"/>
      <c r="C384" s="117" t="s">
        <v>4</v>
      </c>
      <c r="D384" s="95"/>
      <c r="E384" s="95"/>
      <c r="F384" s="95"/>
      <c r="G384" s="95"/>
      <c r="H384" s="95"/>
      <c r="I384" s="95"/>
      <c r="J384" s="95"/>
      <c r="K384" s="95"/>
      <c r="L384" s="91"/>
      <c r="M384" s="91"/>
      <c r="N384" s="91"/>
      <c r="O384" s="80"/>
      <c r="P384" s="32"/>
      <c r="Q384" s="20">
        <f t="shared" si="58"/>
        <v>0</v>
      </c>
    </row>
    <row r="385" spans="1:17">
      <c r="A385" s="141"/>
      <c r="B385" s="143"/>
      <c r="C385" s="117" t="s">
        <v>17</v>
      </c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80"/>
      <c r="P385" s="32"/>
      <c r="Q385" s="20">
        <f t="shared" si="58"/>
        <v>0</v>
      </c>
    </row>
    <row r="386" spans="1:17">
      <c r="A386" s="141"/>
      <c r="B386" s="143"/>
      <c r="C386" s="117" t="s">
        <v>18</v>
      </c>
      <c r="D386" s="90"/>
      <c r="E386" s="90"/>
      <c r="F386" s="90"/>
      <c r="G386" s="90"/>
      <c r="H386" s="91"/>
      <c r="I386" s="91"/>
      <c r="J386" s="91"/>
      <c r="K386" s="91"/>
      <c r="L386" s="91"/>
      <c r="M386" s="91"/>
      <c r="N386" s="91"/>
      <c r="O386" s="80"/>
      <c r="P386" s="32"/>
      <c r="Q386" s="20">
        <f t="shared" si="58"/>
        <v>0</v>
      </c>
    </row>
    <row r="387" spans="1:17">
      <c r="A387" s="141"/>
      <c r="B387" s="143"/>
      <c r="C387" s="120" t="s">
        <v>19</v>
      </c>
      <c r="D387" s="96"/>
      <c r="E387" s="96"/>
      <c r="F387" s="96"/>
      <c r="G387" s="96"/>
      <c r="H387" s="92"/>
      <c r="I387" s="92"/>
      <c r="J387" s="92"/>
      <c r="K387" s="92"/>
      <c r="L387" s="92"/>
      <c r="M387" s="92"/>
      <c r="N387" s="92"/>
      <c r="O387" s="18"/>
      <c r="P387" s="33"/>
      <c r="Q387" s="22">
        <f t="shared" si="58"/>
        <v>0</v>
      </c>
    </row>
    <row r="388" spans="1:17">
      <c r="A388" s="141"/>
      <c r="B388" s="143" t="s">
        <v>13</v>
      </c>
      <c r="C388" s="119" t="s">
        <v>10</v>
      </c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79"/>
      <c r="P388" s="27"/>
      <c r="Q388" s="21">
        <f t="shared" si="58"/>
        <v>0</v>
      </c>
    </row>
    <row r="389" spans="1:17">
      <c r="A389" s="141"/>
      <c r="B389" s="143"/>
      <c r="C389" s="116" t="s">
        <v>55</v>
      </c>
      <c r="D389" s="89"/>
      <c r="E389" s="89"/>
      <c r="F389" s="89"/>
      <c r="G389" s="89"/>
      <c r="H389" s="89"/>
      <c r="I389" s="89"/>
      <c r="J389" s="89"/>
      <c r="K389" s="89"/>
      <c r="L389" s="89"/>
      <c r="M389" s="89"/>
      <c r="N389" s="89"/>
      <c r="O389" s="17"/>
      <c r="P389" s="28"/>
      <c r="Q389" s="20">
        <f t="shared" si="58"/>
        <v>0</v>
      </c>
    </row>
    <row r="390" spans="1:17">
      <c r="A390" s="141"/>
      <c r="B390" s="143"/>
      <c r="C390" s="116" t="s">
        <v>56</v>
      </c>
      <c r="D390" s="89"/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17"/>
      <c r="P390" s="28"/>
      <c r="Q390" s="20">
        <f t="shared" si="58"/>
        <v>0</v>
      </c>
    </row>
    <row r="391" spans="1:17">
      <c r="A391" s="141"/>
      <c r="B391" s="143"/>
      <c r="C391" s="120" t="s">
        <v>61</v>
      </c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18"/>
      <c r="P391" s="33"/>
      <c r="Q391" s="22">
        <f t="shared" si="58"/>
        <v>0</v>
      </c>
    </row>
    <row r="392" spans="1:17">
      <c r="A392" s="141"/>
      <c r="B392" s="156" t="s">
        <v>54</v>
      </c>
      <c r="C392" s="157"/>
      <c r="D392" s="56">
        <f>SUM(D375:D382)-SUM(D386:D387)</f>
        <v>0</v>
      </c>
      <c r="E392" s="56">
        <f t="shared" ref="E392:O392" si="59">SUM(E375:E382)-SUM(E386:E387)</f>
        <v>0</v>
      </c>
      <c r="F392" s="56">
        <f t="shared" si="59"/>
        <v>0</v>
      </c>
      <c r="G392" s="56">
        <f>SUM(G375:G382)-SUM(G386:G387)</f>
        <v>0</v>
      </c>
      <c r="H392" s="56">
        <f t="shared" si="59"/>
        <v>0</v>
      </c>
      <c r="I392" s="56">
        <f t="shared" si="59"/>
        <v>0</v>
      </c>
      <c r="J392" s="56">
        <f t="shared" si="59"/>
        <v>0</v>
      </c>
      <c r="K392" s="56">
        <f t="shared" si="59"/>
        <v>0</v>
      </c>
      <c r="L392" s="56">
        <f t="shared" si="59"/>
        <v>0</v>
      </c>
      <c r="M392" s="56">
        <f t="shared" si="59"/>
        <v>0</v>
      </c>
      <c r="N392" s="56">
        <f t="shared" si="59"/>
        <v>0</v>
      </c>
      <c r="O392" s="57">
        <f t="shared" si="59"/>
        <v>0</v>
      </c>
      <c r="P392" s="60">
        <f>SUM(P375:P382)-SUM(P386:P387)</f>
        <v>0</v>
      </c>
      <c r="Q392" s="59">
        <f>SUM(D392:P392)</f>
        <v>0</v>
      </c>
    </row>
    <row r="393" spans="1:17" ht="14.25" thickBot="1">
      <c r="A393" s="142"/>
      <c r="B393" s="147" t="s">
        <v>5</v>
      </c>
      <c r="C393" s="148"/>
      <c r="D393" s="42">
        <f>SUM(D375:D382)-SUM(D383:D387)+SUM(D388:D391)</f>
        <v>0</v>
      </c>
      <c r="E393" s="42">
        <f>SUM(E375:E382)-SUM(E383:E387)+SUM(E388:E391)</f>
        <v>0</v>
      </c>
      <c r="F393" s="42">
        <f t="shared" ref="F393:O393" si="60">SUM(F375:F382)-SUM(F383:F387)+SUM(F388:F391)</f>
        <v>0</v>
      </c>
      <c r="G393" s="42">
        <f>SUM(G375:G382)-SUM(G383:G387)+SUM(G388:G391)</f>
        <v>0</v>
      </c>
      <c r="H393" s="42">
        <f t="shared" si="60"/>
        <v>0</v>
      </c>
      <c r="I393" s="42">
        <f t="shared" si="60"/>
        <v>0</v>
      </c>
      <c r="J393" s="42">
        <f t="shared" si="60"/>
        <v>0</v>
      </c>
      <c r="K393" s="42">
        <f t="shared" si="60"/>
        <v>0</v>
      </c>
      <c r="L393" s="42">
        <f t="shared" si="60"/>
        <v>0</v>
      </c>
      <c r="M393" s="42">
        <f t="shared" si="60"/>
        <v>0</v>
      </c>
      <c r="N393" s="42">
        <f t="shared" si="60"/>
        <v>0</v>
      </c>
      <c r="O393" s="43">
        <f t="shared" si="60"/>
        <v>0</v>
      </c>
      <c r="P393" s="44">
        <f>SUM(P375:P382)-SUM(P383:P387)+SUM(P388:P391)</f>
        <v>0</v>
      </c>
      <c r="Q393" s="46">
        <f t="shared" si="58"/>
        <v>0</v>
      </c>
    </row>
    <row r="394" spans="1:17">
      <c r="A394" s="140"/>
      <c r="B394" s="158" t="s">
        <v>12</v>
      </c>
      <c r="C394" s="114" t="s">
        <v>87</v>
      </c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78"/>
      <c r="P394" s="30"/>
      <c r="Q394" s="19">
        <f>SUM(D394:P394)</f>
        <v>0</v>
      </c>
    </row>
    <row r="395" spans="1:17">
      <c r="A395" s="141"/>
      <c r="B395" s="154"/>
      <c r="C395" s="115" t="s">
        <v>89</v>
      </c>
      <c r="D395" s="88"/>
      <c r="E395" s="88"/>
      <c r="F395" s="88"/>
      <c r="G395" s="88"/>
      <c r="H395" s="88"/>
      <c r="I395" s="88"/>
      <c r="J395" s="88"/>
      <c r="K395" s="88"/>
      <c r="L395" s="88"/>
      <c r="M395" s="88"/>
      <c r="N395" s="88"/>
      <c r="O395" s="81"/>
      <c r="P395" s="31"/>
      <c r="Q395" s="20">
        <f t="shared" ref="Q395:Q412" si="61">SUM(D395:P395)</f>
        <v>0</v>
      </c>
    </row>
    <row r="396" spans="1:17">
      <c r="A396" s="141"/>
      <c r="B396" s="143"/>
      <c r="C396" s="116" t="s">
        <v>88</v>
      </c>
      <c r="D396" s="89"/>
      <c r="E396" s="90"/>
      <c r="F396" s="90"/>
      <c r="G396" s="90"/>
      <c r="H396" s="89"/>
      <c r="I396" s="89"/>
      <c r="J396" s="89"/>
      <c r="K396" s="89"/>
      <c r="L396" s="89"/>
      <c r="M396" s="89"/>
      <c r="N396" s="89"/>
      <c r="O396" s="17"/>
      <c r="P396" s="28"/>
      <c r="Q396" s="20">
        <f t="shared" si="61"/>
        <v>0</v>
      </c>
    </row>
    <row r="397" spans="1:17">
      <c r="A397" s="141"/>
      <c r="B397" s="143"/>
      <c r="C397" s="117" t="s">
        <v>90</v>
      </c>
      <c r="D397" s="91"/>
      <c r="E397" s="89"/>
      <c r="F397" s="89"/>
      <c r="G397" s="91"/>
      <c r="H397" s="91"/>
      <c r="I397" s="91"/>
      <c r="J397" s="91"/>
      <c r="K397" s="91"/>
      <c r="L397" s="91"/>
      <c r="M397" s="91"/>
      <c r="N397" s="91"/>
      <c r="O397" s="80"/>
      <c r="P397" s="32"/>
      <c r="Q397" s="20">
        <f t="shared" si="61"/>
        <v>0</v>
      </c>
    </row>
    <row r="398" spans="1:17">
      <c r="A398" s="141"/>
      <c r="B398" s="143"/>
      <c r="C398" s="117" t="s">
        <v>91</v>
      </c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80"/>
      <c r="P398" s="32"/>
      <c r="Q398" s="20">
        <f t="shared" si="61"/>
        <v>0</v>
      </c>
    </row>
    <row r="399" spans="1:17">
      <c r="A399" s="141"/>
      <c r="B399" s="143"/>
      <c r="C399" s="117" t="s">
        <v>92</v>
      </c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80"/>
      <c r="P399" s="32"/>
      <c r="Q399" s="20">
        <f t="shared" si="61"/>
        <v>0</v>
      </c>
    </row>
    <row r="400" spans="1:17">
      <c r="A400" s="141"/>
      <c r="B400" s="143"/>
      <c r="C400" s="116" t="s">
        <v>93</v>
      </c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80"/>
      <c r="P400" s="32"/>
      <c r="Q400" s="20">
        <f t="shared" si="61"/>
        <v>0</v>
      </c>
    </row>
    <row r="401" spans="1:17">
      <c r="A401" s="141"/>
      <c r="B401" s="143"/>
      <c r="C401" s="118" t="s">
        <v>94</v>
      </c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18"/>
      <c r="P401" s="33"/>
      <c r="Q401" s="22">
        <f t="shared" si="61"/>
        <v>0</v>
      </c>
    </row>
    <row r="402" spans="1:17">
      <c r="A402" s="141"/>
      <c r="B402" s="143" t="s">
        <v>11</v>
      </c>
      <c r="C402" s="119" t="s">
        <v>7</v>
      </c>
      <c r="D402" s="93"/>
      <c r="E402" s="93"/>
      <c r="F402" s="93"/>
      <c r="G402" s="93"/>
      <c r="H402" s="93"/>
      <c r="I402" s="93"/>
      <c r="J402" s="93"/>
      <c r="K402" s="93"/>
      <c r="L402" s="94"/>
      <c r="M402" s="94"/>
      <c r="N402" s="94"/>
      <c r="O402" s="79"/>
      <c r="P402" s="27"/>
      <c r="Q402" s="21">
        <f t="shared" si="61"/>
        <v>0</v>
      </c>
    </row>
    <row r="403" spans="1:17">
      <c r="A403" s="141"/>
      <c r="B403" s="143"/>
      <c r="C403" s="117" t="s">
        <v>4</v>
      </c>
      <c r="D403" s="95"/>
      <c r="E403" s="95"/>
      <c r="F403" s="95"/>
      <c r="G403" s="95"/>
      <c r="H403" s="95"/>
      <c r="I403" s="95"/>
      <c r="J403" s="95"/>
      <c r="K403" s="95"/>
      <c r="L403" s="91"/>
      <c r="M403" s="91"/>
      <c r="N403" s="91"/>
      <c r="O403" s="80"/>
      <c r="P403" s="32"/>
      <c r="Q403" s="20">
        <f t="shared" si="61"/>
        <v>0</v>
      </c>
    </row>
    <row r="404" spans="1:17">
      <c r="A404" s="141"/>
      <c r="B404" s="143"/>
      <c r="C404" s="117" t="s">
        <v>17</v>
      </c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80"/>
      <c r="P404" s="32"/>
      <c r="Q404" s="20">
        <f t="shared" si="61"/>
        <v>0</v>
      </c>
    </row>
    <row r="405" spans="1:17">
      <c r="A405" s="141"/>
      <c r="B405" s="143"/>
      <c r="C405" s="117" t="s">
        <v>18</v>
      </c>
      <c r="D405" s="90"/>
      <c r="E405" s="90"/>
      <c r="F405" s="90"/>
      <c r="G405" s="90"/>
      <c r="H405" s="91"/>
      <c r="I405" s="91"/>
      <c r="J405" s="91"/>
      <c r="K405" s="91"/>
      <c r="L405" s="91"/>
      <c r="M405" s="91"/>
      <c r="N405" s="91"/>
      <c r="O405" s="80"/>
      <c r="P405" s="32"/>
      <c r="Q405" s="20">
        <f t="shared" si="61"/>
        <v>0</v>
      </c>
    </row>
    <row r="406" spans="1:17">
      <c r="A406" s="141"/>
      <c r="B406" s="143"/>
      <c r="C406" s="120" t="s">
        <v>19</v>
      </c>
      <c r="D406" s="96"/>
      <c r="E406" s="96"/>
      <c r="F406" s="96"/>
      <c r="G406" s="96"/>
      <c r="H406" s="92"/>
      <c r="I406" s="92"/>
      <c r="J406" s="92"/>
      <c r="K406" s="92"/>
      <c r="L406" s="92"/>
      <c r="M406" s="92"/>
      <c r="N406" s="92"/>
      <c r="O406" s="18"/>
      <c r="P406" s="33"/>
      <c r="Q406" s="22">
        <f t="shared" si="61"/>
        <v>0</v>
      </c>
    </row>
    <row r="407" spans="1:17">
      <c r="A407" s="141"/>
      <c r="B407" s="143" t="s">
        <v>13</v>
      </c>
      <c r="C407" s="119" t="s">
        <v>10</v>
      </c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79"/>
      <c r="P407" s="27"/>
      <c r="Q407" s="21">
        <f t="shared" si="61"/>
        <v>0</v>
      </c>
    </row>
    <row r="408" spans="1:17">
      <c r="A408" s="141"/>
      <c r="B408" s="143"/>
      <c r="C408" s="116" t="s">
        <v>55</v>
      </c>
      <c r="D408" s="89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17"/>
      <c r="P408" s="28"/>
      <c r="Q408" s="20">
        <f t="shared" si="61"/>
        <v>0</v>
      </c>
    </row>
    <row r="409" spans="1:17">
      <c r="A409" s="141"/>
      <c r="B409" s="143"/>
      <c r="C409" s="116" t="s">
        <v>56</v>
      </c>
      <c r="D409" s="89"/>
      <c r="E409" s="89"/>
      <c r="F409" s="89"/>
      <c r="G409" s="89"/>
      <c r="H409" s="89"/>
      <c r="I409" s="89"/>
      <c r="J409" s="89"/>
      <c r="K409" s="89"/>
      <c r="L409" s="89"/>
      <c r="M409" s="89"/>
      <c r="N409" s="89"/>
      <c r="O409" s="17"/>
      <c r="P409" s="28"/>
      <c r="Q409" s="20">
        <f t="shared" si="61"/>
        <v>0</v>
      </c>
    </row>
    <row r="410" spans="1:17">
      <c r="A410" s="141"/>
      <c r="B410" s="143"/>
      <c r="C410" s="120" t="s">
        <v>61</v>
      </c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18"/>
      <c r="P410" s="33"/>
      <c r="Q410" s="22">
        <f t="shared" si="61"/>
        <v>0</v>
      </c>
    </row>
    <row r="411" spans="1:17">
      <c r="A411" s="141"/>
      <c r="B411" s="156" t="s">
        <v>54</v>
      </c>
      <c r="C411" s="157"/>
      <c r="D411" s="56">
        <f>SUM(D394:D401)-SUM(D405:D406)</f>
        <v>0</v>
      </c>
      <c r="E411" s="56">
        <f t="shared" ref="E411:O411" si="62">SUM(E394:E401)-SUM(E405:E406)</f>
        <v>0</v>
      </c>
      <c r="F411" s="56">
        <f t="shared" si="62"/>
        <v>0</v>
      </c>
      <c r="G411" s="56">
        <f>SUM(G394:G401)-SUM(G405:G406)</f>
        <v>0</v>
      </c>
      <c r="H411" s="56">
        <f t="shared" si="62"/>
        <v>0</v>
      </c>
      <c r="I411" s="56">
        <f t="shared" si="62"/>
        <v>0</v>
      </c>
      <c r="J411" s="56">
        <f t="shared" si="62"/>
        <v>0</v>
      </c>
      <c r="K411" s="56">
        <f t="shared" si="62"/>
        <v>0</v>
      </c>
      <c r="L411" s="56">
        <f t="shared" si="62"/>
        <v>0</v>
      </c>
      <c r="M411" s="56">
        <f t="shared" si="62"/>
        <v>0</v>
      </c>
      <c r="N411" s="56">
        <f t="shared" si="62"/>
        <v>0</v>
      </c>
      <c r="O411" s="57">
        <f t="shared" si="62"/>
        <v>0</v>
      </c>
      <c r="P411" s="60">
        <f>SUM(P394:P401)-SUM(P405:P406)</f>
        <v>0</v>
      </c>
      <c r="Q411" s="59">
        <f>SUM(D411:P411)</f>
        <v>0</v>
      </c>
    </row>
    <row r="412" spans="1:17" ht="14.25" thickBot="1">
      <c r="A412" s="142"/>
      <c r="B412" s="147" t="s">
        <v>5</v>
      </c>
      <c r="C412" s="148"/>
      <c r="D412" s="42">
        <f>SUM(D394:D401)-SUM(D402:D406)+SUM(D407:D410)</f>
        <v>0</v>
      </c>
      <c r="E412" s="42">
        <f>SUM(E394:E401)-SUM(E402:E406)+SUM(E407:E410)</f>
        <v>0</v>
      </c>
      <c r="F412" s="42">
        <f t="shared" ref="F412:O412" si="63">SUM(F394:F401)-SUM(F402:F406)+SUM(F407:F410)</f>
        <v>0</v>
      </c>
      <c r="G412" s="42">
        <f>SUM(G394:G401)-SUM(G402:G406)+SUM(G407:G410)</f>
        <v>0</v>
      </c>
      <c r="H412" s="42">
        <f t="shared" si="63"/>
        <v>0</v>
      </c>
      <c r="I412" s="42">
        <f t="shared" si="63"/>
        <v>0</v>
      </c>
      <c r="J412" s="42">
        <f t="shared" si="63"/>
        <v>0</v>
      </c>
      <c r="K412" s="42">
        <f t="shared" si="63"/>
        <v>0</v>
      </c>
      <c r="L412" s="42">
        <f t="shared" si="63"/>
        <v>0</v>
      </c>
      <c r="M412" s="42">
        <f t="shared" si="63"/>
        <v>0</v>
      </c>
      <c r="N412" s="42">
        <f t="shared" si="63"/>
        <v>0</v>
      </c>
      <c r="O412" s="43">
        <f t="shared" si="63"/>
        <v>0</v>
      </c>
      <c r="P412" s="44">
        <f>SUM(P394:P401)-SUM(P402:P406)+SUM(P407:P410)</f>
        <v>0</v>
      </c>
      <c r="Q412" s="46">
        <f t="shared" si="61"/>
        <v>0</v>
      </c>
    </row>
    <row r="413" spans="1:17">
      <c r="A413" s="140"/>
      <c r="B413" s="158" t="s">
        <v>12</v>
      </c>
      <c r="C413" s="114" t="s">
        <v>87</v>
      </c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78"/>
      <c r="P413" s="30"/>
      <c r="Q413" s="19">
        <f>SUM(D413:P413)</f>
        <v>0</v>
      </c>
    </row>
    <row r="414" spans="1:17">
      <c r="A414" s="141"/>
      <c r="B414" s="154"/>
      <c r="C414" s="115" t="s">
        <v>89</v>
      </c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1"/>
      <c r="P414" s="31"/>
      <c r="Q414" s="20">
        <f t="shared" ref="Q414:Q431" si="64">SUM(D414:P414)</f>
        <v>0</v>
      </c>
    </row>
    <row r="415" spans="1:17">
      <c r="A415" s="141"/>
      <c r="B415" s="143"/>
      <c r="C415" s="116" t="s">
        <v>88</v>
      </c>
      <c r="D415" s="89"/>
      <c r="E415" s="90"/>
      <c r="F415" s="90"/>
      <c r="G415" s="90"/>
      <c r="H415" s="89"/>
      <c r="I415" s="89"/>
      <c r="J415" s="89"/>
      <c r="K415" s="89"/>
      <c r="L415" s="89"/>
      <c r="M415" s="89"/>
      <c r="N415" s="89"/>
      <c r="O415" s="17"/>
      <c r="P415" s="28"/>
      <c r="Q415" s="20">
        <f t="shared" si="64"/>
        <v>0</v>
      </c>
    </row>
    <row r="416" spans="1:17">
      <c r="A416" s="141"/>
      <c r="B416" s="143"/>
      <c r="C416" s="117" t="s">
        <v>90</v>
      </c>
      <c r="D416" s="91"/>
      <c r="E416" s="89"/>
      <c r="F416" s="89"/>
      <c r="G416" s="91"/>
      <c r="H416" s="91"/>
      <c r="I416" s="91"/>
      <c r="J416" s="91"/>
      <c r="K416" s="91"/>
      <c r="L416" s="91"/>
      <c r="M416" s="91"/>
      <c r="N416" s="91"/>
      <c r="O416" s="80"/>
      <c r="P416" s="32"/>
      <c r="Q416" s="20">
        <f t="shared" si="64"/>
        <v>0</v>
      </c>
    </row>
    <row r="417" spans="1:17">
      <c r="A417" s="141"/>
      <c r="B417" s="143"/>
      <c r="C417" s="117" t="s">
        <v>91</v>
      </c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80"/>
      <c r="P417" s="32"/>
      <c r="Q417" s="20">
        <f t="shared" si="64"/>
        <v>0</v>
      </c>
    </row>
    <row r="418" spans="1:17">
      <c r="A418" s="141"/>
      <c r="B418" s="143"/>
      <c r="C418" s="117" t="s">
        <v>92</v>
      </c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80"/>
      <c r="P418" s="32"/>
      <c r="Q418" s="20">
        <f t="shared" si="64"/>
        <v>0</v>
      </c>
    </row>
    <row r="419" spans="1:17">
      <c r="A419" s="141"/>
      <c r="B419" s="143"/>
      <c r="C419" s="116" t="s">
        <v>93</v>
      </c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80"/>
      <c r="P419" s="32"/>
      <c r="Q419" s="20">
        <f t="shared" si="64"/>
        <v>0</v>
      </c>
    </row>
    <row r="420" spans="1:17">
      <c r="A420" s="141"/>
      <c r="B420" s="143"/>
      <c r="C420" s="118" t="s">
        <v>94</v>
      </c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18"/>
      <c r="P420" s="33"/>
      <c r="Q420" s="22">
        <f t="shared" si="64"/>
        <v>0</v>
      </c>
    </row>
    <row r="421" spans="1:17">
      <c r="A421" s="141"/>
      <c r="B421" s="143" t="s">
        <v>11</v>
      </c>
      <c r="C421" s="119" t="s">
        <v>7</v>
      </c>
      <c r="D421" s="93"/>
      <c r="E421" s="93"/>
      <c r="F421" s="93"/>
      <c r="G421" s="93"/>
      <c r="H421" s="93"/>
      <c r="I421" s="93"/>
      <c r="J421" s="93"/>
      <c r="K421" s="93"/>
      <c r="L421" s="94"/>
      <c r="M421" s="94"/>
      <c r="N421" s="94"/>
      <c r="O421" s="79"/>
      <c r="P421" s="27"/>
      <c r="Q421" s="21">
        <f t="shared" si="64"/>
        <v>0</v>
      </c>
    </row>
    <row r="422" spans="1:17">
      <c r="A422" s="141"/>
      <c r="B422" s="143"/>
      <c r="C422" s="117" t="s">
        <v>4</v>
      </c>
      <c r="D422" s="95"/>
      <c r="E422" s="95"/>
      <c r="F422" s="95"/>
      <c r="G422" s="95"/>
      <c r="H422" s="95"/>
      <c r="I422" s="95"/>
      <c r="J422" s="95"/>
      <c r="K422" s="95"/>
      <c r="L422" s="91"/>
      <c r="M422" s="91"/>
      <c r="N422" s="91"/>
      <c r="O422" s="80"/>
      <c r="P422" s="32"/>
      <c r="Q422" s="20">
        <f t="shared" si="64"/>
        <v>0</v>
      </c>
    </row>
    <row r="423" spans="1:17">
      <c r="A423" s="141"/>
      <c r="B423" s="143"/>
      <c r="C423" s="117" t="s">
        <v>17</v>
      </c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80"/>
      <c r="P423" s="32"/>
      <c r="Q423" s="20">
        <f t="shared" si="64"/>
        <v>0</v>
      </c>
    </row>
    <row r="424" spans="1:17">
      <c r="A424" s="141"/>
      <c r="B424" s="143"/>
      <c r="C424" s="117" t="s">
        <v>18</v>
      </c>
      <c r="D424" s="90"/>
      <c r="E424" s="90"/>
      <c r="F424" s="90"/>
      <c r="G424" s="90"/>
      <c r="H424" s="91"/>
      <c r="I424" s="91"/>
      <c r="J424" s="91"/>
      <c r="K424" s="91"/>
      <c r="L424" s="91"/>
      <c r="M424" s="91"/>
      <c r="N424" s="91"/>
      <c r="O424" s="80"/>
      <c r="P424" s="32"/>
      <c r="Q424" s="20">
        <f t="shared" si="64"/>
        <v>0</v>
      </c>
    </row>
    <row r="425" spans="1:17">
      <c r="A425" s="141"/>
      <c r="B425" s="143"/>
      <c r="C425" s="120" t="s">
        <v>19</v>
      </c>
      <c r="D425" s="96"/>
      <c r="E425" s="96"/>
      <c r="F425" s="96"/>
      <c r="G425" s="96"/>
      <c r="H425" s="92"/>
      <c r="I425" s="92"/>
      <c r="J425" s="92"/>
      <c r="K425" s="92"/>
      <c r="L425" s="92"/>
      <c r="M425" s="92"/>
      <c r="N425" s="92"/>
      <c r="O425" s="18"/>
      <c r="P425" s="33"/>
      <c r="Q425" s="22">
        <f t="shared" si="64"/>
        <v>0</v>
      </c>
    </row>
    <row r="426" spans="1:17">
      <c r="A426" s="141"/>
      <c r="B426" s="143" t="s">
        <v>13</v>
      </c>
      <c r="C426" s="119" t="s">
        <v>10</v>
      </c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79"/>
      <c r="P426" s="27"/>
      <c r="Q426" s="21">
        <f t="shared" si="64"/>
        <v>0</v>
      </c>
    </row>
    <row r="427" spans="1:17">
      <c r="A427" s="141"/>
      <c r="B427" s="143"/>
      <c r="C427" s="116" t="s">
        <v>55</v>
      </c>
      <c r="D427" s="89"/>
      <c r="E427" s="89"/>
      <c r="F427" s="89"/>
      <c r="G427" s="89"/>
      <c r="H427" s="89"/>
      <c r="I427" s="89"/>
      <c r="J427" s="89"/>
      <c r="K427" s="89"/>
      <c r="L427" s="89"/>
      <c r="M427" s="89"/>
      <c r="N427" s="89"/>
      <c r="O427" s="17"/>
      <c r="P427" s="28"/>
      <c r="Q427" s="20">
        <f t="shared" si="64"/>
        <v>0</v>
      </c>
    </row>
    <row r="428" spans="1:17">
      <c r="A428" s="141"/>
      <c r="B428" s="143"/>
      <c r="C428" s="116" t="s">
        <v>56</v>
      </c>
      <c r="D428" s="89"/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17"/>
      <c r="P428" s="28"/>
      <c r="Q428" s="20">
        <f t="shared" si="64"/>
        <v>0</v>
      </c>
    </row>
    <row r="429" spans="1:17">
      <c r="A429" s="141"/>
      <c r="B429" s="143"/>
      <c r="C429" s="120" t="s">
        <v>61</v>
      </c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18"/>
      <c r="P429" s="33"/>
      <c r="Q429" s="22">
        <f t="shared" si="64"/>
        <v>0</v>
      </c>
    </row>
    <row r="430" spans="1:17">
      <c r="A430" s="141"/>
      <c r="B430" s="156" t="s">
        <v>54</v>
      </c>
      <c r="C430" s="157"/>
      <c r="D430" s="56">
        <f>SUM(D413:D420)-SUM(D424:D425)</f>
        <v>0</v>
      </c>
      <c r="E430" s="56">
        <f t="shared" ref="E430:O430" si="65">SUM(E413:E420)-SUM(E424:E425)</f>
        <v>0</v>
      </c>
      <c r="F430" s="56">
        <f t="shared" si="65"/>
        <v>0</v>
      </c>
      <c r="G430" s="56">
        <f>SUM(G413:G420)-SUM(G424:G425)</f>
        <v>0</v>
      </c>
      <c r="H430" s="56">
        <f t="shared" si="65"/>
        <v>0</v>
      </c>
      <c r="I430" s="56">
        <f t="shared" si="65"/>
        <v>0</v>
      </c>
      <c r="J430" s="56">
        <f t="shared" si="65"/>
        <v>0</v>
      </c>
      <c r="K430" s="56">
        <f t="shared" si="65"/>
        <v>0</v>
      </c>
      <c r="L430" s="56">
        <f t="shared" si="65"/>
        <v>0</v>
      </c>
      <c r="M430" s="56">
        <f t="shared" si="65"/>
        <v>0</v>
      </c>
      <c r="N430" s="56">
        <f t="shared" si="65"/>
        <v>0</v>
      </c>
      <c r="O430" s="57">
        <f t="shared" si="65"/>
        <v>0</v>
      </c>
      <c r="P430" s="60">
        <f>SUM(P413:P420)-SUM(P424:P425)</f>
        <v>0</v>
      </c>
      <c r="Q430" s="59">
        <f>SUM(D430:P430)</f>
        <v>0</v>
      </c>
    </row>
    <row r="431" spans="1:17" ht="14.25" thickBot="1">
      <c r="A431" s="142"/>
      <c r="B431" s="147" t="s">
        <v>5</v>
      </c>
      <c r="C431" s="148"/>
      <c r="D431" s="42">
        <f>SUM(D413:D420)-SUM(D421:D425)+SUM(D426:D429)</f>
        <v>0</v>
      </c>
      <c r="E431" s="42">
        <f>SUM(E413:E420)-SUM(E421:E425)+SUM(E426:E429)</f>
        <v>0</v>
      </c>
      <c r="F431" s="42">
        <f t="shared" ref="F431:O431" si="66">SUM(F413:F420)-SUM(F421:F425)+SUM(F426:F429)</f>
        <v>0</v>
      </c>
      <c r="G431" s="42">
        <f>SUM(G413:G420)-SUM(G421:G425)+SUM(G426:G429)</f>
        <v>0</v>
      </c>
      <c r="H431" s="42">
        <f t="shared" si="66"/>
        <v>0</v>
      </c>
      <c r="I431" s="42">
        <f t="shared" si="66"/>
        <v>0</v>
      </c>
      <c r="J431" s="42">
        <f t="shared" si="66"/>
        <v>0</v>
      </c>
      <c r="K431" s="42">
        <f t="shared" si="66"/>
        <v>0</v>
      </c>
      <c r="L431" s="42">
        <f t="shared" si="66"/>
        <v>0</v>
      </c>
      <c r="M431" s="42">
        <f t="shared" si="66"/>
        <v>0</v>
      </c>
      <c r="N431" s="42">
        <f t="shared" si="66"/>
        <v>0</v>
      </c>
      <c r="O431" s="43">
        <f t="shared" si="66"/>
        <v>0</v>
      </c>
      <c r="P431" s="44">
        <f>SUM(P413:P420)-SUM(P421:P425)+SUM(P426:P429)</f>
        <v>0</v>
      </c>
      <c r="Q431" s="46">
        <f t="shared" si="64"/>
        <v>0</v>
      </c>
    </row>
    <row r="432" spans="1:17">
      <c r="A432" s="140"/>
      <c r="B432" s="158" t="s">
        <v>12</v>
      </c>
      <c r="C432" s="114" t="s">
        <v>87</v>
      </c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78"/>
      <c r="P432" s="30"/>
      <c r="Q432" s="19">
        <f>SUM(D432:P432)</f>
        <v>0</v>
      </c>
    </row>
    <row r="433" spans="1:17">
      <c r="A433" s="141"/>
      <c r="B433" s="154"/>
      <c r="C433" s="115" t="s">
        <v>89</v>
      </c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1"/>
      <c r="P433" s="31"/>
      <c r="Q433" s="20">
        <f t="shared" ref="Q433:Q450" si="67">SUM(D433:P433)</f>
        <v>0</v>
      </c>
    </row>
    <row r="434" spans="1:17">
      <c r="A434" s="141"/>
      <c r="B434" s="143"/>
      <c r="C434" s="116" t="s">
        <v>88</v>
      </c>
      <c r="D434" s="89"/>
      <c r="E434" s="90"/>
      <c r="F434" s="90"/>
      <c r="G434" s="90"/>
      <c r="H434" s="89"/>
      <c r="I434" s="89"/>
      <c r="J434" s="89"/>
      <c r="K434" s="89"/>
      <c r="L434" s="89"/>
      <c r="M434" s="89"/>
      <c r="N434" s="89"/>
      <c r="O434" s="17"/>
      <c r="P434" s="28"/>
      <c r="Q434" s="20">
        <f t="shared" si="67"/>
        <v>0</v>
      </c>
    </row>
    <row r="435" spans="1:17">
      <c r="A435" s="141"/>
      <c r="B435" s="143"/>
      <c r="C435" s="117" t="s">
        <v>90</v>
      </c>
      <c r="D435" s="91"/>
      <c r="E435" s="89"/>
      <c r="F435" s="89"/>
      <c r="G435" s="91"/>
      <c r="H435" s="91"/>
      <c r="I435" s="91"/>
      <c r="J435" s="91"/>
      <c r="K435" s="91"/>
      <c r="L435" s="91"/>
      <c r="M435" s="91"/>
      <c r="N435" s="91"/>
      <c r="O435" s="80"/>
      <c r="P435" s="32"/>
      <c r="Q435" s="20">
        <f t="shared" si="67"/>
        <v>0</v>
      </c>
    </row>
    <row r="436" spans="1:17">
      <c r="A436" s="141"/>
      <c r="B436" s="143"/>
      <c r="C436" s="117" t="s">
        <v>91</v>
      </c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80"/>
      <c r="P436" s="32"/>
      <c r="Q436" s="20">
        <f t="shared" si="67"/>
        <v>0</v>
      </c>
    </row>
    <row r="437" spans="1:17">
      <c r="A437" s="141"/>
      <c r="B437" s="143"/>
      <c r="C437" s="117" t="s">
        <v>92</v>
      </c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80"/>
      <c r="P437" s="32"/>
      <c r="Q437" s="20">
        <f t="shared" si="67"/>
        <v>0</v>
      </c>
    </row>
    <row r="438" spans="1:17">
      <c r="A438" s="141"/>
      <c r="B438" s="143"/>
      <c r="C438" s="116" t="s">
        <v>93</v>
      </c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80"/>
      <c r="P438" s="32"/>
      <c r="Q438" s="20">
        <f t="shared" si="67"/>
        <v>0</v>
      </c>
    </row>
    <row r="439" spans="1:17">
      <c r="A439" s="141"/>
      <c r="B439" s="143"/>
      <c r="C439" s="118" t="s">
        <v>94</v>
      </c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18"/>
      <c r="P439" s="33"/>
      <c r="Q439" s="22">
        <f t="shared" si="67"/>
        <v>0</v>
      </c>
    </row>
    <row r="440" spans="1:17">
      <c r="A440" s="141"/>
      <c r="B440" s="143" t="s">
        <v>11</v>
      </c>
      <c r="C440" s="119" t="s">
        <v>7</v>
      </c>
      <c r="D440" s="93"/>
      <c r="E440" s="93"/>
      <c r="F440" s="93"/>
      <c r="G440" s="93"/>
      <c r="H440" s="93"/>
      <c r="I440" s="93"/>
      <c r="J440" s="93"/>
      <c r="K440" s="93"/>
      <c r="L440" s="94"/>
      <c r="M440" s="94"/>
      <c r="N440" s="94"/>
      <c r="O440" s="79"/>
      <c r="P440" s="27"/>
      <c r="Q440" s="21">
        <f t="shared" si="67"/>
        <v>0</v>
      </c>
    </row>
    <row r="441" spans="1:17">
      <c r="A441" s="141"/>
      <c r="B441" s="143"/>
      <c r="C441" s="117" t="s">
        <v>4</v>
      </c>
      <c r="D441" s="95"/>
      <c r="E441" s="95"/>
      <c r="F441" s="95"/>
      <c r="G441" s="95"/>
      <c r="H441" s="95"/>
      <c r="I441" s="95"/>
      <c r="J441" s="95"/>
      <c r="K441" s="95"/>
      <c r="L441" s="91"/>
      <c r="M441" s="91"/>
      <c r="N441" s="91"/>
      <c r="O441" s="80"/>
      <c r="P441" s="32"/>
      <c r="Q441" s="20">
        <f t="shared" si="67"/>
        <v>0</v>
      </c>
    </row>
    <row r="442" spans="1:17">
      <c r="A442" s="141"/>
      <c r="B442" s="143"/>
      <c r="C442" s="117" t="s">
        <v>17</v>
      </c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80"/>
      <c r="P442" s="32"/>
      <c r="Q442" s="20">
        <f t="shared" si="67"/>
        <v>0</v>
      </c>
    </row>
    <row r="443" spans="1:17">
      <c r="A443" s="141"/>
      <c r="B443" s="143"/>
      <c r="C443" s="117" t="s">
        <v>18</v>
      </c>
      <c r="D443" s="90"/>
      <c r="E443" s="90"/>
      <c r="F443" s="90"/>
      <c r="G443" s="90"/>
      <c r="H443" s="91"/>
      <c r="I443" s="91"/>
      <c r="J443" s="91"/>
      <c r="K443" s="91"/>
      <c r="L443" s="91"/>
      <c r="M443" s="91"/>
      <c r="N443" s="91"/>
      <c r="O443" s="80"/>
      <c r="P443" s="32"/>
      <c r="Q443" s="20">
        <f t="shared" si="67"/>
        <v>0</v>
      </c>
    </row>
    <row r="444" spans="1:17">
      <c r="A444" s="141"/>
      <c r="B444" s="143"/>
      <c r="C444" s="120" t="s">
        <v>19</v>
      </c>
      <c r="D444" s="96"/>
      <c r="E444" s="96"/>
      <c r="F444" s="96"/>
      <c r="G444" s="96"/>
      <c r="H444" s="92"/>
      <c r="I444" s="92"/>
      <c r="J444" s="92"/>
      <c r="K444" s="92"/>
      <c r="L444" s="92"/>
      <c r="M444" s="92"/>
      <c r="N444" s="92"/>
      <c r="O444" s="18"/>
      <c r="P444" s="33"/>
      <c r="Q444" s="22">
        <f t="shared" si="67"/>
        <v>0</v>
      </c>
    </row>
    <row r="445" spans="1:17">
      <c r="A445" s="141"/>
      <c r="B445" s="143" t="s">
        <v>13</v>
      </c>
      <c r="C445" s="119" t="s">
        <v>10</v>
      </c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79"/>
      <c r="P445" s="27"/>
      <c r="Q445" s="21">
        <f t="shared" si="67"/>
        <v>0</v>
      </c>
    </row>
    <row r="446" spans="1:17">
      <c r="A446" s="141"/>
      <c r="B446" s="143"/>
      <c r="C446" s="116" t="s">
        <v>55</v>
      </c>
      <c r="D446" s="89"/>
      <c r="E446" s="89"/>
      <c r="F446" s="89"/>
      <c r="G446" s="89"/>
      <c r="H446" s="89"/>
      <c r="I446" s="89"/>
      <c r="J446" s="89"/>
      <c r="K446" s="89"/>
      <c r="L446" s="89"/>
      <c r="M446" s="89"/>
      <c r="N446" s="89"/>
      <c r="O446" s="17"/>
      <c r="P446" s="28"/>
      <c r="Q446" s="20">
        <f t="shared" si="67"/>
        <v>0</v>
      </c>
    </row>
    <row r="447" spans="1:17">
      <c r="A447" s="141"/>
      <c r="B447" s="143"/>
      <c r="C447" s="116" t="s">
        <v>56</v>
      </c>
      <c r="D447" s="89"/>
      <c r="E447" s="89"/>
      <c r="F447" s="89"/>
      <c r="G447" s="89"/>
      <c r="H447" s="89"/>
      <c r="I447" s="89"/>
      <c r="J447" s="89"/>
      <c r="K447" s="89"/>
      <c r="L447" s="89"/>
      <c r="M447" s="89"/>
      <c r="N447" s="89"/>
      <c r="O447" s="17"/>
      <c r="P447" s="28"/>
      <c r="Q447" s="20">
        <f t="shared" si="67"/>
        <v>0</v>
      </c>
    </row>
    <row r="448" spans="1:17">
      <c r="A448" s="141"/>
      <c r="B448" s="143"/>
      <c r="C448" s="120" t="s">
        <v>61</v>
      </c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18"/>
      <c r="P448" s="33"/>
      <c r="Q448" s="22">
        <f t="shared" si="67"/>
        <v>0</v>
      </c>
    </row>
    <row r="449" spans="1:17">
      <c r="A449" s="141"/>
      <c r="B449" s="156" t="s">
        <v>54</v>
      </c>
      <c r="C449" s="157"/>
      <c r="D449" s="56">
        <f>SUM(D432:D439)-SUM(D443:D444)</f>
        <v>0</v>
      </c>
      <c r="E449" s="56">
        <f t="shared" ref="E449:O449" si="68">SUM(E432:E439)-SUM(E443:E444)</f>
        <v>0</v>
      </c>
      <c r="F449" s="56">
        <f t="shared" si="68"/>
        <v>0</v>
      </c>
      <c r="G449" s="56">
        <f>SUM(G432:G439)-SUM(G443:G444)</f>
        <v>0</v>
      </c>
      <c r="H449" s="56">
        <f t="shared" si="68"/>
        <v>0</v>
      </c>
      <c r="I449" s="56">
        <f t="shared" si="68"/>
        <v>0</v>
      </c>
      <c r="J449" s="56">
        <f t="shared" si="68"/>
        <v>0</v>
      </c>
      <c r="K449" s="56">
        <f t="shared" si="68"/>
        <v>0</v>
      </c>
      <c r="L449" s="56">
        <f t="shared" si="68"/>
        <v>0</v>
      </c>
      <c r="M449" s="56">
        <f t="shared" si="68"/>
        <v>0</v>
      </c>
      <c r="N449" s="56">
        <f t="shared" si="68"/>
        <v>0</v>
      </c>
      <c r="O449" s="57">
        <f t="shared" si="68"/>
        <v>0</v>
      </c>
      <c r="P449" s="60">
        <f>SUM(P432:P439)-SUM(P443:P444)</f>
        <v>0</v>
      </c>
      <c r="Q449" s="59">
        <f>SUM(D449:P449)</f>
        <v>0</v>
      </c>
    </row>
    <row r="450" spans="1:17" ht="14.25" thickBot="1">
      <c r="A450" s="142"/>
      <c r="B450" s="147" t="s">
        <v>5</v>
      </c>
      <c r="C450" s="148"/>
      <c r="D450" s="42">
        <f>SUM(D432:D439)-SUM(D440:D444)+SUM(D445:D448)</f>
        <v>0</v>
      </c>
      <c r="E450" s="42">
        <f>SUM(E432:E439)-SUM(E440:E444)+SUM(E445:E448)</f>
        <v>0</v>
      </c>
      <c r="F450" s="42">
        <f t="shared" ref="F450:O450" si="69">SUM(F432:F439)-SUM(F440:F444)+SUM(F445:F448)</f>
        <v>0</v>
      </c>
      <c r="G450" s="42">
        <f>SUM(G432:G439)-SUM(G440:G444)+SUM(G445:G448)</f>
        <v>0</v>
      </c>
      <c r="H450" s="42">
        <f t="shared" si="69"/>
        <v>0</v>
      </c>
      <c r="I450" s="42">
        <f t="shared" si="69"/>
        <v>0</v>
      </c>
      <c r="J450" s="42">
        <f t="shared" si="69"/>
        <v>0</v>
      </c>
      <c r="K450" s="42">
        <f t="shared" si="69"/>
        <v>0</v>
      </c>
      <c r="L450" s="42">
        <f t="shared" si="69"/>
        <v>0</v>
      </c>
      <c r="M450" s="42">
        <f t="shared" si="69"/>
        <v>0</v>
      </c>
      <c r="N450" s="42">
        <f t="shared" si="69"/>
        <v>0</v>
      </c>
      <c r="O450" s="43">
        <f t="shared" si="69"/>
        <v>0</v>
      </c>
      <c r="P450" s="44">
        <f>SUM(P432:P439)-SUM(P440:P444)+SUM(P445:P448)</f>
        <v>0</v>
      </c>
      <c r="Q450" s="46">
        <f t="shared" si="67"/>
        <v>0</v>
      </c>
    </row>
    <row r="451" spans="1:17">
      <c r="A451" s="140"/>
      <c r="B451" s="158" t="s">
        <v>12</v>
      </c>
      <c r="C451" s="114" t="s">
        <v>87</v>
      </c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78"/>
      <c r="P451" s="30"/>
      <c r="Q451" s="19">
        <f>SUM(D451:P451)</f>
        <v>0</v>
      </c>
    </row>
    <row r="452" spans="1:17">
      <c r="A452" s="141"/>
      <c r="B452" s="154"/>
      <c r="C452" s="115" t="s">
        <v>89</v>
      </c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81"/>
      <c r="P452" s="31"/>
      <c r="Q452" s="20">
        <f t="shared" ref="Q452:Q469" si="70">SUM(D452:P452)</f>
        <v>0</v>
      </c>
    </row>
    <row r="453" spans="1:17">
      <c r="A453" s="141"/>
      <c r="B453" s="143"/>
      <c r="C453" s="116" t="s">
        <v>88</v>
      </c>
      <c r="D453" s="89"/>
      <c r="E453" s="90"/>
      <c r="F453" s="90"/>
      <c r="G453" s="90"/>
      <c r="H453" s="89"/>
      <c r="I453" s="89"/>
      <c r="J453" s="89"/>
      <c r="K453" s="89"/>
      <c r="L453" s="89"/>
      <c r="M453" s="89"/>
      <c r="N453" s="89"/>
      <c r="O453" s="17"/>
      <c r="P453" s="28"/>
      <c r="Q453" s="20">
        <f t="shared" si="70"/>
        <v>0</v>
      </c>
    </row>
    <row r="454" spans="1:17">
      <c r="A454" s="141"/>
      <c r="B454" s="143"/>
      <c r="C454" s="117" t="s">
        <v>90</v>
      </c>
      <c r="D454" s="91"/>
      <c r="E454" s="89"/>
      <c r="F454" s="89"/>
      <c r="G454" s="91"/>
      <c r="H454" s="91"/>
      <c r="I454" s="91"/>
      <c r="J454" s="91"/>
      <c r="K454" s="91"/>
      <c r="L454" s="91"/>
      <c r="M454" s="91"/>
      <c r="N454" s="91"/>
      <c r="O454" s="80"/>
      <c r="P454" s="32"/>
      <c r="Q454" s="20">
        <f t="shared" si="70"/>
        <v>0</v>
      </c>
    </row>
    <row r="455" spans="1:17">
      <c r="A455" s="141"/>
      <c r="B455" s="143"/>
      <c r="C455" s="117" t="s">
        <v>91</v>
      </c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80"/>
      <c r="P455" s="32"/>
      <c r="Q455" s="20">
        <f t="shared" si="70"/>
        <v>0</v>
      </c>
    </row>
    <row r="456" spans="1:17">
      <c r="A456" s="141"/>
      <c r="B456" s="143"/>
      <c r="C456" s="117" t="s">
        <v>92</v>
      </c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80"/>
      <c r="P456" s="32"/>
      <c r="Q456" s="20">
        <f t="shared" si="70"/>
        <v>0</v>
      </c>
    </row>
    <row r="457" spans="1:17">
      <c r="A457" s="141"/>
      <c r="B457" s="143"/>
      <c r="C457" s="116" t="s">
        <v>93</v>
      </c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80"/>
      <c r="P457" s="32"/>
      <c r="Q457" s="20">
        <f t="shared" si="70"/>
        <v>0</v>
      </c>
    </row>
    <row r="458" spans="1:17">
      <c r="A458" s="141"/>
      <c r="B458" s="143"/>
      <c r="C458" s="118" t="s">
        <v>94</v>
      </c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18"/>
      <c r="P458" s="33"/>
      <c r="Q458" s="22">
        <f t="shared" si="70"/>
        <v>0</v>
      </c>
    </row>
    <row r="459" spans="1:17">
      <c r="A459" s="141"/>
      <c r="B459" s="143" t="s">
        <v>11</v>
      </c>
      <c r="C459" s="119" t="s">
        <v>7</v>
      </c>
      <c r="D459" s="93"/>
      <c r="E459" s="93"/>
      <c r="F459" s="93"/>
      <c r="G459" s="93"/>
      <c r="H459" s="93"/>
      <c r="I459" s="93"/>
      <c r="J459" s="93"/>
      <c r="K459" s="93"/>
      <c r="L459" s="94"/>
      <c r="M459" s="94"/>
      <c r="N459" s="94"/>
      <c r="O459" s="79"/>
      <c r="P459" s="27"/>
      <c r="Q459" s="21">
        <f t="shared" si="70"/>
        <v>0</v>
      </c>
    </row>
    <row r="460" spans="1:17">
      <c r="A460" s="141"/>
      <c r="B460" s="143"/>
      <c r="C460" s="117" t="s">
        <v>4</v>
      </c>
      <c r="D460" s="95"/>
      <c r="E460" s="95"/>
      <c r="F460" s="95"/>
      <c r="G460" s="95"/>
      <c r="H460" s="95"/>
      <c r="I460" s="95"/>
      <c r="J460" s="95"/>
      <c r="K460" s="95"/>
      <c r="L460" s="91"/>
      <c r="M460" s="91"/>
      <c r="N460" s="91"/>
      <c r="O460" s="80"/>
      <c r="P460" s="32"/>
      <c r="Q460" s="20">
        <f t="shared" si="70"/>
        <v>0</v>
      </c>
    </row>
    <row r="461" spans="1:17">
      <c r="A461" s="141"/>
      <c r="B461" s="143"/>
      <c r="C461" s="117" t="s">
        <v>17</v>
      </c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80"/>
      <c r="P461" s="32"/>
      <c r="Q461" s="20">
        <f t="shared" si="70"/>
        <v>0</v>
      </c>
    </row>
    <row r="462" spans="1:17">
      <c r="A462" s="141"/>
      <c r="B462" s="143"/>
      <c r="C462" s="117" t="s">
        <v>18</v>
      </c>
      <c r="D462" s="90"/>
      <c r="E462" s="90"/>
      <c r="F462" s="90"/>
      <c r="G462" s="90"/>
      <c r="H462" s="91"/>
      <c r="I462" s="91"/>
      <c r="J462" s="91"/>
      <c r="K462" s="91"/>
      <c r="L462" s="91"/>
      <c r="M462" s="91"/>
      <c r="N462" s="91"/>
      <c r="O462" s="80"/>
      <c r="P462" s="32"/>
      <c r="Q462" s="20">
        <f t="shared" si="70"/>
        <v>0</v>
      </c>
    </row>
    <row r="463" spans="1:17">
      <c r="A463" s="141"/>
      <c r="B463" s="143"/>
      <c r="C463" s="120" t="s">
        <v>19</v>
      </c>
      <c r="D463" s="96"/>
      <c r="E463" s="96"/>
      <c r="F463" s="96"/>
      <c r="G463" s="96"/>
      <c r="H463" s="92"/>
      <c r="I463" s="92"/>
      <c r="J463" s="92"/>
      <c r="K463" s="92"/>
      <c r="L463" s="92"/>
      <c r="M463" s="92"/>
      <c r="N463" s="92"/>
      <c r="O463" s="18"/>
      <c r="P463" s="33"/>
      <c r="Q463" s="22">
        <f t="shared" si="70"/>
        <v>0</v>
      </c>
    </row>
    <row r="464" spans="1:17">
      <c r="A464" s="141"/>
      <c r="B464" s="143" t="s">
        <v>13</v>
      </c>
      <c r="C464" s="119" t="s">
        <v>10</v>
      </c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79"/>
      <c r="P464" s="27"/>
      <c r="Q464" s="21">
        <f t="shared" si="70"/>
        <v>0</v>
      </c>
    </row>
    <row r="465" spans="1:17">
      <c r="A465" s="141"/>
      <c r="B465" s="143"/>
      <c r="C465" s="116" t="s">
        <v>55</v>
      </c>
      <c r="D465" s="89"/>
      <c r="E465" s="89"/>
      <c r="F465" s="89"/>
      <c r="G465" s="89"/>
      <c r="H465" s="89"/>
      <c r="I465" s="89"/>
      <c r="J465" s="89"/>
      <c r="K465" s="89"/>
      <c r="L465" s="89"/>
      <c r="M465" s="89"/>
      <c r="N465" s="89"/>
      <c r="O465" s="17"/>
      <c r="P465" s="28"/>
      <c r="Q465" s="20">
        <f t="shared" si="70"/>
        <v>0</v>
      </c>
    </row>
    <row r="466" spans="1:17">
      <c r="A466" s="141"/>
      <c r="B466" s="143"/>
      <c r="C466" s="116" t="s">
        <v>56</v>
      </c>
      <c r="D466" s="89"/>
      <c r="E466" s="89"/>
      <c r="F466" s="89"/>
      <c r="G466" s="89"/>
      <c r="H466" s="89"/>
      <c r="I466" s="89"/>
      <c r="J466" s="89"/>
      <c r="K466" s="89"/>
      <c r="L466" s="89"/>
      <c r="M466" s="89"/>
      <c r="N466" s="89"/>
      <c r="O466" s="17"/>
      <c r="P466" s="28"/>
      <c r="Q466" s="20">
        <f t="shared" si="70"/>
        <v>0</v>
      </c>
    </row>
    <row r="467" spans="1:17">
      <c r="A467" s="141"/>
      <c r="B467" s="143"/>
      <c r="C467" s="120" t="s">
        <v>61</v>
      </c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18"/>
      <c r="P467" s="33"/>
      <c r="Q467" s="22">
        <f t="shared" si="70"/>
        <v>0</v>
      </c>
    </row>
    <row r="468" spans="1:17">
      <c r="A468" s="141"/>
      <c r="B468" s="156" t="s">
        <v>54</v>
      </c>
      <c r="C468" s="157"/>
      <c r="D468" s="56">
        <f>SUM(D451:D458)-SUM(D462:D463)</f>
        <v>0</v>
      </c>
      <c r="E468" s="56">
        <f t="shared" ref="E468:O468" si="71">SUM(E451:E458)-SUM(E462:E463)</f>
        <v>0</v>
      </c>
      <c r="F468" s="56">
        <f t="shared" si="71"/>
        <v>0</v>
      </c>
      <c r="G468" s="56">
        <f>SUM(G451:G458)-SUM(G462:G463)</f>
        <v>0</v>
      </c>
      <c r="H468" s="56">
        <f t="shared" si="71"/>
        <v>0</v>
      </c>
      <c r="I468" s="56">
        <f t="shared" si="71"/>
        <v>0</v>
      </c>
      <c r="J468" s="56">
        <f t="shared" si="71"/>
        <v>0</v>
      </c>
      <c r="K468" s="56">
        <f t="shared" si="71"/>
        <v>0</v>
      </c>
      <c r="L468" s="56">
        <f t="shared" si="71"/>
        <v>0</v>
      </c>
      <c r="M468" s="56">
        <f t="shared" si="71"/>
        <v>0</v>
      </c>
      <c r="N468" s="56">
        <f t="shared" si="71"/>
        <v>0</v>
      </c>
      <c r="O468" s="57">
        <f t="shared" si="71"/>
        <v>0</v>
      </c>
      <c r="P468" s="60">
        <f>SUM(P451:P458)-SUM(P462:P463)</f>
        <v>0</v>
      </c>
      <c r="Q468" s="59">
        <f>SUM(D468:P468)</f>
        <v>0</v>
      </c>
    </row>
    <row r="469" spans="1:17" ht="14.25" thickBot="1">
      <c r="A469" s="142"/>
      <c r="B469" s="147" t="s">
        <v>5</v>
      </c>
      <c r="C469" s="148"/>
      <c r="D469" s="42">
        <f>SUM(D451:D458)-SUM(D459:D463)+SUM(D464:D467)</f>
        <v>0</v>
      </c>
      <c r="E469" s="42">
        <f>SUM(E451:E458)-SUM(E459:E463)+SUM(E464:E467)</f>
        <v>0</v>
      </c>
      <c r="F469" s="42">
        <f t="shared" ref="F469:O469" si="72">SUM(F451:F458)-SUM(F459:F463)+SUM(F464:F467)</f>
        <v>0</v>
      </c>
      <c r="G469" s="42">
        <f>SUM(G451:G458)-SUM(G459:G463)+SUM(G464:G467)</f>
        <v>0</v>
      </c>
      <c r="H469" s="42">
        <f t="shared" si="72"/>
        <v>0</v>
      </c>
      <c r="I469" s="42">
        <f t="shared" si="72"/>
        <v>0</v>
      </c>
      <c r="J469" s="42">
        <f t="shared" si="72"/>
        <v>0</v>
      </c>
      <c r="K469" s="42">
        <f t="shared" si="72"/>
        <v>0</v>
      </c>
      <c r="L469" s="42">
        <f t="shared" si="72"/>
        <v>0</v>
      </c>
      <c r="M469" s="42">
        <f t="shared" si="72"/>
        <v>0</v>
      </c>
      <c r="N469" s="42">
        <f t="shared" si="72"/>
        <v>0</v>
      </c>
      <c r="O469" s="43">
        <f t="shared" si="72"/>
        <v>0</v>
      </c>
      <c r="P469" s="44">
        <f>SUM(P451:P458)-SUM(P459:P463)+SUM(P464:P467)</f>
        <v>0</v>
      </c>
      <c r="Q469" s="46">
        <f t="shared" si="70"/>
        <v>0</v>
      </c>
    </row>
    <row r="470" spans="1:17">
      <c r="A470" s="140"/>
      <c r="B470" s="158" t="s">
        <v>12</v>
      </c>
      <c r="C470" s="114" t="s">
        <v>87</v>
      </c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78"/>
      <c r="P470" s="30"/>
      <c r="Q470" s="19">
        <f>SUM(D470:P470)</f>
        <v>0</v>
      </c>
    </row>
    <row r="471" spans="1:17">
      <c r="A471" s="141"/>
      <c r="B471" s="154"/>
      <c r="C471" s="115" t="s">
        <v>89</v>
      </c>
      <c r="D471" s="88"/>
      <c r="E471" s="88"/>
      <c r="F471" s="88"/>
      <c r="G471" s="88"/>
      <c r="H471" s="88"/>
      <c r="I471" s="88"/>
      <c r="J471" s="88"/>
      <c r="K471" s="88"/>
      <c r="L471" s="88"/>
      <c r="M471" s="88"/>
      <c r="N471" s="88"/>
      <c r="O471" s="81"/>
      <c r="P471" s="31"/>
      <c r="Q471" s="20">
        <f t="shared" ref="Q471:Q488" si="73">SUM(D471:P471)</f>
        <v>0</v>
      </c>
    </row>
    <row r="472" spans="1:17">
      <c r="A472" s="141"/>
      <c r="B472" s="143"/>
      <c r="C472" s="116" t="s">
        <v>88</v>
      </c>
      <c r="D472" s="89"/>
      <c r="E472" s="90"/>
      <c r="F472" s="90"/>
      <c r="G472" s="90"/>
      <c r="H472" s="89"/>
      <c r="I472" s="89"/>
      <c r="J472" s="89"/>
      <c r="K472" s="89"/>
      <c r="L472" s="89"/>
      <c r="M472" s="89"/>
      <c r="N472" s="89"/>
      <c r="O472" s="17"/>
      <c r="P472" s="28"/>
      <c r="Q472" s="20">
        <f t="shared" si="73"/>
        <v>0</v>
      </c>
    </row>
    <row r="473" spans="1:17">
      <c r="A473" s="141"/>
      <c r="B473" s="143"/>
      <c r="C473" s="117" t="s">
        <v>90</v>
      </c>
      <c r="D473" s="91"/>
      <c r="E473" s="89"/>
      <c r="F473" s="89"/>
      <c r="G473" s="91"/>
      <c r="H473" s="91"/>
      <c r="I473" s="91"/>
      <c r="J473" s="91"/>
      <c r="K473" s="91"/>
      <c r="L473" s="91"/>
      <c r="M473" s="91"/>
      <c r="N473" s="91"/>
      <c r="O473" s="80"/>
      <c r="P473" s="32"/>
      <c r="Q473" s="20">
        <f t="shared" si="73"/>
        <v>0</v>
      </c>
    </row>
    <row r="474" spans="1:17">
      <c r="A474" s="141"/>
      <c r="B474" s="143"/>
      <c r="C474" s="117" t="s">
        <v>91</v>
      </c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80"/>
      <c r="P474" s="32"/>
      <c r="Q474" s="20">
        <f t="shared" si="73"/>
        <v>0</v>
      </c>
    </row>
    <row r="475" spans="1:17">
      <c r="A475" s="141"/>
      <c r="B475" s="143"/>
      <c r="C475" s="117" t="s">
        <v>92</v>
      </c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80"/>
      <c r="P475" s="32"/>
      <c r="Q475" s="20">
        <f t="shared" si="73"/>
        <v>0</v>
      </c>
    </row>
    <row r="476" spans="1:17">
      <c r="A476" s="141"/>
      <c r="B476" s="143"/>
      <c r="C476" s="116" t="s">
        <v>93</v>
      </c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80"/>
      <c r="P476" s="32"/>
      <c r="Q476" s="20">
        <f t="shared" si="73"/>
        <v>0</v>
      </c>
    </row>
    <row r="477" spans="1:17">
      <c r="A477" s="141"/>
      <c r="B477" s="143"/>
      <c r="C477" s="118" t="s">
        <v>94</v>
      </c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18"/>
      <c r="P477" s="33"/>
      <c r="Q477" s="22">
        <f t="shared" si="73"/>
        <v>0</v>
      </c>
    </row>
    <row r="478" spans="1:17">
      <c r="A478" s="141"/>
      <c r="B478" s="143" t="s">
        <v>11</v>
      </c>
      <c r="C478" s="119" t="s">
        <v>7</v>
      </c>
      <c r="D478" s="93"/>
      <c r="E478" s="93"/>
      <c r="F478" s="93"/>
      <c r="G478" s="93"/>
      <c r="H478" s="93"/>
      <c r="I478" s="93"/>
      <c r="J478" s="93"/>
      <c r="K478" s="93"/>
      <c r="L478" s="94"/>
      <c r="M478" s="94"/>
      <c r="N478" s="94"/>
      <c r="O478" s="79"/>
      <c r="P478" s="27"/>
      <c r="Q478" s="21">
        <f t="shared" si="73"/>
        <v>0</v>
      </c>
    </row>
    <row r="479" spans="1:17">
      <c r="A479" s="141"/>
      <c r="B479" s="143"/>
      <c r="C479" s="117" t="s">
        <v>4</v>
      </c>
      <c r="D479" s="95"/>
      <c r="E479" s="95"/>
      <c r="F479" s="95"/>
      <c r="G479" s="95"/>
      <c r="H479" s="95"/>
      <c r="I479" s="95"/>
      <c r="J479" s="95"/>
      <c r="K479" s="95"/>
      <c r="L479" s="91"/>
      <c r="M479" s="91"/>
      <c r="N479" s="91"/>
      <c r="O479" s="80"/>
      <c r="P479" s="32"/>
      <c r="Q479" s="20">
        <f t="shared" si="73"/>
        <v>0</v>
      </c>
    </row>
    <row r="480" spans="1:17">
      <c r="A480" s="141"/>
      <c r="B480" s="143"/>
      <c r="C480" s="117" t="s">
        <v>17</v>
      </c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80"/>
      <c r="P480" s="32"/>
      <c r="Q480" s="20">
        <f t="shared" si="73"/>
        <v>0</v>
      </c>
    </row>
    <row r="481" spans="1:17">
      <c r="A481" s="141"/>
      <c r="B481" s="143"/>
      <c r="C481" s="117" t="s">
        <v>18</v>
      </c>
      <c r="D481" s="90"/>
      <c r="E481" s="90"/>
      <c r="F481" s="90"/>
      <c r="G481" s="90"/>
      <c r="H481" s="91"/>
      <c r="I481" s="91"/>
      <c r="J481" s="91"/>
      <c r="K481" s="91"/>
      <c r="L481" s="91"/>
      <c r="M481" s="91"/>
      <c r="N481" s="91"/>
      <c r="O481" s="80"/>
      <c r="P481" s="32"/>
      <c r="Q481" s="20">
        <f t="shared" si="73"/>
        <v>0</v>
      </c>
    </row>
    <row r="482" spans="1:17">
      <c r="A482" s="141"/>
      <c r="B482" s="143"/>
      <c r="C482" s="120" t="s">
        <v>19</v>
      </c>
      <c r="D482" s="96"/>
      <c r="E482" s="96"/>
      <c r="F482" s="96"/>
      <c r="G482" s="96"/>
      <c r="H482" s="92"/>
      <c r="I482" s="92"/>
      <c r="J482" s="92"/>
      <c r="K482" s="92"/>
      <c r="L482" s="92"/>
      <c r="M482" s="92"/>
      <c r="N482" s="92"/>
      <c r="O482" s="18"/>
      <c r="P482" s="33"/>
      <c r="Q482" s="22">
        <f t="shared" si="73"/>
        <v>0</v>
      </c>
    </row>
    <row r="483" spans="1:17">
      <c r="A483" s="141"/>
      <c r="B483" s="143" t="s">
        <v>13</v>
      </c>
      <c r="C483" s="119" t="s">
        <v>10</v>
      </c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79"/>
      <c r="P483" s="27"/>
      <c r="Q483" s="21">
        <f t="shared" si="73"/>
        <v>0</v>
      </c>
    </row>
    <row r="484" spans="1:17">
      <c r="A484" s="141"/>
      <c r="B484" s="143"/>
      <c r="C484" s="116" t="s">
        <v>55</v>
      </c>
      <c r="D484" s="89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17"/>
      <c r="P484" s="28"/>
      <c r="Q484" s="20">
        <f t="shared" si="73"/>
        <v>0</v>
      </c>
    </row>
    <row r="485" spans="1:17">
      <c r="A485" s="141"/>
      <c r="B485" s="143"/>
      <c r="C485" s="116" t="s">
        <v>56</v>
      </c>
      <c r="D485" s="89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17"/>
      <c r="P485" s="28"/>
      <c r="Q485" s="20">
        <f t="shared" si="73"/>
        <v>0</v>
      </c>
    </row>
    <row r="486" spans="1:17">
      <c r="A486" s="141"/>
      <c r="B486" s="143"/>
      <c r="C486" s="120" t="s">
        <v>61</v>
      </c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18"/>
      <c r="P486" s="33"/>
      <c r="Q486" s="22">
        <f t="shared" si="73"/>
        <v>0</v>
      </c>
    </row>
    <row r="487" spans="1:17">
      <c r="A487" s="141"/>
      <c r="B487" s="156" t="s">
        <v>54</v>
      </c>
      <c r="C487" s="157"/>
      <c r="D487" s="56">
        <f>SUM(D470:D477)-SUM(D481:D482)</f>
        <v>0</v>
      </c>
      <c r="E487" s="56">
        <f t="shared" ref="E487:O487" si="74">SUM(E470:E477)-SUM(E481:E482)</f>
        <v>0</v>
      </c>
      <c r="F487" s="56">
        <f t="shared" si="74"/>
        <v>0</v>
      </c>
      <c r="G487" s="56">
        <f>SUM(G470:G477)-SUM(G481:G482)</f>
        <v>0</v>
      </c>
      <c r="H487" s="56">
        <f t="shared" si="74"/>
        <v>0</v>
      </c>
      <c r="I487" s="56">
        <f t="shared" si="74"/>
        <v>0</v>
      </c>
      <c r="J487" s="56">
        <f t="shared" si="74"/>
        <v>0</v>
      </c>
      <c r="K487" s="56">
        <f t="shared" si="74"/>
        <v>0</v>
      </c>
      <c r="L487" s="56">
        <f t="shared" si="74"/>
        <v>0</v>
      </c>
      <c r="M487" s="56">
        <f t="shared" si="74"/>
        <v>0</v>
      </c>
      <c r="N487" s="56">
        <f t="shared" si="74"/>
        <v>0</v>
      </c>
      <c r="O487" s="57">
        <f t="shared" si="74"/>
        <v>0</v>
      </c>
      <c r="P487" s="60">
        <f>SUM(P470:P477)-SUM(P481:P482)</f>
        <v>0</v>
      </c>
      <c r="Q487" s="59">
        <f>SUM(D487:P487)</f>
        <v>0</v>
      </c>
    </row>
    <row r="488" spans="1:17" ht="14.25" thickBot="1">
      <c r="A488" s="142"/>
      <c r="B488" s="147" t="s">
        <v>5</v>
      </c>
      <c r="C488" s="148"/>
      <c r="D488" s="42">
        <f>SUM(D470:D477)-SUM(D478:D482)+SUM(D483:D486)</f>
        <v>0</v>
      </c>
      <c r="E488" s="42">
        <f>SUM(E470:E477)-SUM(E478:E482)+SUM(E483:E486)</f>
        <v>0</v>
      </c>
      <c r="F488" s="42">
        <f t="shared" ref="F488:O488" si="75">SUM(F470:F477)-SUM(F478:F482)+SUM(F483:F486)</f>
        <v>0</v>
      </c>
      <c r="G488" s="42">
        <f>SUM(G470:G477)-SUM(G478:G482)+SUM(G483:G486)</f>
        <v>0</v>
      </c>
      <c r="H488" s="42">
        <f t="shared" si="75"/>
        <v>0</v>
      </c>
      <c r="I488" s="42">
        <f t="shared" si="75"/>
        <v>0</v>
      </c>
      <c r="J488" s="42">
        <f t="shared" si="75"/>
        <v>0</v>
      </c>
      <c r="K488" s="42">
        <f t="shared" si="75"/>
        <v>0</v>
      </c>
      <c r="L488" s="42">
        <f t="shared" si="75"/>
        <v>0</v>
      </c>
      <c r="M488" s="42">
        <f t="shared" si="75"/>
        <v>0</v>
      </c>
      <c r="N488" s="42">
        <f t="shared" si="75"/>
        <v>0</v>
      </c>
      <c r="O488" s="43">
        <f t="shared" si="75"/>
        <v>0</v>
      </c>
      <c r="P488" s="44">
        <f>SUM(P470:P477)-SUM(P478:P482)+SUM(P483:P486)</f>
        <v>0</v>
      </c>
      <c r="Q488" s="46">
        <f t="shared" si="73"/>
        <v>0</v>
      </c>
    </row>
    <row r="489" spans="1:17">
      <c r="A489" s="140"/>
      <c r="B489" s="158" t="s">
        <v>12</v>
      </c>
      <c r="C489" s="114" t="s">
        <v>87</v>
      </c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78"/>
      <c r="P489" s="30"/>
      <c r="Q489" s="19">
        <f>SUM(D489:P489)</f>
        <v>0</v>
      </c>
    </row>
    <row r="490" spans="1:17">
      <c r="A490" s="141"/>
      <c r="B490" s="154"/>
      <c r="C490" s="115" t="s">
        <v>89</v>
      </c>
      <c r="D490" s="88"/>
      <c r="E490" s="88"/>
      <c r="F490" s="88"/>
      <c r="G490" s="88"/>
      <c r="H490" s="88"/>
      <c r="I490" s="88"/>
      <c r="J490" s="88"/>
      <c r="K490" s="88"/>
      <c r="L490" s="88"/>
      <c r="M490" s="88"/>
      <c r="N490" s="88"/>
      <c r="O490" s="81"/>
      <c r="P490" s="31"/>
      <c r="Q490" s="20">
        <f t="shared" ref="Q490:Q507" si="76">SUM(D490:P490)</f>
        <v>0</v>
      </c>
    </row>
    <row r="491" spans="1:17">
      <c r="A491" s="141"/>
      <c r="B491" s="143"/>
      <c r="C491" s="116" t="s">
        <v>88</v>
      </c>
      <c r="D491" s="89"/>
      <c r="E491" s="90"/>
      <c r="F491" s="90"/>
      <c r="G491" s="90"/>
      <c r="H491" s="89"/>
      <c r="I491" s="89"/>
      <c r="J491" s="89"/>
      <c r="K491" s="89"/>
      <c r="L491" s="89"/>
      <c r="M491" s="89"/>
      <c r="N491" s="89"/>
      <c r="O491" s="17"/>
      <c r="P491" s="28"/>
      <c r="Q491" s="20">
        <f t="shared" si="76"/>
        <v>0</v>
      </c>
    </row>
    <row r="492" spans="1:17">
      <c r="A492" s="141"/>
      <c r="B492" s="143"/>
      <c r="C492" s="117" t="s">
        <v>90</v>
      </c>
      <c r="D492" s="91"/>
      <c r="E492" s="89"/>
      <c r="F492" s="89"/>
      <c r="G492" s="91"/>
      <c r="H492" s="91"/>
      <c r="I492" s="91"/>
      <c r="J492" s="91"/>
      <c r="K492" s="91"/>
      <c r="L492" s="91"/>
      <c r="M492" s="91"/>
      <c r="N492" s="91"/>
      <c r="O492" s="80"/>
      <c r="P492" s="32"/>
      <c r="Q492" s="20">
        <f t="shared" si="76"/>
        <v>0</v>
      </c>
    </row>
    <row r="493" spans="1:17">
      <c r="A493" s="141"/>
      <c r="B493" s="143"/>
      <c r="C493" s="117" t="s">
        <v>91</v>
      </c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80"/>
      <c r="P493" s="32"/>
      <c r="Q493" s="20">
        <f t="shared" si="76"/>
        <v>0</v>
      </c>
    </row>
    <row r="494" spans="1:17">
      <c r="A494" s="141"/>
      <c r="B494" s="143"/>
      <c r="C494" s="117" t="s">
        <v>92</v>
      </c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80"/>
      <c r="P494" s="32"/>
      <c r="Q494" s="20">
        <f t="shared" si="76"/>
        <v>0</v>
      </c>
    </row>
    <row r="495" spans="1:17">
      <c r="A495" s="141"/>
      <c r="B495" s="143"/>
      <c r="C495" s="116" t="s">
        <v>93</v>
      </c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80"/>
      <c r="P495" s="32"/>
      <c r="Q495" s="20">
        <f t="shared" si="76"/>
        <v>0</v>
      </c>
    </row>
    <row r="496" spans="1:17">
      <c r="A496" s="141"/>
      <c r="B496" s="143"/>
      <c r="C496" s="118" t="s">
        <v>94</v>
      </c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18"/>
      <c r="P496" s="33"/>
      <c r="Q496" s="22">
        <f t="shared" si="76"/>
        <v>0</v>
      </c>
    </row>
    <row r="497" spans="1:17">
      <c r="A497" s="141"/>
      <c r="B497" s="143" t="s">
        <v>11</v>
      </c>
      <c r="C497" s="119" t="s">
        <v>7</v>
      </c>
      <c r="D497" s="93"/>
      <c r="E497" s="93"/>
      <c r="F497" s="93"/>
      <c r="G497" s="93"/>
      <c r="H497" s="93"/>
      <c r="I497" s="93"/>
      <c r="J497" s="93"/>
      <c r="K497" s="93"/>
      <c r="L497" s="94"/>
      <c r="M497" s="94"/>
      <c r="N497" s="94"/>
      <c r="O497" s="79"/>
      <c r="P497" s="27"/>
      <c r="Q497" s="21">
        <f t="shared" si="76"/>
        <v>0</v>
      </c>
    </row>
    <row r="498" spans="1:17">
      <c r="A498" s="141"/>
      <c r="B498" s="143"/>
      <c r="C498" s="117" t="s">
        <v>4</v>
      </c>
      <c r="D498" s="95"/>
      <c r="E498" s="95"/>
      <c r="F498" s="95"/>
      <c r="G498" s="95"/>
      <c r="H498" s="95"/>
      <c r="I498" s="95"/>
      <c r="J498" s="95"/>
      <c r="K498" s="95"/>
      <c r="L498" s="91"/>
      <c r="M498" s="91"/>
      <c r="N498" s="91"/>
      <c r="O498" s="80"/>
      <c r="P498" s="32"/>
      <c r="Q498" s="20">
        <f t="shared" si="76"/>
        <v>0</v>
      </c>
    </row>
    <row r="499" spans="1:17">
      <c r="A499" s="141"/>
      <c r="B499" s="143"/>
      <c r="C499" s="117" t="s">
        <v>17</v>
      </c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80"/>
      <c r="P499" s="32"/>
      <c r="Q499" s="20">
        <f t="shared" si="76"/>
        <v>0</v>
      </c>
    </row>
    <row r="500" spans="1:17">
      <c r="A500" s="141"/>
      <c r="B500" s="143"/>
      <c r="C500" s="117" t="s">
        <v>18</v>
      </c>
      <c r="D500" s="90"/>
      <c r="E500" s="90"/>
      <c r="F500" s="90"/>
      <c r="G500" s="90"/>
      <c r="H500" s="91"/>
      <c r="I500" s="91"/>
      <c r="J500" s="91"/>
      <c r="K500" s="91"/>
      <c r="L500" s="91"/>
      <c r="M500" s="91"/>
      <c r="N500" s="91"/>
      <c r="O500" s="80"/>
      <c r="P500" s="32"/>
      <c r="Q500" s="20">
        <f t="shared" si="76"/>
        <v>0</v>
      </c>
    </row>
    <row r="501" spans="1:17">
      <c r="A501" s="141"/>
      <c r="B501" s="143"/>
      <c r="C501" s="120" t="s">
        <v>19</v>
      </c>
      <c r="D501" s="96"/>
      <c r="E501" s="96"/>
      <c r="F501" s="96"/>
      <c r="G501" s="96"/>
      <c r="H501" s="92"/>
      <c r="I501" s="92"/>
      <c r="J501" s="92"/>
      <c r="K501" s="92"/>
      <c r="L501" s="92"/>
      <c r="M501" s="92"/>
      <c r="N501" s="92"/>
      <c r="O501" s="18"/>
      <c r="P501" s="33"/>
      <c r="Q501" s="22">
        <f t="shared" si="76"/>
        <v>0</v>
      </c>
    </row>
    <row r="502" spans="1:17">
      <c r="A502" s="141"/>
      <c r="B502" s="143" t="s">
        <v>13</v>
      </c>
      <c r="C502" s="119" t="s">
        <v>10</v>
      </c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79"/>
      <c r="P502" s="27"/>
      <c r="Q502" s="21">
        <f t="shared" si="76"/>
        <v>0</v>
      </c>
    </row>
    <row r="503" spans="1:17">
      <c r="A503" s="141"/>
      <c r="B503" s="143"/>
      <c r="C503" s="116" t="s">
        <v>55</v>
      </c>
      <c r="D503" s="89"/>
      <c r="E503" s="89"/>
      <c r="F503" s="89"/>
      <c r="G503" s="89"/>
      <c r="H503" s="89"/>
      <c r="I503" s="89"/>
      <c r="J503" s="89"/>
      <c r="K503" s="89"/>
      <c r="L503" s="89"/>
      <c r="M503" s="89"/>
      <c r="N503" s="89"/>
      <c r="O503" s="17"/>
      <c r="P503" s="28"/>
      <c r="Q503" s="20">
        <f t="shared" si="76"/>
        <v>0</v>
      </c>
    </row>
    <row r="504" spans="1:17">
      <c r="A504" s="141"/>
      <c r="B504" s="143"/>
      <c r="C504" s="116" t="s">
        <v>56</v>
      </c>
      <c r="D504" s="89"/>
      <c r="E504" s="89"/>
      <c r="F504" s="89"/>
      <c r="G504" s="89"/>
      <c r="H504" s="89"/>
      <c r="I504" s="89"/>
      <c r="J504" s="89"/>
      <c r="K504" s="89"/>
      <c r="L504" s="89"/>
      <c r="M504" s="89"/>
      <c r="N504" s="89"/>
      <c r="O504" s="17"/>
      <c r="P504" s="28"/>
      <c r="Q504" s="20">
        <f t="shared" si="76"/>
        <v>0</v>
      </c>
    </row>
    <row r="505" spans="1:17">
      <c r="A505" s="141"/>
      <c r="B505" s="143"/>
      <c r="C505" s="120" t="s">
        <v>61</v>
      </c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18"/>
      <c r="P505" s="33"/>
      <c r="Q505" s="22">
        <f t="shared" si="76"/>
        <v>0</v>
      </c>
    </row>
    <row r="506" spans="1:17">
      <c r="A506" s="141"/>
      <c r="B506" s="156" t="s">
        <v>54</v>
      </c>
      <c r="C506" s="157"/>
      <c r="D506" s="56">
        <f>SUM(D489:D496)-SUM(D500:D501)</f>
        <v>0</v>
      </c>
      <c r="E506" s="56">
        <f t="shared" ref="E506:O506" si="77">SUM(E489:E496)-SUM(E500:E501)</f>
        <v>0</v>
      </c>
      <c r="F506" s="56">
        <f t="shared" si="77"/>
        <v>0</v>
      </c>
      <c r="G506" s="56">
        <f>SUM(G489:G496)-SUM(G500:G501)</f>
        <v>0</v>
      </c>
      <c r="H506" s="56">
        <f t="shared" si="77"/>
        <v>0</v>
      </c>
      <c r="I506" s="56">
        <f t="shared" si="77"/>
        <v>0</v>
      </c>
      <c r="J506" s="56">
        <f t="shared" si="77"/>
        <v>0</v>
      </c>
      <c r="K506" s="56">
        <f t="shared" si="77"/>
        <v>0</v>
      </c>
      <c r="L506" s="56">
        <f t="shared" si="77"/>
        <v>0</v>
      </c>
      <c r="M506" s="56">
        <f t="shared" si="77"/>
        <v>0</v>
      </c>
      <c r="N506" s="56">
        <f t="shared" si="77"/>
        <v>0</v>
      </c>
      <c r="O506" s="57">
        <f t="shared" si="77"/>
        <v>0</v>
      </c>
      <c r="P506" s="60">
        <f>SUM(P489:P496)-SUM(P500:P501)</f>
        <v>0</v>
      </c>
      <c r="Q506" s="59">
        <f>SUM(D506:P506)</f>
        <v>0</v>
      </c>
    </row>
    <row r="507" spans="1:17" ht="14.25" thickBot="1">
      <c r="A507" s="142"/>
      <c r="B507" s="147" t="s">
        <v>5</v>
      </c>
      <c r="C507" s="148"/>
      <c r="D507" s="42">
        <f>SUM(D489:D496)-SUM(D497:D501)+SUM(D502:D505)</f>
        <v>0</v>
      </c>
      <c r="E507" s="42">
        <f>SUM(E489:E496)-SUM(E497:E501)+SUM(E502:E505)</f>
        <v>0</v>
      </c>
      <c r="F507" s="42">
        <f t="shared" ref="F507:O507" si="78">SUM(F489:F496)-SUM(F497:F501)+SUM(F502:F505)</f>
        <v>0</v>
      </c>
      <c r="G507" s="42">
        <f>SUM(G489:G496)-SUM(G497:G501)+SUM(G502:G505)</f>
        <v>0</v>
      </c>
      <c r="H507" s="42">
        <f t="shared" si="78"/>
        <v>0</v>
      </c>
      <c r="I507" s="42">
        <f t="shared" si="78"/>
        <v>0</v>
      </c>
      <c r="J507" s="42">
        <f t="shared" si="78"/>
        <v>0</v>
      </c>
      <c r="K507" s="42">
        <f t="shared" si="78"/>
        <v>0</v>
      </c>
      <c r="L507" s="42">
        <f t="shared" si="78"/>
        <v>0</v>
      </c>
      <c r="M507" s="42">
        <f t="shared" si="78"/>
        <v>0</v>
      </c>
      <c r="N507" s="42">
        <f t="shared" si="78"/>
        <v>0</v>
      </c>
      <c r="O507" s="43">
        <f t="shared" si="78"/>
        <v>0</v>
      </c>
      <c r="P507" s="44">
        <f>SUM(P489:P496)-SUM(P497:P501)+SUM(P502:P505)</f>
        <v>0</v>
      </c>
      <c r="Q507" s="46">
        <f t="shared" si="76"/>
        <v>0</v>
      </c>
    </row>
    <row r="508" spans="1:17">
      <c r="A508" s="140"/>
      <c r="B508" s="158" t="s">
        <v>12</v>
      </c>
      <c r="C508" s="114" t="s">
        <v>87</v>
      </c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78"/>
      <c r="P508" s="30"/>
      <c r="Q508" s="19">
        <f>SUM(D508:P508)</f>
        <v>0</v>
      </c>
    </row>
    <row r="509" spans="1:17">
      <c r="A509" s="141"/>
      <c r="B509" s="154"/>
      <c r="C509" s="115" t="s">
        <v>89</v>
      </c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1"/>
      <c r="P509" s="31"/>
      <c r="Q509" s="20">
        <f t="shared" ref="Q509:Q526" si="79">SUM(D509:P509)</f>
        <v>0</v>
      </c>
    </row>
    <row r="510" spans="1:17">
      <c r="A510" s="141"/>
      <c r="B510" s="143"/>
      <c r="C510" s="116" t="s">
        <v>88</v>
      </c>
      <c r="D510" s="89"/>
      <c r="E510" s="90"/>
      <c r="F510" s="90"/>
      <c r="G510" s="90"/>
      <c r="H510" s="89"/>
      <c r="I510" s="89"/>
      <c r="J510" s="89"/>
      <c r="K510" s="89"/>
      <c r="L510" s="89"/>
      <c r="M510" s="89"/>
      <c r="N510" s="89"/>
      <c r="O510" s="17"/>
      <c r="P510" s="28"/>
      <c r="Q510" s="20">
        <f t="shared" si="79"/>
        <v>0</v>
      </c>
    </row>
    <row r="511" spans="1:17">
      <c r="A511" s="141"/>
      <c r="B511" s="143"/>
      <c r="C511" s="117" t="s">
        <v>90</v>
      </c>
      <c r="D511" s="91"/>
      <c r="E511" s="89"/>
      <c r="F511" s="89"/>
      <c r="G511" s="91"/>
      <c r="H511" s="91"/>
      <c r="I511" s="91"/>
      <c r="J511" s="91"/>
      <c r="K511" s="91"/>
      <c r="L511" s="91"/>
      <c r="M511" s="91"/>
      <c r="N511" s="91"/>
      <c r="O511" s="80"/>
      <c r="P511" s="32"/>
      <c r="Q511" s="20">
        <f t="shared" si="79"/>
        <v>0</v>
      </c>
    </row>
    <row r="512" spans="1:17">
      <c r="A512" s="141"/>
      <c r="B512" s="143"/>
      <c r="C512" s="117" t="s">
        <v>91</v>
      </c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80"/>
      <c r="P512" s="32"/>
      <c r="Q512" s="20">
        <f t="shared" si="79"/>
        <v>0</v>
      </c>
    </row>
    <row r="513" spans="1:17">
      <c r="A513" s="141"/>
      <c r="B513" s="143"/>
      <c r="C513" s="117" t="s">
        <v>92</v>
      </c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80"/>
      <c r="P513" s="32"/>
      <c r="Q513" s="20">
        <f t="shared" si="79"/>
        <v>0</v>
      </c>
    </row>
    <row r="514" spans="1:17">
      <c r="A514" s="141"/>
      <c r="B514" s="143"/>
      <c r="C514" s="116" t="s">
        <v>93</v>
      </c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80"/>
      <c r="P514" s="32"/>
      <c r="Q514" s="20">
        <f t="shared" si="79"/>
        <v>0</v>
      </c>
    </row>
    <row r="515" spans="1:17">
      <c r="A515" s="141"/>
      <c r="B515" s="143"/>
      <c r="C515" s="118" t="s">
        <v>94</v>
      </c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18"/>
      <c r="P515" s="33"/>
      <c r="Q515" s="22">
        <f t="shared" si="79"/>
        <v>0</v>
      </c>
    </row>
    <row r="516" spans="1:17">
      <c r="A516" s="141"/>
      <c r="B516" s="143" t="s">
        <v>11</v>
      </c>
      <c r="C516" s="119" t="s">
        <v>7</v>
      </c>
      <c r="D516" s="93"/>
      <c r="E516" s="93"/>
      <c r="F516" s="93"/>
      <c r="G516" s="93"/>
      <c r="H516" s="93"/>
      <c r="I516" s="93"/>
      <c r="J516" s="93"/>
      <c r="K516" s="93"/>
      <c r="L516" s="94"/>
      <c r="M516" s="94"/>
      <c r="N516" s="94"/>
      <c r="O516" s="79"/>
      <c r="P516" s="27"/>
      <c r="Q516" s="21">
        <f t="shared" si="79"/>
        <v>0</v>
      </c>
    </row>
    <row r="517" spans="1:17">
      <c r="A517" s="141"/>
      <c r="B517" s="143"/>
      <c r="C517" s="117" t="s">
        <v>4</v>
      </c>
      <c r="D517" s="95"/>
      <c r="E517" s="95"/>
      <c r="F517" s="95"/>
      <c r="G517" s="95"/>
      <c r="H517" s="95"/>
      <c r="I517" s="95"/>
      <c r="J517" s="95"/>
      <c r="K517" s="95"/>
      <c r="L517" s="91"/>
      <c r="M517" s="91"/>
      <c r="N517" s="91"/>
      <c r="O517" s="80"/>
      <c r="P517" s="32"/>
      <c r="Q517" s="20">
        <f t="shared" si="79"/>
        <v>0</v>
      </c>
    </row>
    <row r="518" spans="1:17">
      <c r="A518" s="141"/>
      <c r="B518" s="143"/>
      <c r="C518" s="117" t="s">
        <v>17</v>
      </c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80"/>
      <c r="P518" s="32"/>
      <c r="Q518" s="20">
        <f t="shared" si="79"/>
        <v>0</v>
      </c>
    </row>
    <row r="519" spans="1:17">
      <c r="A519" s="141"/>
      <c r="B519" s="143"/>
      <c r="C519" s="117" t="s">
        <v>18</v>
      </c>
      <c r="D519" s="90"/>
      <c r="E519" s="90"/>
      <c r="F519" s="90"/>
      <c r="G519" s="90"/>
      <c r="H519" s="91"/>
      <c r="I519" s="91"/>
      <c r="J519" s="91"/>
      <c r="K519" s="91"/>
      <c r="L519" s="91"/>
      <c r="M519" s="91"/>
      <c r="N519" s="91"/>
      <c r="O519" s="80"/>
      <c r="P519" s="32"/>
      <c r="Q519" s="20">
        <f t="shared" si="79"/>
        <v>0</v>
      </c>
    </row>
    <row r="520" spans="1:17">
      <c r="A520" s="141"/>
      <c r="B520" s="143"/>
      <c r="C520" s="120" t="s">
        <v>19</v>
      </c>
      <c r="D520" s="96"/>
      <c r="E520" s="96"/>
      <c r="F520" s="96"/>
      <c r="G520" s="96"/>
      <c r="H520" s="92"/>
      <c r="I520" s="92"/>
      <c r="J520" s="92"/>
      <c r="K520" s="92"/>
      <c r="L520" s="92"/>
      <c r="M520" s="92"/>
      <c r="N520" s="92"/>
      <c r="O520" s="18"/>
      <c r="P520" s="33"/>
      <c r="Q520" s="22">
        <f t="shared" si="79"/>
        <v>0</v>
      </c>
    </row>
    <row r="521" spans="1:17">
      <c r="A521" s="141"/>
      <c r="B521" s="143" t="s">
        <v>13</v>
      </c>
      <c r="C521" s="119" t="s">
        <v>10</v>
      </c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79"/>
      <c r="P521" s="27"/>
      <c r="Q521" s="21">
        <f t="shared" si="79"/>
        <v>0</v>
      </c>
    </row>
    <row r="522" spans="1:17">
      <c r="A522" s="141"/>
      <c r="B522" s="143"/>
      <c r="C522" s="116" t="s">
        <v>55</v>
      </c>
      <c r="D522" s="89"/>
      <c r="E522" s="89"/>
      <c r="F522" s="89"/>
      <c r="G522" s="89"/>
      <c r="H522" s="89"/>
      <c r="I522" s="89"/>
      <c r="J522" s="89"/>
      <c r="K522" s="89"/>
      <c r="L522" s="89"/>
      <c r="M522" s="89"/>
      <c r="N522" s="89"/>
      <c r="O522" s="17"/>
      <c r="P522" s="28"/>
      <c r="Q522" s="20">
        <f t="shared" si="79"/>
        <v>0</v>
      </c>
    </row>
    <row r="523" spans="1:17">
      <c r="A523" s="141"/>
      <c r="B523" s="143"/>
      <c r="C523" s="116" t="s">
        <v>56</v>
      </c>
      <c r="D523" s="89"/>
      <c r="E523" s="89"/>
      <c r="F523" s="89"/>
      <c r="G523" s="89"/>
      <c r="H523" s="89"/>
      <c r="I523" s="89"/>
      <c r="J523" s="89"/>
      <c r="K523" s="89"/>
      <c r="L523" s="89"/>
      <c r="M523" s="89"/>
      <c r="N523" s="89"/>
      <c r="O523" s="17"/>
      <c r="P523" s="28"/>
      <c r="Q523" s="20">
        <f t="shared" si="79"/>
        <v>0</v>
      </c>
    </row>
    <row r="524" spans="1:17">
      <c r="A524" s="141"/>
      <c r="B524" s="143"/>
      <c r="C524" s="120" t="s">
        <v>61</v>
      </c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18"/>
      <c r="P524" s="33"/>
      <c r="Q524" s="22">
        <f t="shared" si="79"/>
        <v>0</v>
      </c>
    </row>
    <row r="525" spans="1:17">
      <c r="A525" s="141"/>
      <c r="B525" s="156" t="s">
        <v>54</v>
      </c>
      <c r="C525" s="157"/>
      <c r="D525" s="56">
        <f>SUM(D508:D515)-SUM(D519:D520)</f>
        <v>0</v>
      </c>
      <c r="E525" s="56">
        <f t="shared" ref="E525:O525" si="80">SUM(E508:E515)-SUM(E519:E520)</f>
        <v>0</v>
      </c>
      <c r="F525" s="56">
        <f t="shared" si="80"/>
        <v>0</v>
      </c>
      <c r="G525" s="56">
        <f>SUM(G508:G515)-SUM(G519:G520)</f>
        <v>0</v>
      </c>
      <c r="H525" s="56">
        <f t="shared" si="80"/>
        <v>0</v>
      </c>
      <c r="I525" s="56">
        <f t="shared" si="80"/>
        <v>0</v>
      </c>
      <c r="J525" s="56">
        <f t="shared" si="80"/>
        <v>0</v>
      </c>
      <c r="K525" s="56">
        <f t="shared" si="80"/>
        <v>0</v>
      </c>
      <c r="L525" s="56">
        <f t="shared" si="80"/>
        <v>0</v>
      </c>
      <c r="M525" s="56">
        <f t="shared" si="80"/>
        <v>0</v>
      </c>
      <c r="N525" s="56">
        <f t="shared" si="80"/>
        <v>0</v>
      </c>
      <c r="O525" s="57">
        <f t="shared" si="80"/>
        <v>0</v>
      </c>
      <c r="P525" s="60">
        <f>SUM(P508:P515)-SUM(P519:P520)</f>
        <v>0</v>
      </c>
      <c r="Q525" s="59">
        <f>SUM(D525:P525)</f>
        <v>0</v>
      </c>
    </row>
    <row r="526" spans="1:17" ht="14.25" thickBot="1">
      <c r="A526" s="142"/>
      <c r="B526" s="147" t="s">
        <v>5</v>
      </c>
      <c r="C526" s="148"/>
      <c r="D526" s="42">
        <f>SUM(D508:D515)-SUM(D516:D520)+SUM(D521:D524)</f>
        <v>0</v>
      </c>
      <c r="E526" s="42">
        <f>SUM(E508:E515)-SUM(E516:E520)+SUM(E521:E524)</f>
        <v>0</v>
      </c>
      <c r="F526" s="42">
        <f t="shared" ref="F526:O526" si="81">SUM(F508:F515)-SUM(F516:F520)+SUM(F521:F524)</f>
        <v>0</v>
      </c>
      <c r="G526" s="42">
        <f>SUM(G508:G515)-SUM(G516:G520)+SUM(G521:G524)</f>
        <v>0</v>
      </c>
      <c r="H526" s="42">
        <f t="shared" si="81"/>
        <v>0</v>
      </c>
      <c r="I526" s="42">
        <f t="shared" si="81"/>
        <v>0</v>
      </c>
      <c r="J526" s="42">
        <f t="shared" si="81"/>
        <v>0</v>
      </c>
      <c r="K526" s="42">
        <f t="shared" si="81"/>
        <v>0</v>
      </c>
      <c r="L526" s="42">
        <f t="shared" si="81"/>
        <v>0</v>
      </c>
      <c r="M526" s="42">
        <f t="shared" si="81"/>
        <v>0</v>
      </c>
      <c r="N526" s="42">
        <f t="shared" si="81"/>
        <v>0</v>
      </c>
      <c r="O526" s="43">
        <f t="shared" si="81"/>
        <v>0</v>
      </c>
      <c r="P526" s="44">
        <f>SUM(P508:P515)-SUM(P516:P520)+SUM(P521:P524)</f>
        <v>0</v>
      </c>
      <c r="Q526" s="46">
        <f t="shared" si="79"/>
        <v>0</v>
      </c>
    </row>
    <row r="527" spans="1:17">
      <c r="A527" s="140"/>
      <c r="B527" s="158" t="s">
        <v>12</v>
      </c>
      <c r="C527" s="114" t="s">
        <v>87</v>
      </c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78"/>
      <c r="P527" s="30"/>
      <c r="Q527" s="19">
        <f>SUM(D527:P527)</f>
        <v>0</v>
      </c>
    </row>
    <row r="528" spans="1:17">
      <c r="A528" s="141"/>
      <c r="B528" s="154"/>
      <c r="C528" s="115" t="s">
        <v>89</v>
      </c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1"/>
      <c r="P528" s="31"/>
      <c r="Q528" s="20">
        <f t="shared" ref="Q528:Q545" si="82">SUM(D528:P528)</f>
        <v>0</v>
      </c>
    </row>
    <row r="529" spans="1:17">
      <c r="A529" s="141"/>
      <c r="B529" s="143"/>
      <c r="C529" s="116" t="s">
        <v>88</v>
      </c>
      <c r="D529" s="89"/>
      <c r="E529" s="90"/>
      <c r="F529" s="90"/>
      <c r="G529" s="90"/>
      <c r="H529" s="89"/>
      <c r="I529" s="89"/>
      <c r="J529" s="89"/>
      <c r="K529" s="89"/>
      <c r="L529" s="89"/>
      <c r="M529" s="89"/>
      <c r="N529" s="89"/>
      <c r="O529" s="17"/>
      <c r="P529" s="28"/>
      <c r="Q529" s="20">
        <f t="shared" si="82"/>
        <v>0</v>
      </c>
    </row>
    <row r="530" spans="1:17">
      <c r="A530" s="141"/>
      <c r="B530" s="143"/>
      <c r="C530" s="117" t="s">
        <v>90</v>
      </c>
      <c r="D530" s="91"/>
      <c r="E530" s="89"/>
      <c r="F530" s="89"/>
      <c r="G530" s="91"/>
      <c r="H530" s="91"/>
      <c r="I530" s="91"/>
      <c r="J530" s="91"/>
      <c r="K530" s="91"/>
      <c r="L530" s="91"/>
      <c r="M530" s="91"/>
      <c r="N530" s="91"/>
      <c r="O530" s="80"/>
      <c r="P530" s="32"/>
      <c r="Q530" s="20">
        <f t="shared" si="82"/>
        <v>0</v>
      </c>
    </row>
    <row r="531" spans="1:17">
      <c r="A531" s="141"/>
      <c r="B531" s="143"/>
      <c r="C531" s="117" t="s">
        <v>91</v>
      </c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80"/>
      <c r="P531" s="32"/>
      <c r="Q531" s="20">
        <f t="shared" si="82"/>
        <v>0</v>
      </c>
    </row>
    <row r="532" spans="1:17">
      <c r="A532" s="141"/>
      <c r="B532" s="143"/>
      <c r="C532" s="117" t="s">
        <v>92</v>
      </c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80"/>
      <c r="P532" s="32"/>
      <c r="Q532" s="20">
        <f t="shared" si="82"/>
        <v>0</v>
      </c>
    </row>
    <row r="533" spans="1:17">
      <c r="A533" s="141"/>
      <c r="B533" s="143"/>
      <c r="C533" s="116" t="s">
        <v>93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80"/>
      <c r="P533" s="32"/>
      <c r="Q533" s="20">
        <f t="shared" si="82"/>
        <v>0</v>
      </c>
    </row>
    <row r="534" spans="1:17">
      <c r="A534" s="141"/>
      <c r="B534" s="143"/>
      <c r="C534" s="118" t="s">
        <v>94</v>
      </c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18"/>
      <c r="P534" s="33"/>
      <c r="Q534" s="22">
        <f t="shared" si="82"/>
        <v>0</v>
      </c>
    </row>
    <row r="535" spans="1:17">
      <c r="A535" s="141"/>
      <c r="B535" s="143" t="s">
        <v>11</v>
      </c>
      <c r="C535" s="119" t="s">
        <v>7</v>
      </c>
      <c r="D535" s="93"/>
      <c r="E535" s="93"/>
      <c r="F535" s="93"/>
      <c r="G535" s="93"/>
      <c r="H535" s="93"/>
      <c r="I535" s="93"/>
      <c r="J535" s="93"/>
      <c r="K535" s="93"/>
      <c r="L535" s="94"/>
      <c r="M535" s="94"/>
      <c r="N535" s="94"/>
      <c r="O535" s="79"/>
      <c r="P535" s="27"/>
      <c r="Q535" s="21">
        <f t="shared" si="82"/>
        <v>0</v>
      </c>
    </row>
    <row r="536" spans="1:17">
      <c r="A536" s="141"/>
      <c r="B536" s="143"/>
      <c r="C536" s="117" t="s">
        <v>4</v>
      </c>
      <c r="D536" s="95"/>
      <c r="E536" s="95"/>
      <c r="F536" s="95"/>
      <c r="G536" s="95"/>
      <c r="H536" s="95"/>
      <c r="I536" s="95"/>
      <c r="J536" s="95"/>
      <c r="K536" s="95"/>
      <c r="L536" s="91"/>
      <c r="M536" s="91"/>
      <c r="N536" s="91"/>
      <c r="O536" s="80"/>
      <c r="P536" s="32"/>
      <c r="Q536" s="20">
        <f t="shared" si="82"/>
        <v>0</v>
      </c>
    </row>
    <row r="537" spans="1:17">
      <c r="A537" s="141"/>
      <c r="B537" s="143"/>
      <c r="C537" s="117" t="s">
        <v>17</v>
      </c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80"/>
      <c r="P537" s="32"/>
      <c r="Q537" s="20">
        <f t="shared" si="82"/>
        <v>0</v>
      </c>
    </row>
    <row r="538" spans="1:17">
      <c r="A538" s="141"/>
      <c r="B538" s="143"/>
      <c r="C538" s="117" t="s">
        <v>18</v>
      </c>
      <c r="D538" s="90"/>
      <c r="E538" s="90"/>
      <c r="F538" s="90"/>
      <c r="G538" s="90"/>
      <c r="H538" s="91"/>
      <c r="I538" s="91"/>
      <c r="J538" s="91"/>
      <c r="K538" s="91"/>
      <c r="L538" s="91"/>
      <c r="M538" s="91"/>
      <c r="N538" s="91"/>
      <c r="O538" s="80"/>
      <c r="P538" s="32"/>
      <c r="Q538" s="20">
        <f t="shared" si="82"/>
        <v>0</v>
      </c>
    </row>
    <row r="539" spans="1:17">
      <c r="A539" s="141"/>
      <c r="B539" s="143"/>
      <c r="C539" s="120" t="s">
        <v>19</v>
      </c>
      <c r="D539" s="96"/>
      <c r="E539" s="96"/>
      <c r="F539" s="96"/>
      <c r="G539" s="96"/>
      <c r="H539" s="92"/>
      <c r="I539" s="92"/>
      <c r="J539" s="92"/>
      <c r="K539" s="92"/>
      <c r="L539" s="92"/>
      <c r="M539" s="92"/>
      <c r="N539" s="92"/>
      <c r="O539" s="18"/>
      <c r="P539" s="33"/>
      <c r="Q539" s="22">
        <f t="shared" si="82"/>
        <v>0</v>
      </c>
    </row>
    <row r="540" spans="1:17">
      <c r="A540" s="141"/>
      <c r="B540" s="143" t="s">
        <v>13</v>
      </c>
      <c r="C540" s="119" t="s">
        <v>10</v>
      </c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79"/>
      <c r="P540" s="27"/>
      <c r="Q540" s="21">
        <f t="shared" si="82"/>
        <v>0</v>
      </c>
    </row>
    <row r="541" spans="1:17">
      <c r="A541" s="141"/>
      <c r="B541" s="143"/>
      <c r="C541" s="116" t="s">
        <v>55</v>
      </c>
      <c r="D541" s="89"/>
      <c r="E541" s="89"/>
      <c r="F541" s="89"/>
      <c r="G541" s="89"/>
      <c r="H541" s="89"/>
      <c r="I541" s="89"/>
      <c r="J541" s="89"/>
      <c r="K541" s="89"/>
      <c r="L541" s="89"/>
      <c r="M541" s="89"/>
      <c r="N541" s="89"/>
      <c r="O541" s="17"/>
      <c r="P541" s="28"/>
      <c r="Q541" s="20">
        <f t="shared" si="82"/>
        <v>0</v>
      </c>
    </row>
    <row r="542" spans="1:17">
      <c r="A542" s="141"/>
      <c r="B542" s="143"/>
      <c r="C542" s="116" t="s">
        <v>56</v>
      </c>
      <c r="D542" s="89"/>
      <c r="E542" s="89"/>
      <c r="F542" s="89"/>
      <c r="G542" s="89"/>
      <c r="H542" s="89"/>
      <c r="I542" s="89"/>
      <c r="J542" s="89"/>
      <c r="K542" s="89"/>
      <c r="L542" s="89"/>
      <c r="M542" s="89"/>
      <c r="N542" s="89"/>
      <c r="O542" s="17"/>
      <c r="P542" s="28"/>
      <c r="Q542" s="20">
        <f t="shared" si="82"/>
        <v>0</v>
      </c>
    </row>
    <row r="543" spans="1:17">
      <c r="A543" s="141"/>
      <c r="B543" s="143"/>
      <c r="C543" s="120" t="s">
        <v>61</v>
      </c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18"/>
      <c r="P543" s="33"/>
      <c r="Q543" s="22">
        <f t="shared" si="82"/>
        <v>0</v>
      </c>
    </row>
    <row r="544" spans="1:17">
      <c r="A544" s="141"/>
      <c r="B544" s="156" t="s">
        <v>54</v>
      </c>
      <c r="C544" s="157"/>
      <c r="D544" s="56">
        <f>SUM(D527:D534)-SUM(D538:D539)</f>
        <v>0</v>
      </c>
      <c r="E544" s="56">
        <f t="shared" ref="E544:O544" si="83">SUM(E527:E534)-SUM(E538:E539)</f>
        <v>0</v>
      </c>
      <c r="F544" s="56">
        <f t="shared" si="83"/>
        <v>0</v>
      </c>
      <c r="G544" s="56">
        <f>SUM(G527:G534)-SUM(G538:G539)</f>
        <v>0</v>
      </c>
      <c r="H544" s="56">
        <f t="shared" si="83"/>
        <v>0</v>
      </c>
      <c r="I544" s="56">
        <f t="shared" si="83"/>
        <v>0</v>
      </c>
      <c r="J544" s="56">
        <f t="shared" si="83"/>
        <v>0</v>
      </c>
      <c r="K544" s="56">
        <f t="shared" si="83"/>
        <v>0</v>
      </c>
      <c r="L544" s="56">
        <f t="shared" si="83"/>
        <v>0</v>
      </c>
      <c r="M544" s="56">
        <f t="shared" si="83"/>
        <v>0</v>
      </c>
      <c r="N544" s="56">
        <f t="shared" si="83"/>
        <v>0</v>
      </c>
      <c r="O544" s="57">
        <f t="shared" si="83"/>
        <v>0</v>
      </c>
      <c r="P544" s="60">
        <f>SUM(P527:P534)-SUM(P538:P539)</f>
        <v>0</v>
      </c>
      <c r="Q544" s="59">
        <f>SUM(D544:P544)</f>
        <v>0</v>
      </c>
    </row>
    <row r="545" spans="1:17" ht="14.25" thickBot="1">
      <c r="A545" s="142"/>
      <c r="B545" s="147" t="s">
        <v>5</v>
      </c>
      <c r="C545" s="148"/>
      <c r="D545" s="42">
        <f>SUM(D527:D534)-SUM(D535:D539)+SUM(D540:D543)</f>
        <v>0</v>
      </c>
      <c r="E545" s="42">
        <f>SUM(E527:E534)-SUM(E535:E539)+SUM(E540:E543)</f>
        <v>0</v>
      </c>
      <c r="F545" s="42">
        <f t="shared" ref="F545:O545" si="84">SUM(F527:F534)-SUM(F535:F539)+SUM(F540:F543)</f>
        <v>0</v>
      </c>
      <c r="G545" s="42">
        <f>SUM(G527:G534)-SUM(G535:G539)+SUM(G540:G543)</f>
        <v>0</v>
      </c>
      <c r="H545" s="42">
        <f t="shared" si="84"/>
        <v>0</v>
      </c>
      <c r="I545" s="42">
        <f t="shared" si="84"/>
        <v>0</v>
      </c>
      <c r="J545" s="42">
        <f t="shared" si="84"/>
        <v>0</v>
      </c>
      <c r="K545" s="42">
        <f t="shared" si="84"/>
        <v>0</v>
      </c>
      <c r="L545" s="42">
        <f t="shared" si="84"/>
        <v>0</v>
      </c>
      <c r="M545" s="42">
        <f t="shared" si="84"/>
        <v>0</v>
      </c>
      <c r="N545" s="42">
        <f t="shared" si="84"/>
        <v>0</v>
      </c>
      <c r="O545" s="43">
        <f t="shared" si="84"/>
        <v>0</v>
      </c>
      <c r="P545" s="44">
        <f>SUM(P527:P534)-SUM(P535:P539)+SUM(P540:P543)</f>
        <v>0</v>
      </c>
      <c r="Q545" s="46">
        <f t="shared" si="82"/>
        <v>0</v>
      </c>
    </row>
    <row r="546" spans="1:17">
      <c r="A546" s="140"/>
      <c r="B546" s="158" t="s">
        <v>12</v>
      </c>
      <c r="C546" s="114" t="s">
        <v>87</v>
      </c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78"/>
      <c r="P546" s="30"/>
      <c r="Q546" s="19">
        <f>SUM(D546:P546)</f>
        <v>0</v>
      </c>
    </row>
    <row r="547" spans="1:17">
      <c r="A547" s="141"/>
      <c r="B547" s="154"/>
      <c r="C547" s="115" t="s">
        <v>89</v>
      </c>
      <c r="D547" s="88"/>
      <c r="E547" s="88"/>
      <c r="F547" s="88"/>
      <c r="G547" s="88"/>
      <c r="H547" s="88"/>
      <c r="I547" s="88"/>
      <c r="J547" s="88"/>
      <c r="K547" s="88"/>
      <c r="L547" s="88"/>
      <c r="M547" s="88"/>
      <c r="N547" s="88"/>
      <c r="O547" s="81"/>
      <c r="P547" s="31"/>
      <c r="Q547" s="20">
        <f t="shared" ref="Q547:Q564" si="85">SUM(D547:P547)</f>
        <v>0</v>
      </c>
    </row>
    <row r="548" spans="1:17">
      <c r="A548" s="141"/>
      <c r="B548" s="143"/>
      <c r="C548" s="116" t="s">
        <v>88</v>
      </c>
      <c r="D548" s="89"/>
      <c r="E548" s="90"/>
      <c r="F548" s="90"/>
      <c r="G548" s="90"/>
      <c r="H548" s="89"/>
      <c r="I548" s="89"/>
      <c r="J548" s="89"/>
      <c r="K548" s="89"/>
      <c r="L548" s="89"/>
      <c r="M548" s="89"/>
      <c r="N548" s="89"/>
      <c r="O548" s="17"/>
      <c r="P548" s="28"/>
      <c r="Q548" s="20">
        <f t="shared" si="85"/>
        <v>0</v>
      </c>
    </row>
    <row r="549" spans="1:17">
      <c r="A549" s="141"/>
      <c r="B549" s="143"/>
      <c r="C549" s="117" t="s">
        <v>90</v>
      </c>
      <c r="D549" s="91"/>
      <c r="E549" s="89"/>
      <c r="F549" s="89"/>
      <c r="G549" s="91"/>
      <c r="H549" s="91"/>
      <c r="I549" s="91"/>
      <c r="J549" s="91"/>
      <c r="K549" s="91"/>
      <c r="L549" s="91"/>
      <c r="M549" s="91"/>
      <c r="N549" s="91"/>
      <c r="O549" s="80"/>
      <c r="P549" s="32"/>
      <c r="Q549" s="20">
        <f t="shared" si="85"/>
        <v>0</v>
      </c>
    </row>
    <row r="550" spans="1:17">
      <c r="A550" s="141"/>
      <c r="B550" s="143"/>
      <c r="C550" s="117" t="s">
        <v>91</v>
      </c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80"/>
      <c r="P550" s="32"/>
      <c r="Q550" s="20">
        <f t="shared" si="85"/>
        <v>0</v>
      </c>
    </row>
    <row r="551" spans="1:17">
      <c r="A551" s="141"/>
      <c r="B551" s="143"/>
      <c r="C551" s="117" t="s">
        <v>92</v>
      </c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80"/>
      <c r="P551" s="32"/>
      <c r="Q551" s="20">
        <f t="shared" si="85"/>
        <v>0</v>
      </c>
    </row>
    <row r="552" spans="1:17">
      <c r="A552" s="141"/>
      <c r="B552" s="143"/>
      <c r="C552" s="116" t="s">
        <v>93</v>
      </c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80"/>
      <c r="P552" s="32"/>
      <c r="Q552" s="20">
        <f t="shared" si="85"/>
        <v>0</v>
      </c>
    </row>
    <row r="553" spans="1:17">
      <c r="A553" s="141"/>
      <c r="B553" s="143"/>
      <c r="C553" s="118" t="s">
        <v>94</v>
      </c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18"/>
      <c r="P553" s="33"/>
      <c r="Q553" s="22">
        <f t="shared" si="85"/>
        <v>0</v>
      </c>
    </row>
    <row r="554" spans="1:17">
      <c r="A554" s="141"/>
      <c r="B554" s="143" t="s">
        <v>11</v>
      </c>
      <c r="C554" s="119" t="s">
        <v>7</v>
      </c>
      <c r="D554" s="93"/>
      <c r="E554" s="93"/>
      <c r="F554" s="93"/>
      <c r="G554" s="93"/>
      <c r="H554" s="93"/>
      <c r="I554" s="93"/>
      <c r="J554" s="93"/>
      <c r="K554" s="93"/>
      <c r="L554" s="94"/>
      <c r="M554" s="94"/>
      <c r="N554" s="94"/>
      <c r="O554" s="79"/>
      <c r="P554" s="27"/>
      <c r="Q554" s="21">
        <f t="shared" si="85"/>
        <v>0</v>
      </c>
    </row>
    <row r="555" spans="1:17">
      <c r="A555" s="141"/>
      <c r="B555" s="143"/>
      <c r="C555" s="117" t="s">
        <v>4</v>
      </c>
      <c r="D555" s="95"/>
      <c r="E555" s="95"/>
      <c r="F555" s="95"/>
      <c r="G555" s="95"/>
      <c r="H555" s="95"/>
      <c r="I555" s="95"/>
      <c r="J555" s="95"/>
      <c r="K555" s="95"/>
      <c r="L555" s="91"/>
      <c r="M555" s="91"/>
      <c r="N555" s="91"/>
      <c r="O555" s="80"/>
      <c r="P555" s="32"/>
      <c r="Q555" s="20">
        <f t="shared" si="85"/>
        <v>0</v>
      </c>
    </row>
    <row r="556" spans="1:17">
      <c r="A556" s="141"/>
      <c r="B556" s="143"/>
      <c r="C556" s="117" t="s">
        <v>17</v>
      </c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80"/>
      <c r="P556" s="32"/>
      <c r="Q556" s="20">
        <f t="shared" si="85"/>
        <v>0</v>
      </c>
    </row>
    <row r="557" spans="1:17">
      <c r="A557" s="141"/>
      <c r="B557" s="143"/>
      <c r="C557" s="117" t="s">
        <v>18</v>
      </c>
      <c r="D557" s="90"/>
      <c r="E557" s="90"/>
      <c r="F557" s="90"/>
      <c r="G557" s="90"/>
      <c r="H557" s="91"/>
      <c r="I557" s="91"/>
      <c r="J557" s="91"/>
      <c r="K557" s="91"/>
      <c r="L557" s="91"/>
      <c r="M557" s="91"/>
      <c r="N557" s="91"/>
      <c r="O557" s="80"/>
      <c r="P557" s="32"/>
      <c r="Q557" s="20">
        <f t="shared" si="85"/>
        <v>0</v>
      </c>
    </row>
    <row r="558" spans="1:17">
      <c r="A558" s="141"/>
      <c r="B558" s="143"/>
      <c r="C558" s="120" t="s">
        <v>19</v>
      </c>
      <c r="D558" s="96"/>
      <c r="E558" s="96"/>
      <c r="F558" s="96"/>
      <c r="G558" s="96"/>
      <c r="H558" s="92"/>
      <c r="I558" s="92"/>
      <c r="J558" s="92"/>
      <c r="K558" s="92"/>
      <c r="L558" s="92"/>
      <c r="M558" s="92"/>
      <c r="N558" s="92"/>
      <c r="O558" s="18"/>
      <c r="P558" s="33"/>
      <c r="Q558" s="22">
        <f t="shared" si="85"/>
        <v>0</v>
      </c>
    </row>
    <row r="559" spans="1:17">
      <c r="A559" s="141"/>
      <c r="B559" s="143" t="s">
        <v>13</v>
      </c>
      <c r="C559" s="119" t="s">
        <v>10</v>
      </c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79"/>
      <c r="P559" s="27"/>
      <c r="Q559" s="21">
        <f t="shared" si="85"/>
        <v>0</v>
      </c>
    </row>
    <row r="560" spans="1:17">
      <c r="A560" s="141"/>
      <c r="B560" s="143"/>
      <c r="C560" s="116" t="s">
        <v>55</v>
      </c>
      <c r="D560" s="89"/>
      <c r="E560" s="89"/>
      <c r="F560" s="89"/>
      <c r="G560" s="89"/>
      <c r="H560" s="89"/>
      <c r="I560" s="89"/>
      <c r="J560" s="89"/>
      <c r="K560" s="89"/>
      <c r="L560" s="89"/>
      <c r="M560" s="89"/>
      <c r="N560" s="89"/>
      <c r="O560" s="17"/>
      <c r="P560" s="28"/>
      <c r="Q560" s="20">
        <f t="shared" si="85"/>
        <v>0</v>
      </c>
    </row>
    <row r="561" spans="1:17">
      <c r="A561" s="141"/>
      <c r="B561" s="143"/>
      <c r="C561" s="116" t="s">
        <v>56</v>
      </c>
      <c r="D561" s="89"/>
      <c r="E561" s="89"/>
      <c r="F561" s="89"/>
      <c r="G561" s="89"/>
      <c r="H561" s="89"/>
      <c r="I561" s="89"/>
      <c r="J561" s="89"/>
      <c r="K561" s="89"/>
      <c r="L561" s="89"/>
      <c r="M561" s="89"/>
      <c r="N561" s="89"/>
      <c r="O561" s="17"/>
      <c r="P561" s="28"/>
      <c r="Q561" s="20">
        <f t="shared" si="85"/>
        <v>0</v>
      </c>
    </row>
    <row r="562" spans="1:17">
      <c r="A562" s="141"/>
      <c r="B562" s="143"/>
      <c r="C562" s="120" t="s">
        <v>61</v>
      </c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18"/>
      <c r="P562" s="33"/>
      <c r="Q562" s="22">
        <f t="shared" si="85"/>
        <v>0</v>
      </c>
    </row>
    <row r="563" spans="1:17">
      <c r="A563" s="141"/>
      <c r="B563" s="156" t="s">
        <v>54</v>
      </c>
      <c r="C563" s="157"/>
      <c r="D563" s="56">
        <f>SUM(D546:D553)-SUM(D557:D558)</f>
        <v>0</v>
      </c>
      <c r="E563" s="56">
        <f t="shared" ref="E563:O563" si="86">SUM(E546:E553)-SUM(E557:E558)</f>
        <v>0</v>
      </c>
      <c r="F563" s="56">
        <f t="shared" si="86"/>
        <v>0</v>
      </c>
      <c r="G563" s="56">
        <f>SUM(G546:G553)-SUM(G557:G558)</f>
        <v>0</v>
      </c>
      <c r="H563" s="56">
        <f t="shared" si="86"/>
        <v>0</v>
      </c>
      <c r="I563" s="56">
        <f t="shared" si="86"/>
        <v>0</v>
      </c>
      <c r="J563" s="56">
        <f t="shared" si="86"/>
        <v>0</v>
      </c>
      <c r="K563" s="56">
        <f t="shared" si="86"/>
        <v>0</v>
      </c>
      <c r="L563" s="56">
        <f t="shared" si="86"/>
        <v>0</v>
      </c>
      <c r="M563" s="56">
        <f t="shared" si="86"/>
        <v>0</v>
      </c>
      <c r="N563" s="56">
        <f t="shared" si="86"/>
        <v>0</v>
      </c>
      <c r="O563" s="57">
        <f t="shared" si="86"/>
        <v>0</v>
      </c>
      <c r="P563" s="60">
        <f>SUM(P546:P553)-SUM(P557:P558)</f>
        <v>0</v>
      </c>
      <c r="Q563" s="59">
        <f>SUM(D563:P563)</f>
        <v>0</v>
      </c>
    </row>
    <row r="564" spans="1:17" ht="14.25" thickBot="1">
      <c r="A564" s="142"/>
      <c r="B564" s="147" t="s">
        <v>5</v>
      </c>
      <c r="C564" s="148"/>
      <c r="D564" s="42">
        <f>SUM(D546:D553)-SUM(D554:D558)+SUM(D559:D562)</f>
        <v>0</v>
      </c>
      <c r="E564" s="42">
        <f>SUM(E546:E553)-SUM(E554:E558)+SUM(E559:E562)</f>
        <v>0</v>
      </c>
      <c r="F564" s="42">
        <f t="shared" ref="F564:O564" si="87">SUM(F546:F553)-SUM(F554:F558)+SUM(F559:F562)</f>
        <v>0</v>
      </c>
      <c r="G564" s="42">
        <f>SUM(G546:G553)-SUM(G554:G558)+SUM(G559:G562)</f>
        <v>0</v>
      </c>
      <c r="H564" s="42">
        <f t="shared" si="87"/>
        <v>0</v>
      </c>
      <c r="I564" s="42">
        <f t="shared" si="87"/>
        <v>0</v>
      </c>
      <c r="J564" s="42">
        <f t="shared" si="87"/>
        <v>0</v>
      </c>
      <c r="K564" s="42">
        <f t="shared" si="87"/>
        <v>0</v>
      </c>
      <c r="L564" s="42">
        <f t="shared" si="87"/>
        <v>0</v>
      </c>
      <c r="M564" s="42">
        <f t="shared" si="87"/>
        <v>0</v>
      </c>
      <c r="N564" s="42">
        <f t="shared" si="87"/>
        <v>0</v>
      </c>
      <c r="O564" s="43">
        <f t="shared" si="87"/>
        <v>0</v>
      </c>
      <c r="P564" s="44">
        <f>SUM(P546:P553)-SUM(P554:P558)+SUM(P559:P562)</f>
        <v>0</v>
      </c>
      <c r="Q564" s="46">
        <f t="shared" si="85"/>
        <v>0</v>
      </c>
    </row>
    <row r="565" spans="1:17">
      <c r="A565" s="140"/>
      <c r="B565" s="158" t="s">
        <v>12</v>
      </c>
      <c r="C565" s="114" t="s">
        <v>87</v>
      </c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78"/>
      <c r="P565" s="30"/>
      <c r="Q565" s="19">
        <f>SUM(D565:P565)</f>
        <v>0</v>
      </c>
    </row>
    <row r="566" spans="1:17">
      <c r="A566" s="141"/>
      <c r="B566" s="154"/>
      <c r="C566" s="115" t="s">
        <v>89</v>
      </c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1"/>
      <c r="P566" s="31"/>
      <c r="Q566" s="20">
        <f t="shared" ref="Q566:Q583" si="88">SUM(D566:P566)</f>
        <v>0</v>
      </c>
    </row>
    <row r="567" spans="1:17">
      <c r="A567" s="141"/>
      <c r="B567" s="143"/>
      <c r="C567" s="116" t="s">
        <v>88</v>
      </c>
      <c r="D567" s="89"/>
      <c r="E567" s="90"/>
      <c r="F567" s="90"/>
      <c r="G567" s="90"/>
      <c r="H567" s="89"/>
      <c r="I567" s="89"/>
      <c r="J567" s="89"/>
      <c r="K567" s="89"/>
      <c r="L567" s="89"/>
      <c r="M567" s="89"/>
      <c r="N567" s="89"/>
      <c r="O567" s="17"/>
      <c r="P567" s="28"/>
      <c r="Q567" s="20">
        <f t="shared" si="88"/>
        <v>0</v>
      </c>
    </row>
    <row r="568" spans="1:17">
      <c r="A568" s="141"/>
      <c r="B568" s="143"/>
      <c r="C568" s="117" t="s">
        <v>90</v>
      </c>
      <c r="D568" s="91"/>
      <c r="E568" s="89"/>
      <c r="F568" s="89"/>
      <c r="G568" s="91"/>
      <c r="H568" s="91"/>
      <c r="I568" s="91"/>
      <c r="J568" s="91"/>
      <c r="K568" s="91"/>
      <c r="L568" s="91"/>
      <c r="M568" s="91"/>
      <c r="N568" s="91"/>
      <c r="O568" s="80"/>
      <c r="P568" s="32"/>
      <c r="Q568" s="20">
        <f t="shared" si="88"/>
        <v>0</v>
      </c>
    </row>
    <row r="569" spans="1:17">
      <c r="A569" s="141"/>
      <c r="B569" s="143"/>
      <c r="C569" s="117" t="s">
        <v>91</v>
      </c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80"/>
      <c r="P569" s="32"/>
      <c r="Q569" s="20">
        <f t="shared" si="88"/>
        <v>0</v>
      </c>
    </row>
    <row r="570" spans="1:17">
      <c r="A570" s="141"/>
      <c r="B570" s="143"/>
      <c r="C570" s="117" t="s">
        <v>92</v>
      </c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80"/>
      <c r="P570" s="32"/>
      <c r="Q570" s="20">
        <f t="shared" si="88"/>
        <v>0</v>
      </c>
    </row>
    <row r="571" spans="1:17">
      <c r="A571" s="141"/>
      <c r="B571" s="143"/>
      <c r="C571" s="116" t="s">
        <v>93</v>
      </c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80"/>
      <c r="P571" s="32"/>
      <c r="Q571" s="20">
        <f t="shared" si="88"/>
        <v>0</v>
      </c>
    </row>
    <row r="572" spans="1:17">
      <c r="A572" s="141"/>
      <c r="B572" s="143"/>
      <c r="C572" s="118" t="s">
        <v>94</v>
      </c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18"/>
      <c r="P572" s="33"/>
      <c r="Q572" s="22">
        <f t="shared" si="88"/>
        <v>0</v>
      </c>
    </row>
    <row r="573" spans="1:17">
      <c r="A573" s="141"/>
      <c r="B573" s="143" t="s">
        <v>11</v>
      </c>
      <c r="C573" s="119" t="s">
        <v>7</v>
      </c>
      <c r="D573" s="93"/>
      <c r="E573" s="93"/>
      <c r="F573" s="93"/>
      <c r="G573" s="93"/>
      <c r="H573" s="93"/>
      <c r="I573" s="93"/>
      <c r="J573" s="93"/>
      <c r="K573" s="93"/>
      <c r="L573" s="94"/>
      <c r="M573" s="94"/>
      <c r="N573" s="94"/>
      <c r="O573" s="79"/>
      <c r="P573" s="27"/>
      <c r="Q573" s="21">
        <f t="shared" si="88"/>
        <v>0</v>
      </c>
    </row>
    <row r="574" spans="1:17">
      <c r="A574" s="141"/>
      <c r="B574" s="143"/>
      <c r="C574" s="117" t="s">
        <v>4</v>
      </c>
      <c r="D574" s="95"/>
      <c r="E574" s="95"/>
      <c r="F574" s="95"/>
      <c r="G574" s="95"/>
      <c r="H574" s="95"/>
      <c r="I574" s="95"/>
      <c r="J574" s="95"/>
      <c r="K574" s="95"/>
      <c r="L574" s="91"/>
      <c r="M574" s="91"/>
      <c r="N574" s="91"/>
      <c r="O574" s="80"/>
      <c r="P574" s="32"/>
      <c r="Q574" s="20">
        <f t="shared" si="88"/>
        <v>0</v>
      </c>
    </row>
    <row r="575" spans="1:17">
      <c r="A575" s="141"/>
      <c r="B575" s="143"/>
      <c r="C575" s="117" t="s">
        <v>17</v>
      </c>
      <c r="D575" s="91"/>
      <c r="E575" s="91"/>
      <c r="F575" s="91"/>
      <c r="G575" s="91"/>
      <c r="H575" s="91"/>
      <c r="I575" s="91"/>
      <c r="J575" s="91"/>
      <c r="K575" s="91"/>
      <c r="L575" s="91"/>
      <c r="M575" s="91"/>
      <c r="N575" s="91"/>
      <c r="O575" s="80"/>
      <c r="P575" s="32"/>
      <c r="Q575" s="20">
        <f t="shared" si="88"/>
        <v>0</v>
      </c>
    </row>
    <row r="576" spans="1:17">
      <c r="A576" s="141"/>
      <c r="B576" s="143"/>
      <c r="C576" s="117" t="s">
        <v>18</v>
      </c>
      <c r="D576" s="90"/>
      <c r="E576" s="90"/>
      <c r="F576" s="90"/>
      <c r="G576" s="90"/>
      <c r="H576" s="91"/>
      <c r="I576" s="91"/>
      <c r="J576" s="91"/>
      <c r="K576" s="91"/>
      <c r="L576" s="91"/>
      <c r="M576" s="91"/>
      <c r="N576" s="91"/>
      <c r="O576" s="80"/>
      <c r="P576" s="32"/>
      <c r="Q576" s="20">
        <f t="shared" si="88"/>
        <v>0</v>
      </c>
    </row>
    <row r="577" spans="1:17">
      <c r="A577" s="141"/>
      <c r="B577" s="143"/>
      <c r="C577" s="120" t="s">
        <v>19</v>
      </c>
      <c r="D577" s="96"/>
      <c r="E577" s="96"/>
      <c r="F577" s="96"/>
      <c r="G577" s="96"/>
      <c r="H577" s="92"/>
      <c r="I577" s="92"/>
      <c r="J577" s="92"/>
      <c r="K577" s="92"/>
      <c r="L577" s="92"/>
      <c r="M577" s="92"/>
      <c r="N577" s="92"/>
      <c r="O577" s="18"/>
      <c r="P577" s="33"/>
      <c r="Q577" s="22">
        <f t="shared" si="88"/>
        <v>0</v>
      </c>
    </row>
    <row r="578" spans="1:17">
      <c r="A578" s="141"/>
      <c r="B578" s="143" t="s">
        <v>13</v>
      </c>
      <c r="C578" s="119" t="s">
        <v>10</v>
      </c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79"/>
      <c r="P578" s="27"/>
      <c r="Q578" s="21">
        <f t="shared" si="88"/>
        <v>0</v>
      </c>
    </row>
    <row r="579" spans="1:17">
      <c r="A579" s="141"/>
      <c r="B579" s="143"/>
      <c r="C579" s="116" t="s">
        <v>55</v>
      </c>
      <c r="D579" s="89"/>
      <c r="E579" s="89"/>
      <c r="F579" s="89"/>
      <c r="G579" s="89"/>
      <c r="H579" s="89"/>
      <c r="I579" s="89"/>
      <c r="J579" s="89"/>
      <c r="K579" s="89"/>
      <c r="L579" s="89"/>
      <c r="M579" s="89"/>
      <c r="N579" s="89"/>
      <c r="O579" s="17"/>
      <c r="P579" s="28"/>
      <c r="Q579" s="20">
        <f t="shared" si="88"/>
        <v>0</v>
      </c>
    </row>
    <row r="580" spans="1:17">
      <c r="A580" s="141"/>
      <c r="B580" s="143"/>
      <c r="C580" s="116" t="s">
        <v>56</v>
      </c>
      <c r="D580" s="89"/>
      <c r="E580" s="89"/>
      <c r="F580" s="89"/>
      <c r="G580" s="89"/>
      <c r="H580" s="89"/>
      <c r="I580" s="89"/>
      <c r="J580" s="89"/>
      <c r="K580" s="89"/>
      <c r="L580" s="89"/>
      <c r="M580" s="89"/>
      <c r="N580" s="89"/>
      <c r="O580" s="17"/>
      <c r="P580" s="28"/>
      <c r="Q580" s="20">
        <f t="shared" si="88"/>
        <v>0</v>
      </c>
    </row>
    <row r="581" spans="1:17">
      <c r="A581" s="141"/>
      <c r="B581" s="143"/>
      <c r="C581" s="120" t="s">
        <v>61</v>
      </c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18"/>
      <c r="P581" s="33"/>
      <c r="Q581" s="22">
        <f t="shared" si="88"/>
        <v>0</v>
      </c>
    </row>
    <row r="582" spans="1:17">
      <c r="A582" s="141"/>
      <c r="B582" s="156" t="s">
        <v>54</v>
      </c>
      <c r="C582" s="157"/>
      <c r="D582" s="56">
        <f>SUM(D565:D572)-SUM(D576:D577)</f>
        <v>0</v>
      </c>
      <c r="E582" s="56">
        <f t="shared" ref="E582:O582" si="89">SUM(E565:E572)-SUM(E576:E577)</f>
        <v>0</v>
      </c>
      <c r="F582" s="56">
        <f t="shared" si="89"/>
        <v>0</v>
      </c>
      <c r="G582" s="56">
        <f>SUM(G565:G572)-SUM(G576:G577)</f>
        <v>0</v>
      </c>
      <c r="H582" s="56">
        <f t="shared" si="89"/>
        <v>0</v>
      </c>
      <c r="I582" s="56">
        <f t="shared" si="89"/>
        <v>0</v>
      </c>
      <c r="J582" s="56">
        <f t="shared" si="89"/>
        <v>0</v>
      </c>
      <c r="K582" s="56">
        <f t="shared" si="89"/>
        <v>0</v>
      </c>
      <c r="L582" s="56">
        <f t="shared" si="89"/>
        <v>0</v>
      </c>
      <c r="M582" s="56">
        <f t="shared" si="89"/>
        <v>0</v>
      </c>
      <c r="N582" s="56">
        <f t="shared" si="89"/>
        <v>0</v>
      </c>
      <c r="O582" s="57">
        <f t="shared" si="89"/>
        <v>0</v>
      </c>
      <c r="P582" s="60">
        <f>SUM(P565:P572)-SUM(P576:P577)</f>
        <v>0</v>
      </c>
      <c r="Q582" s="59">
        <f>SUM(D582:P582)</f>
        <v>0</v>
      </c>
    </row>
    <row r="583" spans="1:17" ht="14.25" thickBot="1">
      <c r="A583" s="142"/>
      <c r="B583" s="147" t="s">
        <v>5</v>
      </c>
      <c r="C583" s="148"/>
      <c r="D583" s="42">
        <f>SUM(D565:D572)-SUM(D573:D577)+SUM(D578:D581)</f>
        <v>0</v>
      </c>
      <c r="E583" s="42">
        <f>SUM(E565:E572)-SUM(E573:E577)+SUM(E578:E581)</f>
        <v>0</v>
      </c>
      <c r="F583" s="42">
        <f t="shared" ref="F583:O583" si="90">SUM(F565:F572)-SUM(F573:F577)+SUM(F578:F581)</f>
        <v>0</v>
      </c>
      <c r="G583" s="42">
        <f>SUM(G565:G572)-SUM(G573:G577)+SUM(G578:G581)</f>
        <v>0</v>
      </c>
      <c r="H583" s="42">
        <f t="shared" si="90"/>
        <v>0</v>
      </c>
      <c r="I583" s="42">
        <f t="shared" si="90"/>
        <v>0</v>
      </c>
      <c r="J583" s="42">
        <f t="shared" si="90"/>
        <v>0</v>
      </c>
      <c r="K583" s="42">
        <f t="shared" si="90"/>
        <v>0</v>
      </c>
      <c r="L583" s="42">
        <f t="shared" si="90"/>
        <v>0</v>
      </c>
      <c r="M583" s="42">
        <f t="shared" si="90"/>
        <v>0</v>
      </c>
      <c r="N583" s="42">
        <f t="shared" si="90"/>
        <v>0</v>
      </c>
      <c r="O583" s="43">
        <f t="shared" si="90"/>
        <v>0</v>
      </c>
      <c r="P583" s="44">
        <f>SUM(P565:P572)-SUM(P573:P577)+SUM(P578:P581)</f>
        <v>0</v>
      </c>
      <c r="Q583" s="46">
        <f t="shared" si="88"/>
        <v>0</v>
      </c>
    </row>
    <row r="584" spans="1:17">
      <c r="A584" s="140"/>
      <c r="B584" s="158" t="s">
        <v>12</v>
      </c>
      <c r="C584" s="114" t="s">
        <v>87</v>
      </c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78"/>
      <c r="P584" s="30"/>
      <c r="Q584" s="19">
        <f>SUM(D584:P584)</f>
        <v>0</v>
      </c>
    </row>
    <row r="585" spans="1:17">
      <c r="A585" s="141"/>
      <c r="B585" s="154"/>
      <c r="C585" s="115" t="s">
        <v>89</v>
      </c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1"/>
      <c r="P585" s="31"/>
      <c r="Q585" s="20">
        <f t="shared" ref="Q585:Q602" si="91">SUM(D585:P585)</f>
        <v>0</v>
      </c>
    </row>
    <row r="586" spans="1:17">
      <c r="A586" s="141"/>
      <c r="B586" s="143"/>
      <c r="C586" s="116" t="s">
        <v>88</v>
      </c>
      <c r="D586" s="89"/>
      <c r="E586" s="90"/>
      <c r="F586" s="90"/>
      <c r="G586" s="90"/>
      <c r="H586" s="89"/>
      <c r="I586" s="89"/>
      <c r="J586" s="89"/>
      <c r="K586" s="89"/>
      <c r="L586" s="89"/>
      <c r="M586" s="89"/>
      <c r="N586" s="89"/>
      <c r="O586" s="17"/>
      <c r="P586" s="28"/>
      <c r="Q586" s="20">
        <f t="shared" si="91"/>
        <v>0</v>
      </c>
    </row>
    <row r="587" spans="1:17">
      <c r="A587" s="141"/>
      <c r="B587" s="143"/>
      <c r="C587" s="117" t="s">
        <v>90</v>
      </c>
      <c r="D587" s="91"/>
      <c r="E587" s="89"/>
      <c r="F587" s="89"/>
      <c r="G587" s="91"/>
      <c r="H587" s="91"/>
      <c r="I587" s="91"/>
      <c r="J587" s="91"/>
      <c r="K587" s="91"/>
      <c r="L587" s="91"/>
      <c r="M587" s="91"/>
      <c r="N587" s="91"/>
      <c r="O587" s="80"/>
      <c r="P587" s="32"/>
      <c r="Q587" s="20">
        <f t="shared" si="91"/>
        <v>0</v>
      </c>
    </row>
    <row r="588" spans="1:17">
      <c r="A588" s="141"/>
      <c r="B588" s="143"/>
      <c r="C588" s="117" t="s">
        <v>91</v>
      </c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80"/>
      <c r="P588" s="32"/>
      <c r="Q588" s="20">
        <f t="shared" si="91"/>
        <v>0</v>
      </c>
    </row>
    <row r="589" spans="1:17">
      <c r="A589" s="141"/>
      <c r="B589" s="143"/>
      <c r="C589" s="117" t="s">
        <v>92</v>
      </c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80"/>
      <c r="P589" s="32"/>
      <c r="Q589" s="20">
        <f t="shared" si="91"/>
        <v>0</v>
      </c>
    </row>
    <row r="590" spans="1:17">
      <c r="A590" s="141"/>
      <c r="B590" s="143"/>
      <c r="C590" s="116" t="s">
        <v>93</v>
      </c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80"/>
      <c r="P590" s="32"/>
      <c r="Q590" s="20">
        <f t="shared" si="91"/>
        <v>0</v>
      </c>
    </row>
    <row r="591" spans="1:17">
      <c r="A591" s="141"/>
      <c r="B591" s="143"/>
      <c r="C591" s="118" t="s">
        <v>94</v>
      </c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18"/>
      <c r="P591" s="33"/>
      <c r="Q591" s="22">
        <f t="shared" si="91"/>
        <v>0</v>
      </c>
    </row>
    <row r="592" spans="1:17">
      <c r="A592" s="141"/>
      <c r="B592" s="143" t="s">
        <v>11</v>
      </c>
      <c r="C592" s="119" t="s">
        <v>7</v>
      </c>
      <c r="D592" s="93"/>
      <c r="E592" s="93"/>
      <c r="F592" s="93"/>
      <c r="G592" s="93"/>
      <c r="H592" s="93"/>
      <c r="I592" s="93"/>
      <c r="J592" s="93"/>
      <c r="K592" s="93"/>
      <c r="L592" s="94"/>
      <c r="M592" s="94"/>
      <c r="N592" s="94"/>
      <c r="O592" s="79"/>
      <c r="P592" s="27"/>
      <c r="Q592" s="21">
        <f t="shared" si="91"/>
        <v>0</v>
      </c>
    </row>
    <row r="593" spans="1:17">
      <c r="A593" s="141"/>
      <c r="B593" s="143"/>
      <c r="C593" s="117" t="s">
        <v>4</v>
      </c>
      <c r="D593" s="95"/>
      <c r="E593" s="95"/>
      <c r="F593" s="95"/>
      <c r="G593" s="95"/>
      <c r="H593" s="95"/>
      <c r="I593" s="95"/>
      <c r="J593" s="95"/>
      <c r="K593" s="95"/>
      <c r="L593" s="91"/>
      <c r="M593" s="91"/>
      <c r="N593" s="91"/>
      <c r="O593" s="80"/>
      <c r="P593" s="32"/>
      <c r="Q593" s="20">
        <f t="shared" si="91"/>
        <v>0</v>
      </c>
    </row>
    <row r="594" spans="1:17">
      <c r="A594" s="141"/>
      <c r="B594" s="143"/>
      <c r="C594" s="117" t="s">
        <v>17</v>
      </c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80"/>
      <c r="P594" s="32"/>
      <c r="Q594" s="20">
        <f t="shared" si="91"/>
        <v>0</v>
      </c>
    </row>
    <row r="595" spans="1:17">
      <c r="A595" s="141"/>
      <c r="B595" s="143"/>
      <c r="C595" s="117" t="s">
        <v>18</v>
      </c>
      <c r="D595" s="90"/>
      <c r="E595" s="90"/>
      <c r="F595" s="90"/>
      <c r="G595" s="90"/>
      <c r="H595" s="91"/>
      <c r="I595" s="91"/>
      <c r="J595" s="91"/>
      <c r="K595" s="91"/>
      <c r="L595" s="91"/>
      <c r="M595" s="91"/>
      <c r="N595" s="91"/>
      <c r="O595" s="80"/>
      <c r="P595" s="32"/>
      <c r="Q595" s="20">
        <f t="shared" si="91"/>
        <v>0</v>
      </c>
    </row>
    <row r="596" spans="1:17">
      <c r="A596" s="141"/>
      <c r="B596" s="143"/>
      <c r="C596" s="120" t="s">
        <v>19</v>
      </c>
      <c r="D596" s="96"/>
      <c r="E596" s="96"/>
      <c r="F596" s="96"/>
      <c r="G596" s="96"/>
      <c r="H596" s="92"/>
      <c r="I596" s="92"/>
      <c r="J596" s="92"/>
      <c r="K596" s="92"/>
      <c r="L596" s="92"/>
      <c r="M596" s="92"/>
      <c r="N596" s="92"/>
      <c r="O596" s="18"/>
      <c r="P596" s="33"/>
      <c r="Q596" s="22">
        <f t="shared" si="91"/>
        <v>0</v>
      </c>
    </row>
    <row r="597" spans="1:17">
      <c r="A597" s="141"/>
      <c r="B597" s="143" t="s">
        <v>13</v>
      </c>
      <c r="C597" s="119" t="s">
        <v>10</v>
      </c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79"/>
      <c r="P597" s="27"/>
      <c r="Q597" s="21">
        <f t="shared" si="91"/>
        <v>0</v>
      </c>
    </row>
    <row r="598" spans="1:17">
      <c r="A598" s="141"/>
      <c r="B598" s="143"/>
      <c r="C598" s="116" t="s">
        <v>55</v>
      </c>
      <c r="D598" s="89"/>
      <c r="E598" s="89"/>
      <c r="F598" s="89"/>
      <c r="G598" s="89"/>
      <c r="H598" s="89"/>
      <c r="I598" s="89"/>
      <c r="J598" s="89"/>
      <c r="K598" s="89"/>
      <c r="L598" s="89"/>
      <c r="M598" s="89"/>
      <c r="N598" s="89"/>
      <c r="O598" s="17"/>
      <c r="P598" s="28"/>
      <c r="Q598" s="20">
        <f t="shared" si="91"/>
        <v>0</v>
      </c>
    </row>
    <row r="599" spans="1:17">
      <c r="A599" s="141"/>
      <c r="B599" s="143"/>
      <c r="C599" s="116" t="s">
        <v>56</v>
      </c>
      <c r="D599" s="89"/>
      <c r="E599" s="89"/>
      <c r="F599" s="89"/>
      <c r="G599" s="89"/>
      <c r="H599" s="89"/>
      <c r="I599" s="89"/>
      <c r="J599" s="89"/>
      <c r="K599" s="89"/>
      <c r="L599" s="89"/>
      <c r="M599" s="89"/>
      <c r="N599" s="89"/>
      <c r="O599" s="17"/>
      <c r="P599" s="28"/>
      <c r="Q599" s="20">
        <f t="shared" si="91"/>
        <v>0</v>
      </c>
    </row>
    <row r="600" spans="1:17">
      <c r="A600" s="141"/>
      <c r="B600" s="143"/>
      <c r="C600" s="120" t="s">
        <v>61</v>
      </c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18"/>
      <c r="P600" s="33"/>
      <c r="Q600" s="22">
        <f t="shared" si="91"/>
        <v>0</v>
      </c>
    </row>
    <row r="601" spans="1:17">
      <c r="A601" s="141"/>
      <c r="B601" s="156" t="s">
        <v>54</v>
      </c>
      <c r="C601" s="157"/>
      <c r="D601" s="56">
        <f>SUM(D584:D591)-SUM(D595:D596)</f>
        <v>0</v>
      </c>
      <c r="E601" s="56">
        <f t="shared" ref="E601:O601" si="92">SUM(E584:E591)-SUM(E595:E596)</f>
        <v>0</v>
      </c>
      <c r="F601" s="56">
        <f t="shared" si="92"/>
        <v>0</v>
      </c>
      <c r="G601" s="56">
        <f>SUM(G584:G591)-SUM(G595:G596)</f>
        <v>0</v>
      </c>
      <c r="H601" s="56">
        <f t="shared" si="92"/>
        <v>0</v>
      </c>
      <c r="I601" s="56">
        <f t="shared" si="92"/>
        <v>0</v>
      </c>
      <c r="J601" s="56">
        <f t="shared" si="92"/>
        <v>0</v>
      </c>
      <c r="K601" s="56">
        <f t="shared" si="92"/>
        <v>0</v>
      </c>
      <c r="L601" s="56">
        <f t="shared" si="92"/>
        <v>0</v>
      </c>
      <c r="M601" s="56">
        <f t="shared" si="92"/>
        <v>0</v>
      </c>
      <c r="N601" s="56">
        <f t="shared" si="92"/>
        <v>0</v>
      </c>
      <c r="O601" s="57">
        <f t="shared" si="92"/>
        <v>0</v>
      </c>
      <c r="P601" s="60">
        <f>SUM(P584:P591)-SUM(P595:P596)</f>
        <v>0</v>
      </c>
      <c r="Q601" s="59">
        <f>SUM(D601:P601)</f>
        <v>0</v>
      </c>
    </row>
    <row r="602" spans="1:17" ht="14.25" thickBot="1">
      <c r="A602" s="142"/>
      <c r="B602" s="147" t="s">
        <v>5</v>
      </c>
      <c r="C602" s="148"/>
      <c r="D602" s="42">
        <f>SUM(D584:D591)-SUM(D592:D596)+SUM(D597:D600)</f>
        <v>0</v>
      </c>
      <c r="E602" s="42">
        <f>SUM(E584:E591)-SUM(E592:E596)+SUM(E597:E600)</f>
        <v>0</v>
      </c>
      <c r="F602" s="42">
        <f t="shared" ref="F602:O602" si="93">SUM(F584:F591)-SUM(F592:F596)+SUM(F597:F600)</f>
        <v>0</v>
      </c>
      <c r="G602" s="42">
        <f>SUM(G584:G591)-SUM(G592:G596)+SUM(G597:G600)</f>
        <v>0</v>
      </c>
      <c r="H602" s="42">
        <f t="shared" si="93"/>
        <v>0</v>
      </c>
      <c r="I602" s="42">
        <f t="shared" si="93"/>
        <v>0</v>
      </c>
      <c r="J602" s="42">
        <f t="shared" si="93"/>
        <v>0</v>
      </c>
      <c r="K602" s="42">
        <f t="shared" si="93"/>
        <v>0</v>
      </c>
      <c r="L602" s="42">
        <f t="shared" si="93"/>
        <v>0</v>
      </c>
      <c r="M602" s="42">
        <f t="shared" si="93"/>
        <v>0</v>
      </c>
      <c r="N602" s="42">
        <f t="shared" si="93"/>
        <v>0</v>
      </c>
      <c r="O602" s="43">
        <f t="shared" si="93"/>
        <v>0</v>
      </c>
      <c r="P602" s="44">
        <f>SUM(P584:P591)-SUM(P592:P596)+SUM(P597:P600)</f>
        <v>0</v>
      </c>
      <c r="Q602" s="46">
        <f t="shared" si="91"/>
        <v>0</v>
      </c>
    </row>
    <row r="603" spans="1:17">
      <c r="A603" s="140"/>
      <c r="B603" s="158" t="s">
        <v>12</v>
      </c>
      <c r="C603" s="114" t="s">
        <v>87</v>
      </c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78"/>
      <c r="P603" s="30"/>
      <c r="Q603" s="19">
        <f>SUM(D603:P603)</f>
        <v>0</v>
      </c>
    </row>
    <row r="604" spans="1:17">
      <c r="A604" s="141"/>
      <c r="B604" s="154"/>
      <c r="C604" s="115" t="s">
        <v>89</v>
      </c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1"/>
      <c r="P604" s="31"/>
      <c r="Q604" s="20">
        <f t="shared" ref="Q604:Q621" si="94">SUM(D604:P604)</f>
        <v>0</v>
      </c>
    </row>
    <row r="605" spans="1:17">
      <c r="A605" s="141"/>
      <c r="B605" s="143"/>
      <c r="C605" s="116" t="s">
        <v>88</v>
      </c>
      <c r="D605" s="89"/>
      <c r="E605" s="90"/>
      <c r="F605" s="90"/>
      <c r="G605" s="90"/>
      <c r="H605" s="89"/>
      <c r="I605" s="89"/>
      <c r="J605" s="89"/>
      <c r="K605" s="89"/>
      <c r="L605" s="89"/>
      <c r="M605" s="89"/>
      <c r="N605" s="89"/>
      <c r="O605" s="17"/>
      <c r="P605" s="28"/>
      <c r="Q605" s="20">
        <f t="shared" si="94"/>
        <v>0</v>
      </c>
    </row>
    <row r="606" spans="1:17">
      <c r="A606" s="141"/>
      <c r="B606" s="143"/>
      <c r="C606" s="117" t="s">
        <v>90</v>
      </c>
      <c r="D606" s="91"/>
      <c r="E606" s="89"/>
      <c r="F606" s="89"/>
      <c r="G606" s="91"/>
      <c r="H606" s="91"/>
      <c r="I606" s="91"/>
      <c r="J606" s="91"/>
      <c r="K606" s="91"/>
      <c r="L606" s="91"/>
      <c r="M606" s="91"/>
      <c r="N606" s="91"/>
      <c r="O606" s="80"/>
      <c r="P606" s="32"/>
      <c r="Q606" s="20">
        <f t="shared" si="94"/>
        <v>0</v>
      </c>
    </row>
    <row r="607" spans="1:17">
      <c r="A607" s="141"/>
      <c r="B607" s="143"/>
      <c r="C607" s="117" t="s">
        <v>91</v>
      </c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80"/>
      <c r="P607" s="32"/>
      <c r="Q607" s="20">
        <f t="shared" si="94"/>
        <v>0</v>
      </c>
    </row>
    <row r="608" spans="1:17">
      <c r="A608" s="141"/>
      <c r="B608" s="143"/>
      <c r="C608" s="117" t="s">
        <v>92</v>
      </c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80"/>
      <c r="P608" s="32"/>
      <c r="Q608" s="20">
        <f t="shared" si="94"/>
        <v>0</v>
      </c>
    </row>
    <row r="609" spans="1:17">
      <c r="A609" s="141"/>
      <c r="B609" s="143"/>
      <c r="C609" s="116" t="s">
        <v>93</v>
      </c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80"/>
      <c r="P609" s="32"/>
      <c r="Q609" s="20">
        <f t="shared" si="94"/>
        <v>0</v>
      </c>
    </row>
    <row r="610" spans="1:17">
      <c r="A610" s="141"/>
      <c r="B610" s="143"/>
      <c r="C610" s="118" t="s">
        <v>94</v>
      </c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18"/>
      <c r="P610" s="33"/>
      <c r="Q610" s="22">
        <f t="shared" si="94"/>
        <v>0</v>
      </c>
    </row>
    <row r="611" spans="1:17">
      <c r="A611" s="141"/>
      <c r="B611" s="143" t="s">
        <v>11</v>
      </c>
      <c r="C611" s="119" t="s">
        <v>7</v>
      </c>
      <c r="D611" s="93"/>
      <c r="E611" s="93"/>
      <c r="F611" s="93"/>
      <c r="G611" s="93"/>
      <c r="H611" s="93"/>
      <c r="I611" s="93"/>
      <c r="J611" s="93"/>
      <c r="K611" s="93"/>
      <c r="L611" s="94"/>
      <c r="M611" s="94"/>
      <c r="N611" s="94"/>
      <c r="O611" s="79"/>
      <c r="P611" s="27"/>
      <c r="Q611" s="21">
        <f t="shared" si="94"/>
        <v>0</v>
      </c>
    </row>
    <row r="612" spans="1:17">
      <c r="A612" s="141"/>
      <c r="B612" s="143"/>
      <c r="C612" s="117" t="s">
        <v>4</v>
      </c>
      <c r="D612" s="95"/>
      <c r="E612" s="95"/>
      <c r="F612" s="95"/>
      <c r="G612" s="95"/>
      <c r="H612" s="95"/>
      <c r="I612" s="95"/>
      <c r="J612" s="95"/>
      <c r="K612" s="95"/>
      <c r="L612" s="91"/>
      <c r="M612" s="91"/>
      <c r="N612" s="91"/>
      <c r="O612" s="80"/>
      <c r="P612" s="32"/>
      <c r="Q612" s="20">
        <f t="shared" si="94"/>
        <v>0</v>
      </c>
    </row>
    <row r="613" spans="1:17">
      <c r="A613" s="141"/>
      <c r="B613" s="143"/>
      <c r="C613" s="117" t="s">
        <v>17</v>
      </c>
      <c r="D613" s="91"/>
      <c r="E613" s="91"/>
      <c r="F613" s="91"/>
      <c r="G613" s="91"/>
      <c r="H613" s="91"/>
      <c r="I613" s="91"/>
      <c r="J613" s="91"/>
      <c r="K613" s="91"/>
      <c r="L613" s="91"/>
      <c r="M613" s="91"/>
      <c r="N613" s="91"/>
      <c r="O613" s="80"/>
      <c r="P613" s="32"/>
      <c r="Q613" s="20">
        <f t="shared" si="94"/>
        <v>0</v>
      </c>
    </row>
    <row r="614" spans="1:17">
      <c r="A614" s="141"/>
      <c r="B614" s="143"/>
      <c r="C614" s="117" t="s">
        <v>18</v>
      </c>
      <c r="D614" s="90"/>
      <c r="E614" s="90"/>
      <c r="F614" s="90"/>
      <c r="G614" s="90"/>
      <c r="H614" s="91"/>
      <c r="I614" s="91"/>
      <c r="J614" s="91"/>
      <c r="K614" s="91"/>
      <c r="L614" s="91"/>
      <c r="M614" s="91"/>
      <c r="N614" s="91"/>
      <c r="O614" s="80"/>
      <c r="P614" s="32"/>
      <c r="Q614" s="20">
        <f t="shared" si="94"/>
        <v>0</v>
      </c>
    </row>
    <row r="615" spans="1:17">
      <c r="A615" s="141"/>
      <c r="B615" s="143"/>
      <c r="C615" s="120" t="s">
        <v>19</v>
      </c>
      <c r="D615" s="96"/>
      <c r="E615" s="96"/>
      <c r="F615" s="96"/>
      <c r="G615" s="96"/>
      <c r="H615" s="92"/>
      <c r="I615" s="92"/>
      <c r="J615" s="92"/>
      <c r="K615" s="92"/>
      <c r="L615" s="92"/>
      <c r="M615" s="92"/>
      <c r="N615" s="92"/>
      <c r="O615" s="18"/>
      <c r="P615" s="33"/>
      <c r="Q615" s="22">
        <f t="shared" si="94"/>
        <v>0</v>
      </c>
    </row>
    <row r="616" spans="1:17">
      <c r="A616" s="141"/>
      <c r="B616" s="143" t="s">
        <v>13</v>
      </c>
      <c r="C616" s="119" t="s">
        <v>10</v>
      </c>
      <c r="D616" s="94"/>
      <c r="E616" s="94"/>
      <c r="F616" s="94"/>
      <c r="G616" s="94"/>
      <c r="H616" s="94"/>
      <c r="I616" s="94"/>
      <c r="J616" s="94"/>
      <c r="K616" s="94"/>
      <c r="L616" s="94"/>
      <c r="M616" s="94"/>
      <c r="N616" s="94"/>
      <c r="O616" s="79"/>
      <c r="P616" s="27"/>
      <c r="Q616" s="21">
        <f t="shared" si="94"/>
        <v>0</v>
      </c>
    </row>
    <row r="617" spans="1:17">
      <c r="A617" s="141"/>
      <c r="B617" s="143"/>
      <c r="C617" s="116" t="s">
        <v>55</v>
      </c>
      <c r="D617" s="89"/>
      <c r="E617" s="89"/>
      <c r="F617" s="89"/>
      <c r="G617" s="89"/>
      <c r="H617" s="89"/>
      <c r="I617" s="89"/>
      <c r="J617" s="89"/>
      <c r="K617" s="89"/>
      <c r="L617" s="89"/>
      <c r="M617" s="89"/>
      <c r="N617" s="89"/>
      <c r="O617" s="17"/>
      <c r="P617" s="28"/>
      <c r="Q617" s="20">
        <f t="shared" si="94"/>
        <v>0</v>
      </c>
    </row>
    <row r="618" spans="1:17">
      <c r="A618" s="141"/>
      <c r="B618" s="143"/>
      <c r="C618" s="116" t="s">
        <v>56</v>
      </c>
      <c r="D618" s="89"/>
      <c r="E618" s="89"/>
      <c r="F618" s="89"/>
      <c r="G618" s="89"/>
      <c r="H618" s="89"/>
      <c r="I618" s="89"/>
      <c r="J618" s="89"/>
      <c r="K618" s="89"/>
      <c r="L618" s="89"/>
      <c r="M618" s="89"/>
      <c r="N618" s="89"/>
      <c r="O618" s="17"/>
      <c r="P618" s="28"/>
      <c r="Q618" s="20">
        <f t="shared" si="94"/>
        <v>0</v>
      </c>
    </row>
    <row r="619" spans="1:17">
      <c r="A619" s="141"/>
      <c r="B619" s="143"/>
      <c r="C619" s="120" t="s">
        <v>61</v>
      </c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18"/>
      <c r="P619" s="33"/>
      <c r="Q619" s="22">
        <f t="shared" si="94"/>
        <v>0</v>
      </c>
    </row>
    <row r="620" spans="1:17">
      <c r="A620" s="141"/>
      <c r="B620" s="156" t="s">
        <v>54</v>
      </c>
      <c r="C620" s="157"/>
      <c r="D620" s="56">
        <f>SUM(D603:D610)-SUM(D614:D615)</f>
        <v>0</v>
      </c>
      <c r="E620" s="56">
        <f t="shared" ref="E620:O620" si="95">SUM(E603:E610)-SUM(E614:E615)</f>
        <v>0</v>
      </c>
      <c r="F620" s="56">
        <f t="shared" si="95"/>
        <v>0</v>
      </c>
      <c r="G620" s="56">
        <f>SUM(G603:G610)-SUM(G614:G615)</f>
        <v>0</v>
      </c>
      <c r="H620" s="56">
        <f t="shared" si="95"/>
        <v>0</v>
      </c>
      <c r="I620" s="56">
        <f t="shared" si="95"/>
        <v>0</v>
      </c>
      <c r="J620" s="56">
        <f t="shared" si="95"/>
        <v>0</v>
      </c>
      <c r="K620" s="56">
        <f t="shared" si="95"/>
        <v>0</v>
      </c>
      <c r="L620" s="56">
        <f t="shared" si="95"/>
        <v>0</v>
      </c>
      <c r="M620" s="56">
        <f t="shared" si="95"/>
        <v>0</v>
      </c>
      <c r="N620" s="56">
        <f t="shared" si="95"/>
        <v>0</v>
      </c>
      <c r="O620" s="57">
        <f t="shared" si="95"/>
        <v>0</v>
      </c>
      <c r="P620" s="60">
        <f>SUM(P603:P610)-SUM(P614:P615)</f>
        <v>0</v>
      </c>
      <c r="Q620" s="59">
        <f>SUM(D620:P620)</f>
        <v>0</v>
      </c>
    </row>
    <row r="621" spans="1:17" ht="14.25" thickBot="1">
      <c r="A621" s="142"/>
      <c r="B621" s="147" t="s">
        <v>5</v>
      </c>
      <c r="C621" s="148"/>
      <c r="D621" s="42">
        <f>SUM(D603:D610)-SUM(D611:D615)+SUM(D616:D619)</f>
        <v>0</v>
      </c>
      <c r="E621" s="42">
        <f>SUM(E603:E610)-SUM(E611:E615)+SUM(E616:E619)</f>
        <v>0</v>
      </c>
      <c r="F621" s="42">
        <f t="shared" ref="F621:O621" si="96">SUM(F603:F610)-SUM(F611:F615)+SUM(F616:F619)</f>
        <v>0</v>
      </c>
      <c r="G621" s="42">
        <f>SUM(G603:G610)-SUM(G611:G615)+SUM(G616:G619)</f>
        <v>0</v>
      </c>
      <c r="H621" s="42">
        <f t="shared" si="96"/>
        <v>0</v>
      </c>
      <c r="I621" s="42">
        <f t="shared" si="96"/>
        <v>0</v>
      </c>
      <c r="J621" s="42">
        <f t="shared" si="96"/>
        <v>0</v>
      </c>
      <c r="K621" s="42">
        <f t="shared" si="96"/>
        <v>0</v>
      </c>
      <c r="L621" s="42">
        <f t="shared" si="96"/>
        <v>0</v>
      </c>
      <c r="M621" s="42">
        <f t="shared" si="96"/>
        <v>0</v>
      </c>
      <c r="N621" s="42">
        <f t="shared" si="96"/>
        <v>0</v>
      </c>
      <c r="O621" s="43">
        <f t="shared" si="96"/>
        <v>0</v>
      </c>
      <c r="P621" s="44">
        <f>SUM(P603:P610)-SUM(P611:P615)+SUM(P616:P619)</f>
        <v>0</v>
      </c>
      <c r="Q621" s="46">
        <f t="shared" si="94"/>
        <v>0</v>
      </c>
    </row>
    <row r="622" spans="1:17">
      <c r="A622" s="140"/>
      <c r="B622" s="158" t="s">
        <v>12</v>
      </c>
      <c r="C622" s="114" t="s">
        <v>87</v>
      </c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78"/>
      <c r="P622" s="30"/>
      <c r="Q622" s="19">
        <f>SUM(D622:P622)</f>
        <v>0</v>
      </c>
    </row>
    <row r="623" spans="1:17">
      <c r="A623" s="141"/>
      <c r="B623" s="154"/>
      <c r="C623" s="115" t="s">
        <v>89</v>
      </c>
      <c r="D623" s="88"/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1"/>
      <c r="P623" s="31"/>
      <c r="Q623" s="20">
        <f t="shared" ref="Q623:Q638" si="97">SUM(D623:P623)</f>
        <v>0</v>
      </c>
    </row>
    <row r="624" spans="1:17">
      <c r="A624" s="141"/>
      <c r="B624" s="143"/>
      <c r="C624" s="116" t="s">
        <v>88</v>
      </c>
      <c r="D624" s="89"/>
      <c r="E624" s="90"/>
      <c r="F624" s="90"/>
      <c r="G624" s="90"/>
      <c r="H624" s="89"/>
      <c r="I624" s="89"/>
      <c r="J624" s="89"/>
      <c r="K624" s="89"/>
      <c r="L624" s="89"/>
      <c r="M624" s="89"/>
      <c r="N624" s="89"/>
      <c r="O624" s="17"/>
      <c r="P624" s="28"/>
      <c r="Q624" s="20">
        <f t="shared" si="97"/>
        <v>0</v>
      </c>
    </row>
    <row r="625" spans="1:17">
      <c r="A625" s="141"/>
      <c r="B625" s="143"/>
      <c r="C625" s="117" t="s">
        <v>90</v>
      </c>
      <c r="D625" s="91"/>
      <c r="E625" s="89"/>
      <c r="F625" s="89"/>
      <c r="G625" s="91"/>
      <c r="H625" s="91"/>
      <c r="I625" s="91"/>
      <c r="J625" s="91"/>
      <c r="K625" s="91"/>
      <c r="L625" s="91"/>
      <c r="M625" s="91"/>
      <c r="N625" s="91"/>
      <c r="O625" s="80"/>
      <c r="P625" s="32"/>
      <c r="Q625" s="20">
        <f t="shared" si="97"/>
        <v>0</v>
      </c>
    </row>
    <row r="626" spans="1:17">
      <c r="A626" s="141"/>
      <c r="B626" s="143"/>
      <c r="C626" s="117" t="s">
        <v>91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/>
      <c r="O626" s="80"/>
      <c r="P626" s="32"/>
      <c r="Q626" s="20">
        <f t="shared" si="97"/>
        <v>0</v>
      </c>
    </row>
    <row r="627" spans="1:17">
      <c r="A627" s="141"/>
      <c r="B627" s="143"/>
      <c r="C627" s="117" t="s">
        <v>92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/>
      <c r="O627" s="80"/>
      <c r="P627" s="32"/>
      <c r="Q627" s="20">
        <f t="shared" si="97"/>
        <v>0</v>
      </c>
    </row>
    <row r="628" spans="1:17">
      <c r="A628" s="141"/>
      <c r="B628" s="143"/>
      <c r="C628" s="116" t="s">
        <v>93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/>
      <c r="O628" s="80"/>
      <c r="P628" s="32"/>
      <c r="Q628" s="20">
        <f t="shared" si="97"/>
        <v>0</v>
      </c>
    </row>
    <row r="629" spans="1:17">
      <c r="A629" s="141"/>
      <c r="B629" s="143"/>
      <c r="C629" s="118" t="s">
        <v>94</v>
      </c>
      <c r="D629" s="92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18"/>
      <c r="P629" s="33"/>
      <c r="Q629" s="22">
        <f t="shared" si="97"/>
        <v>0</v>
      </c>
    </row>
    <row r="630" spans="1:17">
      <c r="A630" s="141"/>
      <c r="B630" s="143" t="s">
        <v>11</v>
      </c>
      <c r="C630" s="119" t="s">
        <v>7</v>
      </c>
      <c r="D630" s="93"/>
      <c r="E630" s="93"/>
      <c r="F630" s="93"/>
      <c r="G630" s="93"/>
      <c r="H630" s="93"/>
      <c r="I630" s="93"/>
      <c r="J630" s="93"/>
      <c r="K630" s="93"/>
      <c r="L630" s="94"/>
      <c r="M630" s="94"/>
      <c r="N630" s="94"/>
      <c r="O630" s="79"/>
      <c r="P630" s="27"/>
      <c r="Q630" s="21">
        <f t="shared" si="97"/>
        <v>0</v>
      </c>
    </row>
    <row r="631" spans="1:17">
      <c r="A631" s="141"/>
      <c r="B631" s="143"/>
      <c r="C631" s="117" t="s">
        <v>4</v>
      </c>
      <c r="D631" s="95"/>
      <c r="E631" s="95"/>
      <c r="F631" s="95"/>
      <c r="G631" s="95"/>
      <c r="H631" s="95"/>
      <c r="I631" s="95"/>
      <c r="J631" s="95"/>
      <c r="K631" s="95"/>
      <c r="L631" s="91"/>
      <c r="M631" s="91"/>
      <c r="N631" s="91"/>
      <c r="O631" s="80"/>
      <c r="P631" s="32"/>
      <c r="Q631" s="20">
        <f t="shared" si="97"/>
        <v>0</v>
      </c>
    </row>
    <row r="632" spans="1:17">
      <c r="A632" s="141"/>
      <c r="B632" s="143"/>
      <c r="C632" s="117" t="s">
        <v>17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/>
      <c r="O632" s="80"/>
      <c r="P632" s="32"/>
      <c r="Q632" s="20">
        <f t="shared" si="97"/>
        <v>0</v>
      </c>
    </row>
    <row r="633" spans="1:17">
      <c r="A633" s="141"/>
      <c r="B633" s="143"/>
      <c r="C633" s="117" t="s">
        <v>18</v>
      </c>
      <c r="D633" s="90"/>
      <c r="E633" s="90"/>
      <c r="F633" s="90"/>
      <c r="G633" s="90"/>
      <c r="H633" s="91"/>
      <c r="I633" s="91"/>
      <c r="J633" s="91"/>
      <c r="K633" s="91"/>
      <c r="L633" s="91"/>
      <c r="M633" s="91"/>
      <c r="N633" s="91"/>
      <c r="O633" s="80"/>
      <c r="P633" s="32"/>
      <c r="Q633" s="20">
        <f t="shared" si="97"/>
        <v>0</v>
      </c>
    </row>
    <row r="634" spans="1:17">
      <c r="A634" s="141"/>
      <c r="B634" s="143"/>
      <c r="C634" s="120" t="s">
        <v>19</v>
      </c>
      <c r="D634" s="96"/>
      <c r="E634" s="96"/>
      <c r="F634" s="96"/>
      <c r="G634" s="96"/>
      <c r="H634" s="92"/>
      <c r="I634" s="92"/>
      <c r="J634" s="92"/>
      <c r="K634" s="92"/>
      <c r="L634" s="92"/>
      <c r="M634" s="92"/>
      <c r="N634" s="92"/>
      <c r="O634" s="18"/>
      <c r="P634" s="33"/>
      <c r="Q634" s="22">
        <f t="shared" si="97"/>
        <v>0</v>
      </c>
    </row>
    <row r="635" spans="1:17">
      <c r="A635" s="141"/>
      <c r="B635" s="143" t="s">
        <v>13</v>
      </c>
      <c r="C635" s="119" t="s">
        <v>10</v>
      </c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79"/>
      <c r="P635" s="27"/>
      <c r="Q635" s="21">
        <f t="shared" si="97"/>
        <v>0</v>
      </c>
    </row>
    <row r="636" spans="1:17">
      <c r="A636" s="141"/>
      <c r="B636" s="143"/>
      <c r="C636" s="116" t="s">
        <v>55</v>
      </c>
      <c r="D636" s="89"/>
      <c r="E636" s="89"/>
      <c r="F636" s="89"/>
      <c r="G636" s="89"/>
      <c r="H636" s="89"/>
      <c r="I636" s="89"/>
      <c r="J636" s="89"/>
      <c r="K636" s="89"/>
      <c r="L636" s="89"/>
      <c r="M636" s="89"/>
      <c r="N636" s="89"/>
      <c r="O636" s="17"/>
      <c r="P636" s="28"/>
      <c r="Q636" s="20">
        <f t="shared" si="97"/>
        <v>0</v>
      </c>
    </row>
    <row r="637" spans="1:17">
      <c r="A637" s="141"/>
      <c r="B637" s="143"/>
      <c r="C637" s="116" t="s">
        <v>56</v>
      </c>
      <c r="D637" s="89"/>
      <c r="E637" s="89"/>
      <c r="F637" s="89"/>
      <c r="G637" s="89"/>
      <c r="H637" s="89"/>
      <c r="I637" s="89"/>
      <c r="J637" s="89"/>
      <c r="K637" s="89"/>
      <c r="L637" s="89"/>
      <c r="M637" s="89"/>
      <c r="N637" s="89"/>
      <c r="O637" s="17"/>
      <c r="P637" s="28"/>
      <c r="Q637" s="20">
        <f t="shared" si="97"/>
        <v>0</v>
      </c>
    </row>
    <row r="638" spans="1:17">
      <c r="A638" s="141"/>
      <c r="B638" s="143"/>
      <c r="C638" s="120" t="s">
        <v>61</v>
      </c>
      <c r="D638" s="92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18"/>
      <c r="P638" s="33"/>
      <c r="Q638" s="22">
        <f t="shared" si="97"/>
        <v>0</v>
      </c>
    </row>
    <row r="639" spans="1:17">
      <c r="A639" s="141"/>
      <c r="B639" s="156" t="s">
        <v>54</v>
      </c>
      <c r="C639" s="157"/>
      <c r="D639" s="56">
        <f>SUM(D622:D629)-SUM(D633:D634)</f>
        <v>0</v>
      </c>
      <c r="E639" s="56">
        <f t="shared" ref="E639:O639" si="98">SUM(E622:E629)-SUM(E633:E634)</f>
        <v>0</v>
      </c>
      <c r="F639" s="56">
        <f t="shared" si="98"/>
        <v>0</v>
      </c>
      <c r="G639" s="56">
        <f>SUM(G622:G629)-SUM(G633:G634)</f>
        <v>0</v>
      </c>
      <c r="H639" s="56">
        <f t="shared" si="98"/>
        <v>0</v>
      </c>
      <c r="I639" s="56">
        <f t="shared" si="98"/>
        <v>0</v>
      </c>
      <c r="J639" s="56">
        <f t="shared" si="98"/>
        <v>0</v>
      </c>
      <c r="K639" s="56">
        <f t="shared" si="98"/>
        <v>0</v>
      </c>
      <c r="L639" s="56">
        <f t="shared" si="98"/>
        <v>0</v>
      </c>
      <c r="M639" s="56">
        <f t="shared" si="98"/>
        <v>0</v>
      </c>
      <c r="N639" s="56">
        <f t="shared" si="98"/>
        <v>0</v>
      </c>
      <c r="O639" s="57">
        <f t="shared" si="98"/>
        <v>0</v>
      </c>
      <c r="P639" s="60">
        <f>SUM(P622:P629)-SUM(P633:P634)</f>
        <v>0</v>
      </c>
      <c r="Q639" s="59">
        <f>SUM(D639:P639)</f>
        <v>0</v>
      </c>
    </row>
    <row r="640" spans="1:17" ht="14.25" thickBot="1">
      <c r="A640" s="142"/>
      <c r="B640" s="147" t="s">
        <v>5</v>
      </c>
      <c r="C640" s="148"/>
      <c r="D640" s="42">
        <f>SUM(D622:D629)-SUM(D630:D634)+SUM(D635:D638)</f>
        <v>0</v>
      </c>
      <c r="E640" s="42">
        <f>SUM(E622:E629)-SUM(E630:E634)+SUM(E635:E638)</f>
        <v>0</v>
      </c>
      <c r="F640" s="42">
        <f t="shared" ref="F640:O640" si="99">SUM(F622:F629)-SUM(F630:F634)+SUM(F635:F638)</f>
        <v>0</v>
      </c>
      <c r="G640" s="42">
        <f>SUM(G622:G629)-SUM(G630:G634)+SUM(G635:G638)</f>
        <v>0</v>
      </c>
      <c r="H640" s="42">
        <f t="shared" si="99"/>
        <v>0</v>
      </c>
      <c r="I640" s="42">
        <f t="shared" si="99"/>
        <v>0</v>
      </c>
      <c r="J640" s="42">
        <f t="shared" si="99"/>
        <v>0</v>
      </c>
      <c r="K640" s="42">
        <f t="shared" si="99"/>
        <v>0</v>
      </c>
      <c r="L640" s="42">
        <f t="shared" si="99"/>
        <v>0</v>
      </c>
      <c r="M640" s="42">
        <f t="shared" si="99"/>
        <v>0</v>
      </c>
      <c r="N640" s="42">
        <f t="shared" si="99"/>
        <v>0</v>
      </c>
      <c r="O640" s="43">
        <f t="shared" si="99"/>
        <v>0</v>
      </c>
      <c r="P640" s="44">
        <f>SUM(P622:P629)-SUM(P630:P634)+SUM(P635:P638)</f>
        <v>0</v>
      </c>
      <c r="Q640" s="46">
        <f>SUM(D640:P640)</f>
        <v>0</v>
      </c>
    </row>
    <row r="641" spans="1:17">
      <c r="A641" s="140"/>
      <c r="B641" s="158" t="s">
        <v>12</v>
      </c>
      <c r="C641" s="114" t="s">
        <v>87</v>
      </c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78"/>
      <c r="P641" s="30"/>
      <c r="Q641" s="19">
        <f>SUM(D641:P641)</f>
        <v>0</v>
      </c>
    </row>
    <row r="642" spans="1:17">
      <c r="A642" s="141"/>
      <c r="B642" s="154"/>
      <c r="C642" s="115" t="s">
        <v>89</v>
      </c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1"/>
      <c r="P642" s="31"/>
      <c r="Q642" s="20">
        <f t="shared" ref="Q642:Q659" si="100">SUM(D642:P642)</f>
        <v>0</v>
      </c>
    </row>
    <row r="643" spans="1:17">
      <c r="A643" s="141"/>
      <c r="B643" s="143"/>
      <c r="C643" s="116" t="s">
        <v>88</v>
      </c>
      <c r="D643" s="89"/>
      <c r="E643" s="90"/>
      <c r="F643" s="90"/>
      <c r="G643" s="90"/>
      <c r="H643" s="89"/>
      <c r="I643" s="89"/>
      <c r="J643" s="89"/>
      <c r="K643" s="89"/>
      <c r="L643" s="89"/>
      <c r="M643" s="89"/>
      <c r="N643" s="89"/>
      <c r="O643" s="17"/>
      <c r="P643" s="28"/>
      <c r="Q643" s="20">
        <f t="shared" si="100"/>
        <v>0</v>
      </c>
    </row>
    <row r="644" spans="1:17">
      <c r="A644" s="141"/>
      <c r="B644" s="143"/>
      <c r="C644" s="117" t="s">
        <v>90</v>
      </c>
      <c r="D644" s="91"/>
      <c r="E644" s="89"/>
      <c r="F644" s="89"/>
      <c r="G644" s="91"/>
      <c r="H644" s="91"/>
      <c r="I644" s="91"/>
      <c r="J644" s="91"/>
      <c r="K644" s="91"/>
      <c r="L644" s="91"/>
      <c r="M644" s="91"/>
      <c r="N644" s="91"/>
      <c r="O644" s="80"/>
      <c r="P644" s="32"/>
      <c r="Q644" s="20">
        <f t="shared" si="100"/>
        <v>0</v>
      </c>
    </row>
    <row r="645" spans="1:17">
      <c r="A645" s="141"/>
      <c r="B645" s="143"/>
      <c r="C645" s="117" t="s">
        <v>91</v>
      </c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1"/>
      <c r="O645" s="80"/>
      <c r="P645" s="32"/>
      <c r="Q645" s="20">
        <f t="shared" si="100"/>
        <v>0</v>
      </c>
    </row>
    <row r="646" spans="1:17">
      <c r="A646" s="141"/>
      <c r="B646" s="143"/>
      <c r="C646" s="117" t="s">
        <v>92</v>
      </c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/>
      <c r="O646" s="80"/>
      <c r="P646" s="32"/>
      <c r="Q646" s="20">
        <f t="shared" si="100"/>
        <v>0</v>
      </c>
    </row>
    <row r="647" spans="1:17">
      <c r="A647" s="141"/>
      <c r="B647" s="143"/>
      <c r="C647" s="116" t="s">
        <v>93</v>
      </c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91"/>
      <c r="O647" s="80"/>
      <c r="P647" s="32"/>
      <c r="Q647" s="20">
        <f t="shared" si="100"/>
        <v>0</v>
      </c>
    </row>
    <row r="648" spans="1:17">
      <c r="A648" s="141"/>
      <c r="B648" s="143"/>
      <c r="C648" s="118" t="s">
        <v>94</v>
      </c>
      <c r="D648" s="92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18"/>
      <c r="P648" s="33"/>
      <c r="Q648" s="22">
        <f t="shared" si="100"/>
        <v>0</v>
      </c>
    </row>
    <row r="649" spans="1:17">
      <c r="A649" s="141"/>
      <c r="B649" s="143" t="s">
        <v>11</v>
      </c>
      <c r="C649" s="119" t="s">
        <v>7</v>
      </c>
      <c r="D649" s="93"/>
      <c r="E649" s="93"/>
      <c r="F649" s="93"/>
      <c r="G649" s="93"/>
      <c r="H649" s="93"/>
      <c r="I649" s="93"/>
      <c r="J649" s="93"/>
      <c r="K649" s="93"/>
      <c r="L649" s="94"/>
      <c r="M649" s="94"/>
      <c r="N649" s="94"/>
      <c r="O649" s="79"/>
      <c r="P649" s="27"/>
      <c r="Q649" s="21">
        <f t="shared" si="100"/>
        <v>0</v>
      </c>
    </row>
    <row r="650" spans="1:17">
      <c r="A650" s="141"/>
      <c r="B650" s="143"/>
      <c r="C650" s="117" t="s">
        <v>4</v>
      </c>
      <c r="D650" s="95"/>
      <c r="E650" s="95"/>
      <c r="F650" s="95"/>
      <c r="G650" s="95"/>
      <c r="H650" s="95"/>
      <c r="I650" s="95"/>
      <c r="J650" s="95"/>
      <c r="K650" s="95"/>
      <c r="L650" s="91"/>
      <c r="M650" s="91"/>
      <c r="N650" s="91"/>
      <c r="O650" s="80"/>
      <c r="P650" s="32"/>
      <c r="Q650" s="20">
        <f t="shared" si="100"/>
        <v>0</v>
      </c>
    </row>
    <row r="651" spans="1:17">
      <c r="A651" s="141"/>
      <c r="B651" s="143"/>
      <c r="C651" s="117" t="s">
        <v>17</v>
      </c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80"/>
      <c r="P651" s="32"/>
      <c r="Q651" s="20">
        <f t="shared" si="100"/>
        <v>0</v>
      </c>
    </row>
    <row r="652" spans="1:17">
      <c r="A652" s="141"/>
      <c r="B652" s="143"/>
      <c r="C652" s="117" t="s">
        <v>18</v>
      </c>
      <c r="D652" s="90"/>
      <c r="E652" s="90"/>
      <c r="F652" s="90"/>
      <c r="G652" s="90"/>
      <c r="H652" s="91"/>
      <c r="I652" s="91"/>
      <c r="J652" s="91"/>
      <c r="K652" s="91"/>
      <c r="L652" s="91"/>
      <c r="M652" s="91"/>
      <c r="N652" s="91"/>
      <c r="O652" s="80"/>
      <c r="P652" s="32"/>
      <c r="Q652" s="20">
        <f t="shared" si="100"/>
        <v>0</v>
      </c>
    </row>
    <row r="653" spans="1:17">
      <c r="A653" s="141"/>
      <c r="B653" s="143"/>
      <c r="C653" s="120" t="s">
        <v>19</v>
      </c>
      <c r="D653" s="96"/>
      <c r="E653" s="96"/>
      <c r="F653" s="96"/>
      <c r="G653" s="96"/>
      <c r="H653" s="92"/>
      <c r="I653" s="92"/>
      <c r="J653" s="92"/>
      <c r="K653" s="92"/>
      <c r="L653" s="92"/>
      <c r="M653" s="92"/>
      <c r="N653" s="92"/>
      <c r="O653" s="18"/>
      <c r="P653" s="33"/>
      <c r="Q653" s="22">
        <f t="shared" si="100"/>
        <v>0</v>
      </c>
    </row>
    <row r="654" spans="1:17">
      <c r="A654" s="141"/>
      <c r="B654" s="143" t="s">
        <v>13</v>
      </c>
      <c r="C654" s="119" t="s">
        <v>10</v>
      </c>
      <c r="D654" s="94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79"/>
      <c r="P654" s="27"/>
      <c r="Q654" s="21">
        <f t="shared" si="100"/>
        <v>0</v>
      </c>
    </row>
    <row r="655" spans="1:17">
      <c r="A655" s="141"/>
      <c r="B655" s="143"/>
      <c r="C655" s="116" t="s">
        <v>55</v>
      </c>
      <c r="D655" s="89"/>
      <c r="E655" s="89"/>
      <c r="F655" s="89"/>
      <c r="G655" s="89"/>
      <c r="H655" s="89"/>
      <c r="I655" s="89"/>
      <c r="J655" s="89"/>
      <c r="K655" s="89"/>
      <c r="L655" s="89"/>
      <c r="M655" s="89"/>
      <c r="N655" s="89"/>
      <c r="O655" s="17"/>
      <c r="P655" s="28"/>
      <c r="Q655" s="20">
        <f t="shared" si="100"/>
        <v>0</v>
      </c>
    </row>
    <row r="656" spans="1:17">
      <c r="A656" s="141"/>
      <c r="B656" s="143"/>
      <c r="C656" s="116" t="s">
        <v>56</v>
      </c>
      <c r="D656" s="89"/>
      <c r="E656" s="89"/>
      <c r="F656" s="89"/>
      <c r="G656" s="89"/>
      <c r="H656" s="89"/>
      <c r="I656" s="89"/>
      <c r="J656" s="89"/>
      <c r="K656" s="89"/>
      <c r="L656" s="89"/>
      <c r="M656" s="89"/>
      <c r="N656" s="89"/>
      <c r="O656" s="17"/>
      <c r="P656" s="28"/>
      <c r="Q656" s="20">
        <f t="shared" si="100"/>
        <v>0</v>
      </c>
    </row>
    <row r="657" spans="1:17">
      <c r="A657" s="141"/>
      <c r="B657" s="143"/>
      <c r="C657" s="120" t="s">
        <v>61</v>
      </c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18"/>
      <c r="P657" s="33"/>
      <c r="Q657" s="22">
        <f t="shared" si="100"/>
        <v>0</v>
      </c>
    </row>
    <row r="658" spans="1:17">
      <c r="A658" s="141"/>
      <c r="B658" s="156" t="s">
        <v>54</v>
      </c>
      <c r="C658" s="157"/>
      <c r="D658" s="56">
        <f>SUM(D641:D648)-SUM(D652:D653)</f>
        <v>0</v>
      </c>
      <c r="E658" s="56">
        <f t="shared" ref="E658:O658" si="101">SUM(E641:E648)-SUM(E652:E653)</f>
        <v>0</v>
      </c>
      <c r="F658" s="56">
        <f t="shared" si="101"/>
        <v>0</v>
      </c>
      <c r="G658" s="56">
        <f>SUM(G641:G648)-SUM(G652:G653)</f>
        <v>0</v>
      </c>
      <c r="H658" s="56">
        <f t="shared" si="101"/>
        <v>0</v>
      </c>
      <c r="I658" s="56">
        <f t="shared" si="101"/>
        <v>0</v>
      </c>
      <c r="J658" s="56">
        <f t="shared" si="101"/>
        <v>0</v>
      </c>
      <c r="K658" s="56">
        <f t="shared" si="101"/>
        <v>0</v>
      </c>
      <c r="L658" s="56">
        <f t="shared" si="101"/>
        <v>0</v>
      </c>
      <c r="M658" s="56">
        <f t="shared" si="101"/>
        <v>0</v>
      </c>
      <c r="N658" s="56">
        <f t="shared" si="101"/>
        <v>0</v>
      </c>
      <c r="O658" s="57">
        <f t="shared" si="101"/>
        <v>0</v>
      </c>
      <c r="P658" s="60">
        <f>SUM(P641:P648)-SUM(P652:P653)</f>
        <v>0</v>
      </c>
      <c r="Q658" s="59">
        <f>SUM(D658:P658)</f>
        <v>0</v>
      </c>
    </row>
    <row r="659" spans="1:17" ht="14.25" thickBot="1">
      <c r="A659" s="142"/>
      <c r="B659" s="147" t="s">
        <v>5</v>
      </c>
      <c r="C659" s="148"/>
      <c r="D659" s="42">
        <f>SUM(D641:D648)-SUM(D649:D653)+SUM(D654:D657)</f>
        <v>0</v>
      </c>
      <c r="E659" s="42">
        <f>SUM(E641:E648)-SUM(E649:E653)+SUM(E654:E657)</f>
        <v>0</v>
      </c>
      <c r="F659" s="42">
        <f t="shared" ref="F659:O659" si="102">SUM(F641:F648)-SUM(F649:F653)+SUM(F654:F657)</f>
        <v>0</v>
      </c>
      <c r="G659" s="42">
        <f>SUM(G641:G648)-SUM(G649:G653)+SUM(G654:G657)</f>
        <v>0</v>
      </c>
      <c r="H659" s="42">
        <f t="shared" si="102"/>
        <v>0</v>
      </c>
      <c r="I659" s="42">
        <f t="shared" si="102"/>
        <v>0</v>
      </c>
      <c r="J659" s="42">
        <f t="shared" si="102"/>
        <v>0</v>
      </c>
      <c r="K659" s="42">
        <f t="shared" si="102"/>
        <v>0</v>
      </c>
      <c r="L659" s="42">
        <f t="shared" si="102"/>
        <v>0</v>
      </c>
      <c r="M659" s="42">
        <f t="shared" si="102"/>
        <v>0</v>
      </c>
      <c r="N659" s="42">
        <f t="shared" si="102"/>
        <v>0</v>
      </c>
      <c r="O659" s="43">
        <f t="shared" si="102"/>
        <v>0</v>
      </c>
      <c r="P659" s="44">
        <f>SUM(P641:P648)-SUM(P649:P653)+SUM(P654:P657)</f>
        <v>0</v>
      </c>
      <c r="Q659" s="46">
        <f t="shared" si="100"/>
        <v>0</v>
      </c>
    </row>
    <row r="660" spans="1:17">
      <c r="A660" s="140"/>
      <c r="B660" s="158" t="s">
        <v>12</v>
      </c>
      <c r="C660" s="114" t="s">
        <v>87</v>
      </c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78"/>
      <c r="P660" s="30"/>
      <c r="Q660" s="19">
        <f>SUM(D660:P660)</f>
        <v>0</v>
      </c>
    </row>
    <row r="661" spans="1:17">
      <c r="A661" s="141"/>
      <c r="B661" s="154"/>
      <c r="C661" s="115" t="s">
        <v>89</v>
      </c>
      <c r="D661" s="88"/>
      <c r="E661" s="88"/>
      <c r="F661" s="88"/>
      <c r="G661" s="88"/>
      <c r="H661" s="88"/>
      <c r="I661" s="88"/>
      <c r="J661" s="88"/>
      <c r="K661" s="88"/>
      <c r="L661" s="88"/>
      <c r="M661" s="88"/>
      <c r="N661" s="88"/>
      <c r="O661" s="81"/>
      <c r="P661" s="31"/>
      <c r="Q661" s="20">
        <f t="shared" ref="Q661:Q678" si="103">SUM(D661:P661)</f>
        <v>0</v>
      </c>
    </row>
    <row r="662" spans="1:17">
      <c r="A662" s="141"/>
      <c r="B662" s="143"/>
      <c r="C662" s="116" t="s">
        <v>88</v>
      </c>
      <c r="D662" s="89"/>
      <c r="E662" s="90"/>
      <c r="F662" s="90"/>
      <c r="G662" s="90"/>
      <c r="H662" s="89"/>
      <c r="I662" s="89"/>
      <c r="J662" s="89"/>
      <c r="K662" s="89"/>
      <c r="L662" s="89"/>
      <c r="M662" s="89"/>
      <c r="N662" s="89"/>
      <c r="O662" s="17"/>
      <c r="P662" s="28"/>
      <c r="Q662" s="20">
        <f t="shared" si="103"/>
        <v>0</v>
      </c>
    </row>
    <row r="663" spans="1:17">
      <c r="A663" s="141"/>
      <c r="B663" s="143"/>
      <c r="C663" s="117" t="s">
        <v>90</v>
      </c>
      <c r="D663" s="91"/>
      <c r="E663" s="89"/>
      <c r="F663" s="89"/>
      <c r="G663" s="91"/>
      <c r="H663" s="91"/>
      <c r="I663" s="91"/>
      <c r="J663" s="91"/>
      <c r="K663" s="91"/>
      <c r="L663" s="91"/>
      <c r="M663" s="91"/>
      <c r="N663" s="91"/>
      <c r="O663" s="80"/>
      <c r="P663" s="32"/>
      <c r="Q663" s="20">
        <f t="shared" si="103"/>
        <v>0</v>
      </c>
    </row>
    <row r="664" spans="1:17">
      <c r="A664" s="141"/>
      <c r="B664" s="143"/>
      <c r="C664" s="117" t="s">
        <v>91</v>
      </c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91"/>
      <c r="O664" s="80"/>
      <c r="P664" s="32"/>
      <c r="Q664" s="20">
        <f t="shared" si="103"/>
        <v>0</v>
      </c>
    </row>
    <row r="665" spans="1:17">
      <c r="A665" s="141"/>
      <c r="B665" s="143"/>
      <c r="C665" s="117" t="s">
        <v>92</v>
      </c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80"/>
      <c r="P665" s="32"/>
      <c r="Q665" s="20">
        <f t="shared" si="103"/>
        <v>0</v>
      </c>
    </row>
    <row r="666" spans="1:17">
      <c r="A666" s="141"/>
      <c r="B666" s="143"/>
      <c r="C666" s="116" t="s">
        <v>93</v>
      </c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80"/>
      <c r="P666" s="32"/>
      <c r="Q666" s="20">
        <f t="shared" si="103"/>
        <v>0</v>
      </c>
    </row>
    <row r="667" spans="1:17">
      <c r="A667" s="141"/>
      <c r="B667" s="143"/>
      <c r="C667" s="118" t="s">
        <v>94</v>
      </c>
      <c r="D667" s="92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18"/>
      <c r="P667" s="33"/>
      <c r="Q667" s="22">
        <f t="shared" si="103"/>
        <v>0</v>
      </c>
    </row>
    <row r="668" spans="1:17">
      <c r="A668" s="141"/>
      <c r="B668" s="143" t="s">
        <v>11</v>
      </c>
      <c r="C668" s="119" t="s">
        <v>7</v>
      </c>
      <c r="D668" s="93"/>
      <c r="E668" s="93"/>
      <c r="F668" s="93"/>
      <c r="G668" s="93"/>
      <c r="H668" s="93"/>
      <c r="I668" s="93"/>
      <c r="J668" s="93"/>
      <c r="K668" s="93"/>
      <c r="L668" s="94"/>
      <c r="M668" s="94"/>
      <c r="N668" s="94"/>
      <c r="O668" s="79"/>
      <c r="P668" s="27"/>
      <c r="Q668" s="21">
        <f t="shared" si="103"/>
        <v>0</v>
      </c>
    </row>
    <row r="669" spans="1:17">
      <c r="A669" s="141"/>
      <c r="B669" s="143"/>
      <c r="C669" s="117" t="s">
        <v>4</v>
      </c>
      <c r="D669" s="95"/>
      <c r="E669" s="95"/>
      <c r="F669" s="95"/>
      <c r="G669" s="95"/>
      <c r="H669" s="95"/>
      <c r="I669" s="95"/>
      <c r="J669" s="95"/>
      <c r="K669" s="95"/>
      <c r="L669" s="91"/>
      <c r="M669" s="91"/>
      <c r="N669" s="91"/>
      <c r="O669" s="80"/>
      <c r="P669" s="32"/>
      <c r="Q669" s="20">
        <f t="shared" si="103"/>
        <v>0</v>
      </c>
    </row>
    <row r="670" spans="1:17">
      <c r="A670" s="141"/>
      <c r="B670" s="143"/>
      <c r="C670" s="117" t="s">
        <v>17</v>
      </c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80"/>
      <c r="P670" s="32"/>
      <c r="Q670" s="20">
        <f t="shared" si="103"/>
        <v>0</v>
      </c>
    </row>
    <row r="671" spans="1:17">
      <c r="A671" s="141"/>
      <c r="B671" s="143"/>
      <c r="C671" s="117" t="s">
        <v>18</v>
      </c>
      <c r="D671" s="90"/>
      <c r="E671" s="90"/>
      <c r="F671" s="90"/>
      <c r="G671" s="90"/>
      <c r="H671" s="91"/>
      <c r="I671" s="91"/>
      <c r="J671" s="91"/>
      <c r="K671" s="91"/>
      <c r="L671" s="91"/>
      <c r="M671" s="91"/>
      <c r="N671" s="91"/>
      <c r="O671" s="80"/>
      <c r="P671" s="32"/>
      <c r="Q671" s="20">
        <f t="shared" si="103"/>
        <v>0</v>
      </c>
    </row>
    <row r="672" spans="1:17">
      <c r="A672" s="141"/>
      <c r="B672" s="143"/>
      <c r="C672" s="120" t="s">
        <v>19</v>
      </c>
      <c r="D672" s="96"/>
      <c r="E672" s="96"/>
      <c r="F672" s="96"/>
      <c r="G672" s="96"/>
      <c r="H672" s="92"/>
      <c r="I672" s="92"/>
      <c r="J672" s="92"/>
      <c r="K672" s="92"/>
      <c r="L672" s="92"/>
      <c r="M672" s="92"/>
      <c r="N672" s="92"/>
      <c r="O672" s="18"/>
      <c r="P672" s="33"/>
      <c r="Q672" s="22">
        <f t="shared" si="103"/>
        <v>0</v>
      </c>
    </row>
    <row r="673" spans="1:17">
      <c r="A673" s="141"/>
      <c r="B673" s="143" t="s">
        <v>13</v>
      </c>
      <c r="C673" s="119" t="s">
        <v>10</v>
      </c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79"/>
      <c r="P673" s="27"/>
      <c r="Q673" s="21">
        <f t="shared" si="103"/>
        <v>0</v>
      </c>
    </row>
    <row r="674" spans="1:17">
      <c r="A674" s="141"/>
      <c r="B674" s="143"/>
      <c r="C674" s="116" t="s">
        <v>55</v>
      </c>
      <c r="D674" s="89"/>
      <c r="E674" s="89"/>
      <c r="F674" s="89"/>
      <c r="G674" s="89"/>
      <c r="H674" s="89"/>
      <c r="I674" s="89"/>
      <c r="J674" s="89"/>
      <c r="K674" s="89"/>
      <c r="L674" s="89"/>
      <c r="M674" s="89"/>
      <c r="N674" s="89"/>
      <c r="O674" s="17"/>
      <c r="P674" s="28"/>
      <c r="Q674" s="20">
        <f t="shared" si="103"/>
        <v>0</v>
      </c>
    </row>
    <row r="675" spans="1:17">
      <c r="A675" s="141"/>
      <c r="B675" s="143"/>
      <c r="C675" s="116" t="s">
        <v>56</v>
      </c>
      <c r="D675" s="89"/>
      <c r="E675" s="89"/>
      <c r="F675" s="89"/>
      <c r="G675" s="89"/>
      <c r="H675" s="89"/>
      <c r="I675" s="89"/>
      <c r="J675" s="89"/>
      <c r="K675" s="89"/>
      <c r="L675" s="89"/>
      <c r="M675" s="89"/>
      <c r="N675" s="89"/>
      <c r="O675" s="17"/>
      <c r="P675" s="28"/>
      <c r="Q675" s="20">
        <f t="shared" si="103"/>
        <v>0</v>
      </c>
    </row>
    <row r="676" spans="1:17">
      <c r="A676" s="141"/>
      <c r="B676" s="143"/>
      <c r="C676" s="120" t="s">
        <v>61</v>
      </c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18"/>
      <c r="P676" s="33"/>
      <c r="Q676" s="22">
        <f t="shared" si="103"/>
        <v>0</v>
      </c>
    </row>
    <row r="677" spans="1:17">
      <c r="A677" s="141"/>
      <c r="B677" s="156" t="s">
        <v>54</v>
      </c>
      <c r="C677" s="157"/>
      <c r="D677" s="56">
        <f>SUM(D660:D667)-SUM(D671:D672)</f>
        <v>0</v>
      </c>
      <c r="E677" s="56">
        <f t="shared" ref="E677:O677" si="104">SUM(E660:E667)-SUM(E671:E672)</f>
        <v>0</v>
      </c>
      <c r="F677" s="56">
        <f t="shared" si="104"/>
        <v>0</v>
      </c>
      <c r="G677" s="56">
        <f>SUM(G660:G667)-SUM(G671:G672)</f>
        <v>0</v>
      </c>
      <c r="H677" s="56">
        <f t="shared" si="104"/>
        <v>0</v>
      </c>
      <c r="I677" s="56">
        <f t="shared" si="104"/>
        <v>0</v>
      </c>
      <c r="J677" s="56">
        <f t="shared" si="104"/>
        <v>0</v>
      </c>
      <c r="K677" s="56">
        <f t="shared" si="104"/>
        <v>0</v>
      </c>
      <c r="L677" s="56">
        <f t="shared" si="104"/>
        <v>0</v>
      </c>
      <c r="M677" s="56">
        <f t="shared" si="104"/>
        <v>0</v>
      </c>
      <c r="N677" s="56">
        <f t="shared" si="104"/>
        <v>0</v>
      </c>
      <c r="O677" s="57">
        <f t="shared" si="104"/>
        <v>0</v>
      </c>
      <c r="P677" s="60">
        <f>SUM(P660:P667)-SUM(P671:P672)</f>
        <v>0</v>
      </c>
      <c r="Q677" s="59">
        <f>SUM(D677:P677)</f>
        <v>0</v>
      </c>
    </row>
    <row r="678" spans="1:17" ht="14.25" thickBot="1">
      <c r="A678" s="142"/>
      <c r="B678" s="147" t="s">
        <v>5</v>
      </c>
      <c r="C678" s="148"/>
      <c r="D678" s="42">
        <f>SUM(D660:D667)-SUM(D668:D672)+SUM(D673:D676)</f>
        <v>0</v>
      </c>
      <c r="E678" s="42">
        <f>SUM(E660:E667)-SUM(E668:E672)+SUM(E673:E676)</f>
        <v>0</v>
      </c>
      <c r="F678" s="42">
        <f t="shared" ref="F678:O678" si="105">SUM(F660:F667)-SUM(F668:F672)+SUM(F673:F676)</f>
        <v>0</v>
      </c>
      <c r="G678" s="42">
        <f>SUM(G660:G667)-SUM(G668:G672)+SUM(G673:G676)</f>
        <v>0</v>
      </c>
      <c r="H678" s="42">
        <f t="shared" si="105"/>
        <v>0</v>
      </c>
      <c r="I678" s="42">
        <f t="shared" si="105"/>
        <v>0</v>
      </c>
      <c r="J678" s="42">
        <f t="shared" si="105"/>
        <v>0</v>
      </c>
      <c r="K678" s="42">
        <f t="shared" si="105"/>
        <v>0</v>
      </c>
      <c r="L678" s="42">
        <f t="shared" si="105"/>
        <v>0</v>
      </c>
      <c r="M678" s="42">
        <f t="shared" si="105"/>
        <v>0</v>
      </c>
      <c r="N678" s="42">
        <f t="shared" si="105"/>
        <v>0</v>
      </c>
      <c r="O678" s="43">
        <f t="shared" si="105"/>
        <v>0</v>
      </c>
      <c r="P678" s="44">
        <f>SUM(P660:P667)-SUM(P668:P672)+SUM(P673:P676)</f>
        <v>0</v>
      </c>
      <c r="Q678" s="46">
        <f t="shared" si="103"/>
        <v>0</v>
      </c>
    </row>
    <row r="679" spans="1:17">
      <c r="A679" s="140"/>
      <c r="B679" s="158" t="s">
        <v>12</v>
      </c>
      <c r="C679" s="114" t="s">
        <v>87</v>
      </c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78"/>
      <c r="P679" s="30"/>
      <c r="Q679" s="19">
        <f>SUM(D679:P679)</f>
        <v>0</v>
      </c>
    </row>
    <row r="680" spans="1:17">
      <c r="A680" s="141"/>
      <c r="B680" s="154"/>
      <c r="C680" s="115" t="s">
        <v>89</v>
      </c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1"/>
      <c r="P680" s="31"/>
      <c r="Q680" s="20">
        <f t="shared" ref="Q680:Q697" si="106">SUM(D680:P680)</f>
        <v>0</v>
      </c>
    </row>
    <row r="681" spans="1:17">
      <c r="A681" s="141"/>
      <c r="B681" s="143"/>
      <c r="C681" s="116" t="s">
        <v>88</v>
      </c>
      <c r="D681" s="89"/>
      <c r="E681" s="90"/>
      <c r="F681" s="90"/>
      <c r="G681" s="90"/>
      <c r="H681" s="89"/>
      <c r="I681" s="89"/>
      <c r="J681" s="89"/>
      <c r="K681" s="89"/>
      <c r="L681" s="89"/>
      <c r="M681" s="89"/>
      <c r="N681" s="89"/>
      <c r="O681" s="17"/>
      <c r="P681" s="28"/>
      <c r="Q681" s="20">
        <f t="shared" si="106"/>
        <v>0</v>
      </c>
    </row>
    <row r="682" spans="1:17">
      <c r="A682" s="141"/>
      <c r="B682" s="143"/>
      <c r="C682" s="117" t="s">
        <v>90</v>
      </c>
      <c r="D682" s="91"/>
      <c r="E682" s="89"/>
      <c r="F682" s="89"/>
      <c r="G682" s="91"/>
      <c r="H682" s="91"/>
      <c r="I682" s="91"/>
      <c r="J682" s="91"/>
      <c r="K682" s="91"/>
      <c r="L682" s="91"/>
      <c r="M682" s="91"/>
      <c r="N682" s="91"/>
      <c r="O682" s="80"/>
      <c r="P682" s="32"/>
      <c r="Q682" s="20">
        <f t="shared" si="106"/>
        <v>0</v>
      </c>
    </row>
    <row r="683" spans="1:17">
      <c r="A683" s="141"/>
      <c r="B683" s="143"/>
      <c r="C683" s="117" t="s">
        <v>91</v>
      </c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80"/>
      <c r="P683" s="32"/>
      <c r="Q683" s="20">
        <f t="shared" si="106"/>
        <v>0</v>
      </c>
    </row>
    <row r="684" spans="1:17">
      <c r="A684" s="141"/>
      <c r="B684" s="143"/>
      <c r="C684" s="117" t="s">
        <v>92</v>
      </c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80"/>
      <c r="P684" s="32"/>
      <c r="Q684" s="20">
        <f t="shared" si="106"/>
        <v>0</v>
      </c>
    </row>
    <row r="685" spans="1:17">
      <c r="A685" s="141"/>
      <c r="B685" s="143"/>
      <c r="C685" s="116" t="s">
        <v>93</v>
      </c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80"/>
      <c r="P685" s="32"/>
      <c r="Q685" s="20">
        <f t="shared" si="106"/>
        <v>0</v>
      </c>
    </row>
    <row r="686" spans="1:17">
      <c r="A686" s="141"/>
      <c r="B686" s="143"/>
      <c r="C686" s="118" t="s">
        <v>94</v>
      </c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18"/>
      <c r="P686" s="33"/>
      <c r="Q686" s="22">
        <f t="shared" si="106"/>
        <v>0</v>
      </c>
    </row>
    <row r="687" spans="1:17">
      <c r="A687" s="141"/>
      <c r="B687" s="143" t="s">
        <v>11</v>
      </c>
      <c r="C687" s="119" t="s">
        <v>7</v>
      </c>
      <c r="D687" s="93"/>
      <c r="E687" s="93"/>
      <c r="F687" s="93"/>
      <c r="G687" s="93"/>
      <c r="H687" s="93"/>
      <c r="I687" s="93"/>
      <c r="J687" s="93"/>
      <c r="K687" s="93"/>
      <c r="L687" s="94"/>
      <c r="M687" s="94"/>
      <c r="N687" s="94"/>
      <c r="O687" s="79"/>
      <c r="P687" s="27"/>
      <c r="Q687" s="21">
        <f t="shared" si="106"/>
        <v>0</v>
      </c>
    </row>
    <row r="688" spans="1:17">
      <c r="A688" s="141"/>
      <c r="B688" s="143"/>
      <c r="C688" s="117" t="s">
        <v>4</v>
      </c>
      <c r="D688" s="95"/>
      <c r="E688" s="95"/>
      <c r="F688" s="95"/>
      <c r="G688" s="95"/>
      <c r="H688" s="95"/>
      <c r="I688" s="95"/>
      <c r="J688" s="95"/>
      <c r="K688" s="95"/>
      <c r="L688" s="91"/>
      <c r="M688" s="91"/>
      <c r="N688" s="91"/>
      <c r="O688" s="80"/>
      <c r="P688" s="32"/>
      <c r="Q688" s="20">
        <f t="shared" si="106"/>
        <v>0</v>
      </c>
    </row>
    <row r="689" spans="1:17">
      <c r="A689" s="141"/>
      <c r="B689" s="143"/>
      <c r="C689" s="117" t="s">
        <v>17</v>
      </c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80"/>
      <c r="P689" s="32"/>
      <c r="Q689" s="20">
        <f t="shared" si="106"/>
        <v>0</v>
      </c>
    </row>
    <row r="690" spans="1:17">
      <c r="A690" s="141"/>
      <c r="B690" s="143"/>
      <c r="C690" s="117" t="s">
        <v>18</v>
      </c>
      <c r="D690" s="90"/>
      <c r="E690" s="90"/>
      <c r="F690" s="90"/>
      <c r="G690" s="90"/>
      <c r="H690" s="91"/>
      <c r="I690" s="91"/>
      <c r="J690" s="91"/>
      <c r="K690" s="91"/>
      <c r="L690" s="91"/>
      <c r="M690" s="91"/>
      <c r="N690" s="91"/>
      <c r="O690" s="80"/>
      <c r="P690" s="32"/>
      <c r="Q690" s="20">
        <f t="shared" si="106"/>
        <v>0</v>
      </c>
    </row>
    <row r="691" spans="1:17">
      <c r="A691" s="141"/>
      <c r="B691" s="143"/>
      <c r="C691" s="120" t="s">
        <v>19</v>
      </c>
      <c r="D691" s="96"/>
      <c r="E691" s="96"/>
      <c r="F691" s="96"/>
      <c r="G691" s="96"/>
      <c r="H691" s="92"/>
      <c r="I691" s="92"/>
      <c r="J691" s="92"/>
      <c r="K691" s="92"/>
      <c r="L691" s="92"/>
      <c r="M691" s="92"/>
      <c r="N691" s="92"/>
      <c r="O691" s="18"/>
      <c r="P691" s="33"/>
      <c r="Q691" s="22">
        <f t="shared" si="106"/>
        <v>0</v>
      </c>
    </row>
    <row r="692" spans="1:17">
      <c r="A692" s="141"/>
      <c r="B692" s="143" t="s">
        <v>13</v>
      </c>
      <c r="C692" s="119" t="s">
        <v>10</v>
      </c>
      <c r="D692" s="94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79"/>
      <c r="P692" s="27"/>
      <c r="Q692" s="21">
        <f t="shared" si="106"/>
        <v>0</v>
      </c>
    </row>
    <row r="693" spans="1:17">
      <c r="A693" s="141"/>
      <c r="B693" s="143"/>
      <c r="C693" s="116" t="s">
        <v>55</v>
      </c>
      <c r="D693" s="89"/>
      <c r="E693" s="89"/>
      <c r="F693" s="89"/>
      <c r="G693" s="89"/>
      <c r="H693" s="89"/>
      <c r="I693" s="89"/>
      <c r="J693" s="89"/>
      <c r="K693" s="89"/>
      <c r="L693" s="89"/>
      <c r="M693" s="89"/>
      <c r="N693" s="89"/>
      <c r="O693" s="17"/>
      <c r="P693" s="28"/>
      <c r="Q693" s="20">
        <f t="shared" si="106"/>
        <v>0</v>
      </c>
    </row>
    <row r="694" spans="1:17">
      <c r="A694" s="141"/>
      <c r="B694" s="143"/>
      <c r="C694" s="116" t="s">
        <v>56</v>
      </c>
      <c r="D694" s="89"/>
      <c r="E694" s="89"/>
      <c r="F694" s="89"/>
      <c r="G694" s="89"/>
      <c r="H694" s="89"/>
      <c r="I694" s="89"/>
      <c r="J694" s="89"/>
      <c r="K694" s="89"/>
      <c r="L694" s="89"/>
      <c r="M694" s="89"/>
      <c r="N694" s="89"/>
      <c r="O694" s="17"/>
      <c r="P694" s="28"/>
      <c r="Q694" s="20">
        <f t="shared" si="106"/>
        <v>0</v>
      </c>
    </row>
    <row r="695" spans="1:17">
      <c r="A695" s="141"/>
      <c r="B695" s="143"/>
      <c r="C695" s="120" t="s">
        <v>61</v>
      </c>
      <c r="D695" s="92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18"/>
      <c r="P695" s="33"/>
      <c r="Q695" s="22">
        <f t="shared" si="106"/>
        <v>0</v>
      </c>
    </row>
    <row r="696" spans="1:17">
      <c r="A696" s="141"/>
      <c r="B696" s="156" t="s">
        <v>54</v>
      </c>
      <c r="C696" s="157"/>
      <c r="D696" s="56">
        <f>SUM(D679:D686)-SUM(D690:D691)</f>
        <v>0</v>
      </c>
      <c r="E696" s="56">
        <f t="shared" ref="E696:O696" si="107">SUM(E679:E686)-SUM(E690:E691)</f>
        <v>0</v>
      </c>
      <c r="F696" s="56">
        <f t="shared" si="107"/>
        <v>0</v>
      </c>
      <c r="G696" s="56">
        <f>SUM(G679:G686)-SUM(G690:G691)</f>
        <v>0</v>
      </c>
      <c r="H696" s="56">
        <f t="shared" si="107"/>
        <v>0</v>
      </c>
      <c r="I696" s="56">
        <f t="shared" si="107"/>
        <v>0</v>
      </c>
      <c r="J696" s="56">
        <f t="shared" si="107"/>
        <v>0</v>
      </c>
      <c r="K696" s="56">
        <f t="shared" si="107"/>
        <v>0</v>
      </c>
      <c r="L696" s="56">
        <f t="shared" si="107"/>
        <v>0</v>
      </c>
      <c r="M696" s="56">
        <f t="shared" si="107"/>
        <v>0</v>
      </c>
      <c r="N696" s="56">
        <f t="shared" si="107"/>
        <v>0</v>
      </c>
      <c r="O696" s="57">
        <f t="shared" si="107"/>
        <v>0</v>
      </c>
      <c r="P696" s="60">
        <f>SUM(P679:P686)-SUM(P690:P691)</f>
        <v>0</v>
      </c>
      <c r="Q696" s="59">
        <f>SUM(D696:P696)</f>
        <v>0</v>
      </c>
    </row>
    <row r="697" spans="1:17" ht="14.25" thickBot="1">
      <c r="A697" s="142"/>
      <c r="B697" s="147" t="s">
        <v>5</v>
      </c>
      <c r="C697" s="148"/>
      <c r="D697" s="42">
        <f>SUM(D679:D686)-SUM(D687:D691)+SUM(D692:D695)</f>
        <v>0</v>
      </c>
      <c r="E697" s="42">
        <f>SUM(E679:E686)-SUM(E687:E691)+SUM(E692:E695)</f>
        <v>0</v>
      </c>
      <c r="F697" s="42">
        <f t="shared" ref="F697:O697" si="108">SUM(F679:F686)-SUM(F687:F691)+SUM(F692:F695)</f>
        <v>0</v>
      </c>
      <c r="G697" s="42">
        <f>SUM(G679:G686)-SUM(G687:G691)+SUM(G692:G695)</f>
        <v>0</v>
      </c>
      <c r="H697" s="42">
        <f t="shared" si="108"/>
        <v>0</v>
      </c>
      <c r="I697" s="42">
        <f t="shared" si="108"/>
        <v>0</v>
      </c>
      <c r="J697" s="42">
        <f t="shared" si="108"/>
        <v>0</v>
      </c>
      <c r="K697" s="42">
        <f t="shared" si="108"/>
        <v>0</v>
      </c>
      <c r="L697" s="42">
        <f t="shared" si="108"/>
        <v>0</v>
      </c>
      <c r="M697" s="42">
        <f t="shared" si="108"/>
        <v>0</v>
      </c>
      <c r="N697" s="42">
        <f t="shared" si="108"/>
        <v>0</v>
      </c>
      <c r="O697" s="43">
        <f t="shared" si="108"/>
        <v>0</v>
      </c>
      <c r="P697" s="44">
        <f>SUM(P679:P686)-SUM(P687:P691)+SUM(P692:P695)</f>
        <v>0</v>
      </c>
      <c r="Q697" s="46">
        <f t="shared" si="106"/>
        <v>0</v>
      </c>
    </row>
    <row r="698" spans="1:17">
      <c r="A698" s="140"/>
      <c r="B698" s="158" t="s">
        <v>12</v>
      </c>
      <c r="C698" s="114" t="s">
        <v>87</v>
      </c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78"/>
      <c r="P698" s="30"/>
      <c r="Q698" s="19">
        <f>SUM(D698:P698)</f>
        <v>0</v>
      </c>
    </row>
    <row r="699" spans="1:17">
      <c r="A699" s="141"/>
      <c r="B699" s="154"/>
      <c r="C699" s="115" t="s">
        <v>89</v>
      </c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1"/>
      <c r="P699" s="31"/>
      <c r="Q699" s="20">
        <f t="shared" ref="Q699:Q716" si="109">SUM(D699:P699)</f>
        <v>0</v>
      </c>
    </row>
    <row r="700" spans="1:17">
      <c r="A700" s="141"/>
      <c r="B700" s="143"/>
      <c r="C700" s="116" t="s">
        <v>88</v>
      </c>
      <c r="D700" s="89"/>
      <c r="E700" s="90"/>
      <c r="F700" s="90"/>
      <c r="G700" s="90"/>
      <c r="H700" s="89"/>
      <c r="I700" s="89"/>
      <c r="J700" s="89"/>
      <c r="K700" s="89"/>
      <c r="L700" s="89"/>
      <c r="M700" s="89"/>
      <c r="N700" s="89"/>
      <c r="O700" s="17"/>
      <c r="P700" s="28"/>
      <c r="Q700" s="20">
        <f t="shared" si="109"/>
        <v>0</v>
      </c>
    </row>
    <row r="701" spans="1:17">
      <c r="A701" s="141"/>
      <c r="B701" s="143"/>
      <c r="C701" s="117" t="s">
        <v>90</v>
      </c>
      <c r="D701" s="91"/>
      <c r="E701" s="89"/>
      <c r="F701" s="89"/>
      <c r="G701" s="91"/>
      <c r="H701" s="91"/>
      <c r="I701" s="91"/>
      <c r="J701" s="91"/>
      <c r="K701" s="91"/>
      <c r="L701" s="91"/>
      <c r="M701" s="91"/>
      <c r="N701" s="91"/>
      <c r="O701" s="80"/>
      <c r="P701" s="32"/>
      <c r="Q701" s="20">
        <f t="shared" si="109"/>
        <v>0</v>
      </c>
    </row>
    <row r="702" spans="1:17">
      <c r="A702" s="141"/>
      <c r="B702" s="143"/>
      <c r="C702" s="117" t="s">
        <v>91</v>
      </c>
      <c r="D702" s="91"/>
      <c r="E702" s="91"/>
      <c r="F702" s="91"/>
      <c r="G702" s="91"/>
      <c r="H702" s="91"/>
      <c r="I702" s="91"/>
      <c r="J702" s="91"/>
      <c r="K702" s="91"/>
      <c r="L702" s="91"/>
      <c r="M702" s="91"/>
      <c r="N702" s="91"/>
      <c r="O702" s="80"/>
      <c r="P702" s="32"/>
      <c r="Q702" s="20">
        <f t="shared" si="109"/>
        <v>0</v>
      </c>
    </row>
    <row r="703" spans="1:17">
      <c r="A703" s="141"/>
      <c r="B703" s="143"/>
      <c r="C703" s="117" t="s">
        <v>92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1"/>
      <c r="O703" s="80"/>
      <c r="P703" s="32"/>
      <c r="Q703" s="20">
        <f t="shared" si="109"/>
        <v>0</v>
      </c>
    </row>
    <row r="704" spans="1:17">
      <c r="A704" s="141"/>
      <c r="B704" s="143"/>
      <c r="C704" s="116" t="s">
        <v>93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80"/>
      <c r="P704" s="32"/>
      <c r="Q704" s="20">
        <f t="shared" si="109"/>
        <v>0</v>
      </c>
    </row>
    <row r="705" spans="1:17">
      <c r="A705" s="141"/>
      <c r="B705" s="143"/>
      <c r="C705" s="118" t="s">
        <v>94</v>
      </c>
      <c r="D705" s="92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18"/>
      <c r="P705" s="33"/>
      <c r="Q705" s="22">
        <f t="shared" si="109"/>
        <v>0</v>
      </c>
    </row>
    <row r="706" spans="1:17">
      <c r="A706" s="141"/>
      <c r="B706" s="143" t="s">
        <v>11</v>
      </c>
      <c r="C706" s="119" t="s">
        <v>7</v>
      </c>
      <c r="D706" s="93"/>
      <c r="E706" s="93"/>
      <c r="F706" s="93"/>
      <c r="G706" s="93"/>
      <c r="H706" s="93"/>
      <c r="I706" s="93"/>
      <c r="J706" s="93"/>
      <c r="K706" s="93"/>
      <c r="L706" s="94"/>
      <c r="M706" s="94"/>
      <c r="N706" s="94"/>
      <c r="O706" s="79"/>
      <c r="P706" s="27"/>
      <c r="Q706" s="21">
        <f t="shared" si="109"/>
        <v>0</v>
      </c>
    </row>
    <row r="707" spans="1:17">
      <c r="A707" s="141"/>
      <c r="B707" s="143"/>
      <c r="C707" s="117" t="s">
        <v>4</v>
      </c>
      <c r="D707" s="95"/>
      <c r="E707" s="95"/>
      <c r="F707" s="95"/>
      <c r="G707" s="95"/>
      <c r="H707" s="95"/>
      <c r="I707" s="95"/>
      <c r="J707" s="95"/>
      <c r="K707" s="95"/>
      <c r="L707" s="91"/>
      <c r="M707" s="91"/>
      <c r="N707" s="91"/>
      <c r="O707" s="80"/>
      <c r="P707" s="32"/>
      <c r="Q707" s="20">
        <f t="shared" si="109"/>
        <v>0</v>
      </c>
    </row>
    <row r="708" spans="1:17">
      <c r="A708" s="141"/>
      <c r="B708" s="143"/>
      <c r="C708" s="117" t="s">
        <v>17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80"/>
      <c r="P708" s="32"/>
      <c r="Q708" s="20">
        <f t="shared" si="109"/>
        <v>0</v>
      </c>
    </row>
    <row r="709" spans="1:17">
      <c r="A709" s="141"/>
      <c r="B709" s="143"/>
      <c r="C709" s="117" t="s">
        <v>18</v>
      </c>
      <c r="D709" s="90"/>
      <c r="E709" s="90"/>
      <c r="F709" s="90"/>
      <c r="G709" s="90"/>
      <c r="H709" s="91"/>
      <c r="I709" s="91"/>
      <c r="J709" s="91"/>
      <c r="K709" s="91"/>
      <c r="L709" s="91"/>
      <c r="M709" s="91"/>
      <c r="N709" s="91"/>
      <c r="O709" s="80"/>
      <c r="P709" s="32"/>
      <c r="Q709" s="20">
        <f t="shared" si="109"/>
        <v>0</v>
      </c>
    </row>
    <row r="710" spans="1:17">
      <c r="A710" s="141"/>
      <c r="B710" s="143"/>
      <c r="C710" s="120" t="s">
        <v>19</v>
      </c>
      <c r="D710" s="96"/>
      <c r="E710" s="96"/>
      <c r="F710" s="96"/>
      <c r="G710" s="96"/>
      <c r="H710" s="92"/>
      <c r="I710" s="92"/>
      <c r="J710" s="92"/>
      <c r="K710" s="92"/>
      <c r="L710" s="92"/>
      <c r="M710" s="92"/>
      <c r="N710" s="92"/>
      <c r="O710" s="18"/>
      <c r="P710" s="33"/>
      <c r="Q710" s="22">
        <f t="shared" si="109"/>
        <v>0</v>
      </c>
    </row>
    <row r="711" spans="1:17">
      <c r="A711" s="141"/>
      <c r="B711" s="143" t="s">
        <v>13</v>
      </c>
      <c r="C711" s="119" t="s">
        <v>10</v>
      </c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79"/>
      <c r="P711" s="27"/>
      <c r="Q711" s="21">
        <f t="shared" si="109"/>
        <v>0</v>
      </c>
    </row>
    <row r="712" spans="1:17">
      <c r="A712" s="141"/>
      <c r="B712" s="143"/>
      <c r="C712" s="116" t="s">
        <v>55</v>
      </c>
      <c r="D712" s="89"/>
      <c r="E712" s="89"/>
      <c r="F712" s="89"/>
      <c r="G712" s="89"/>
      <c r="H712" s="89"/>
      <c r="I712" s="89"/>
      <c r="J712" s="89"/>
      <c r="K712" s="89"/>
      <c r="L712" s="89"/>
      <c r="M712" s="89"/>
      <c r="N712" s="89"/>
      <c r="O712" s="17"/>
      <c r="P712" s="28"/>
      <c r="Q712" s="20">
        <f t="shared" si="109"/>
        <v>0</v>
      </c>
    </row>
    <row r="713" spans="1:17">
      <c r="A713" s="141"/>
      <c r="B713" s="143"/>
      <c r="C713" s="116" t="s">
        <v>56</v>
      </c>
      <c r="D713" s="89"/>
      <c r="E713" s="89"/>
      <c r="F713" s="89"/>
      <c r="G713" s="89"/>
      <c r="H713" s="89"/>
      <c r="I713" s="89"/>
      <c r="J713" s="89"/>
      <c r="K713" s="89"/>
      <c r="L713" s="89"/>
      <c r="M713" s="89"/>
      <c r="N713" s="89"/>
      <c r="O713" s="17"/>
      <c r="P713" s="28"/>
      <c r="Q713" s="20">
        <f t="shared" si="109"/>
        <v>0</v>
      </c>
    </row>
    <row r="714" spans="1:17">
      <c r="A714" s="141"/>
      <c r="B714" s="143"/>
      <c r="C714" s="120" t="s">
        <v>61</v>
      </c>
      <c r="D714" s="92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18"/>
      <c r="P714" s="33"/>
      <c r="Q714" s="22">
        <f t="shared" si="109"/>
        <v>0</v>
      </c>
    </row>
    <row r="715" spans="1:17">
      <c r="A715" s="141"/>
      <c r="B715" s="156" t="s">
        <v>54</v>
      </c>
      <c r="C715" s="157"/>
      <c r="D715" s="56">
        <f>SUM(D698:D705)-SUM(D709:D710)</f>
        <v>0</v>
      </c>
      <c r="E715" s="56">
        <f t="shared" ref="E715:O715" si="110">SUM(E698:E705)-SUM(E709:E710)</f>
        <v>0</v>
      </c>
      <c r="F715" s="56">
        <f t="shared" si="110"/>
        <v>0</v>
      </c>
      <c r="G715" s="56">
        <f>SUM(G698:G705)-SUM(G709:G710)</f>
        <v>0</v>
      </c>
      <c r="H715" s="56">
        <f t="shared" si="110"/>
        <v>0</v>
      </c>
      <c r="I715" s="56">
        <f t="shared" si="110"/>
        <v>0</v>
      </c>
      <c r="J715" s="56">
        <f t="shared" si="110"/>
        <v>0</v>
      </c>
      <c r="K715" s="56">
        <f t="shared" si="110"/>
        <v>0</v>
      </c>
      <c r="L715" s="56">
        <f t="shared" si="110"/>
        <v>0</v>
      </c>
      <c r="M715" s="56">
        <f t="shared" si="110"/>
        <v>0</v>
      </c>
      <c r="N715" s="56">
        <f t="shared" si="110"/>
        <v>0</v>
      </c>
      <c r="O715" s="57">
        <f t="shared" si="110"/>
        <v>0</v>
      </c>
      <c r="P715" s="60">
        <f>SUM(P698:P705)-SUM(P709:P710)</f>
        <v>0</v>
      </c>
      <c r="Q715" s="59">
        <f>SUM(D715:P715)</f>
        <v>0</v>
      </c>
    </row>
    <row r="716" spans="1:17" ht="14.25" thickBot="1">
      <c r="A716" s="142"/>
      <c r="B716" s="147" t="s">
        <v>5</v>
      </c>
      <c r="C716" s="148"/>
      <c r="D716" s="42">
        <f>SUM(D698:D705)-SUM(D706:D710)+SUM(D711:D714)</f>
        <v>0</v>
      </c>
      <c r="E716" s="42">
        <f>SUM(E698:E705)-SUM(E706:E710)+SUM(E711:E714)</f>
        <v>0</v>
      </c>
      <c r="F716" s="42">
        <f t="shared" ref="F716:O716" si="111">SUM(F698:F705)-SUM(F706:F710)+SUM(F711:F714)</f>
        <v>0</v>
      </c>
      <c r="G716" s="42">
        <f>SUM(G698:G705)-SUM(G706:G710)+SUM(G711:G714)</f>
        <v>0</v>
      </c>
      <c r="H716" s="42">
        <f t="shared" si="111"/>
        <v>0</v>
      </c>
      <c r="I716" s="42">
        <f t="shared" si="111"/>
        <v>0</v>
      </c>
      <c r="J716" s="42">
        <f t="shared" si="111"/>
        <v>0</v>
      </c>
      <c r="K716" s="42">
        <f t="shared" si="111"/>
        <v>0</v>
      </c>
      <c r="L716" s="42">
        <f t="shared" si="111"/>
        <v>0</v>
      </c>
      <c r="M716" s="42">
        <f t="shared" si="111"/>
        <v>0</v>
      </c>
      <c r="N716" s="42">
        <f t="shared" si="111"/>
        <v>0</v>
      </c>
      <c r="O716" s="43">
        <f t="shared" si="111"/>
        <v>0</v>
      </c>
      <c r="P716" s="44">
        <f>SUM(P698:P705)-SUM(P706:P710)+SUM(P711:P714)</f>
        <v>0</v>
      </c>
      <c r="Q716" s="46">
        <f t="shared" si="109"/>
        <v>0</v>
      </c>
    </row>
    <row r="717" spans="1:17">
      <c r="A717" s="140"/>
      <c r="B717" s="158" t="s">
        <v>12</v>
      </c>
      <c r="C717" s="114" t="s">
        <v>87</v>
      </c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78"/>
      <c r="P717" s="30"/>
      <c r="Q717" s="19">
        <f>SUM(D717:P717)</f>
        <v>0</v>
      </c>
    </row>
    <row r="718" spans="1:17">
      <c r="A718" s="141"/>
      <c r="B718" s="154"/>
      <c r="C718" s="115" t="s">
        <v>89</v>
      </c>
      <c r="D718" s="88"/>
      <c r="E718" s="88"/>
      <c r="F718" s="88"/>
      <c r="G718" s="88"/>
      <c r="H718" s="88"/>
      <c r="I718" s="88"/>
      <c r="J718" s="88"/>
      <c r="K718" s="88"/>
      <c r="L718" s="88"/>
      <c r="M718" s="88"/>
      <c r="N718" s="88"/>
      <c r="O718" s="81"/>
      <c r="P718" s="31"/>
      <c r="Q718" s="20">
        <f t="shared" ref="Q718:Q735" si="112">SUM(D718:P718)</f>
        <v>0</v>
      </c>
    </row>
    <row r="719" spans="1:17">
      <c r="A719" s="141"/>
      <c r="B719" s="143"/>
      <c r="C719" s="116" t="s">
        <v>88</v>
      </c>
      <c r="D719" s="89"/>
      <c r="E719" s="90"/>
      <c r="F719" s="90"/>
      <c r="G719" s="90"/>
      <c r="H719" s="89"/>
      <c r="I719" s="89"/>
      <c r="J719" s="89"/>
      <c r="K719" s="89"/>
      <c r="L719" s="89"/>
      <c r="M719" s="89"/>
      <c r="N719" s="89"/>
      <c r="O719" s="17"/>
      <c r="P719" s="28"/>
      <c r="Q719" s="20">
        <f t="shared" si="112"/>
        <v>0</v>
      </c>
    </row>
    <row r="720" spans="1:17">
      <c r="A720" s="141"/>
      <c r="B720" s="143"/>
      <c r="C720" s="117" t="s">
        <v>90</v>
      </c>
      <c r="D720" s="91"/>
      <c r="E720" s="89"/>
      <c r="F720" s="89"/>
      <c r="G720" s="91"/>
      <c r="H720" s="91"/>
      <c r="I720" s="91"/>
      <c r="J720" s="91"/>
      <c r="K720" s="91"/>
      <c r="L720" s="91"/>
      <c r="M720" s="91"/>
      <c r="N720" s="91"/>
      <c r="O720" s="80"/>
      <c r="P720" s="32"/>
      <c r="Q720" s="20">
        <f t="shared" si="112"/>
        <v>0</v>
      </c>
    </row>
    <row r="721" spans="1:17">
      <c r="A721" s="141"/>
      <c r="B721" s="143"/>
      <c r="C721" s="117" t="s">
        <v>91</v>
      </c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80"/>
      <c r="P721" s="32"/>
      <c r="Q721" s="20">
        <f t="shared" si="112"/>
        <v>0</v>
      </c>
    </row>
    <row r="722" spans="1:17">
      <c r="A722" s="141"/>
      <c r="B722" s="143"/>
      <c r="C722" s="117" t="s">
        <v>92</v>
      </c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80"/>
      <c r="P722" s="32"/>
      <c r="Q722" s="20">
        <f t="shared" si="112"/>
        <v>0</v>
      </c>
    </row>
    <row r="723" spans="1:17">
      <c r="A723" s="141"/>
      <c r="B723" s="143"/>
      <c r="C723" s="116" t="s">
        <v>93</v>
      </c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80"/>
      <c r="P723" s="32"/>
      <c r="Q723" s="20">
        <f t="shared" si="112"/>
        <v>0</v>
      </c>
    </row>
    <row r="724" spans="1:17">
      <c r="A724" s="141"/>
      <c r="B724" s="143"/>
      <c r="C724" s="118" t="s">
        <v>94</v>
      </c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18"/>
      <c r="P724" s="33"/>
      <c r="Q724" s="22">
        <f t="shared" si="112"/>
        <v>0</v>
      </c>
    </row>
    <row r="725" spans="1:17">
      <c r="A725" s="141"/>
      <c r="B725" s="143" t="s">
        <v>11</v>
      </c>
      <c r="C725" s="119" t="s">
        <v>7</v>
      </c>
      <c r="D725" s="93"/>
      <c r="E725" s="93"/>
      <c r="F725" s="93"/>
      <c r="G725" s="93"/>
      <c r="H725" s="93"/>
      <c r="I725" s="93"/>
      <c r="J725" s="93"/>
      <c r="K725" s="93"/>
      <c r="L725" s="94"/>
      <c r="M725" s="94"/>
      <c r="N725" s="94"/>
      <c r="O725" s="79"/>
      <c r="P725" s="27"/>
      <c r="Q725" s="21">
        <f t="shared" si="112"/>
        <v>0</v>
      </c>
    </row>
    <row r="726" spans="1:17">
      <c r="A726" s="141"/>
      <c r="B726" s="143"/>
      <c r="C726" s="117" t="s">
        <v>4</v>
      </c>
      <c r="D726" s="95"/>
      <c r="E726" s="95"/>
      <c r="F726" s="95"/>
      <c r="G726" s="95"/>
      <c r="H726" s="95"/>
      <c r="I726" s="95"/>
      <c r="J726" s="95"/>
      <c r="K726" s="95"/>
      <c r="L726" s="91"/>
      <c r="M726" s="91"/>
      <c r="N726" s="91"/>
      <c r="O726" s="80"/>
      <c r="P726" s="32"/>
      <c r="Q726" s="20">
        <f t="shared" si="112"/>
        <v>0</v>
      </c>
    </row>
    <row r="727" spans="1:17">
      <c r="A727" s="141"/>
      <c r="B727" s="143"/>
      <c r="C727" s="117" t="s">
        <v>17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1"/>
      <c r="O727" s="80"/>
      <c r="P727" s="32"/>
      <c r="Q727" s="20">
        <f t="shared" si="112"/>
        <v>0</v>
      </c>
    </row>
    <row r="728" spans="1:17">
      <c r="A728" s="141"/>
      <c r="B728" s="143"/>
      <c r="C728" s="117" t="s">
        <v>18</v>
      </c>
      <c r="D728" s="90"/>
      <c r="E728" s="90"/>
      <c r="F728" s="90"/>
      <c r="G728" s="90"/>
      <c r="H728" s="91"/>
      <c r="I728" s="91"/>
      <c r="J728" s="91"/>
      <c r="K728" s="91"/>
      <c r="L728" s="91"/>
      <c r="M728" s="91"/>
      <c r="N728" s="91"/>
      <c r="O728" s="80"/>
      <c r="P728" s="32"/>
      <c r="Q728" s="20">
        <f t="shared" si="112"/>
        <v>0</v>
      </c>
    </row>
    <row r="729" spans="1:17">
      <c r="A729" s="141"/>
      <c r="B729" s="143"/>
      <c r="C729" s="120" t="s">
        <v>19</v>
      </c>
      <c r="D729" s="96"/>
      <c r="E729" s="96"/>
      <c r="F729" s="96"/>
      <c r="G729" s="96"/>
      <c r="H729" s="92"/>
      <c r="I729" s="92"/>
      <c r="J729" s="92"/>
      <c r="K729" s="92"/>
      <c r="L729" s="92"/>
      <c r="M729" s="92"/>
      <c r="N729" s="92"/>
      <c r="O729" s="18"/>
      <c r="P729" s="33"/>
      <c r="Q729" s="22">
        <f t="shared" si="112"/>
        <v>0</v>
      </c>
    </row>
    <row r="730" spans="1:17">
      <c r="A730" s="141"/>
      <c r="B730" s="143" t="s">
        <v>13</v>
      </c>
      <c r="C730" s="119" t="s">
        <v>10</v>
      </c>
      <c r="D730" s="94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79"/>
      <c r="P730" s="27"/>
      <c r="Q730" s="21">
        <f t="shared" si="112"/>
        <v>0</v>
      </c>
    </row>
    <row r="731" spans="1:17">
      <c r="A731" s="141"/>
      <c r="B731" s="143"/>
      <c r="C731" s="116" t="s">
        <v>55</v>
      </c>
      <c r="D731" s="89"/>
      <c r="E731" s="89"/>
      <c r="F731" s="89"/>
      <c r="G731" s="89"/>
      <c r="H731" s="89"/>
      <c r="I731" s="89"/>
      <c r="J731" s="89"/>
      <c r="K731" s="89"/>
      <c r="L731" s="89"/>
      <c r="M731" s="89"/>
      <c r="N731" s="89"/>
      <c r="O731" s="17"/>
      <c r="P731" s="28"/>
      <c r="Q731" s="20">
        <f t="shared" si="112"/>
        <v>0</v>
      </c>
    </row>
    <row r="732" spans="1:17">
      <c r="A732" s="141"/>
      <c r="B732" s="143"/>
      <c r="C732" s="116" t="s">
        <v>56</v>
      </c>
      <c r="D732" s="89"/>
      <c r="E732" s="89"/>
      <c r="F732" s="89"/>
      <c r="G732" s="89"/>
      <c r="H732" s="89"/>
      <c r="I732" s="89"/>
      <c r="J732" s="89"/>
      <c r="K732" s="89"/>
      <c r="L732" s="89"/>
      <c r="M732" s="89"/>
      <c r="N732" s="89"/>
      <c r="O732" s="17"/>
      <c r="P732" s="28"/>
      <c r="Q732" s="20">
        <f t="shared" si="112"/>
        <v>0</v>
      </c>
    </row>
    <row r="733" spans="1:17">
      <c r="A733" s="141"/>
      <c r="B733" s="143"/>
      <c r="C733" s="120" t="s">
        <v>61</v>
      </c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18"/>
      <c r="P733" s="33"/>
      <c r="Q733" s="22">
        <f t="shared" si="112"/>
        <v>0</v>
      </c>
    </row>
    <row r="734" spans="1:17">
      <c r="A734" s="141"/>
      <c r="B734" s="156" t="s">
        <v>54</v>
      </c>
      <c r="C734" s="157"/>
      <c r="D734" s="56">
        <f>SUM(D717:D724)-SUM(D728:D729)</f>
        <v>0</v>
      </c>
      <c r="E734" s="56">
        <f t="shared" ref="E734:O734" si="113">SUM(E717:E724)-SUM(E728:E729)</f>
        <v>0</v>
      </c>
      <c r="F734" s="56">
        <f t="shared" si="113"/>
        <v>0</v>
      </c>
      <c r="G734" s="56">
        <f>SUM(G717:G724)-SUM(G728:G729)</f>
        <v>0</v>
      </c>
      <c r="H734" s="56">
        <f t="shared" si="113"/>
        <v>0</v>
      </c>
      <c r="I734" s="56">
        <f t="shared" si="113"/>
        <v>0</v>
      </c>
      <c r="J734" s="56">
        <f t="shared" si="113"/>
        <v>0</v>
      </c>
      <c r="K734" s="56">
        <f t="shared" si="113"/>
        <v>0</v>
      </c>
      <c r="L734" s="56">
        <f t="shared" si="113"/>
        <v>0</v>
      </c>
      <c r="M734" s="56">
        <f t="shared" si="113"/>
        <v>0</v>
      </c>
      <c r="N734" s="56">
        <f t="shared" si="113"/>
        <v>0</v>
      </c>
      <c r="O734" s="57">
        <f t="shared" si="113"/>
        <v>0</v>
      </c>
      <c r="P734" s="60">
        <f>SUM(P717:P724)-SUM(P728:P729)</f>
        <v>0</v>
      </c>
      <c r="Q734" s="59">
        <f>SUM(D734:P734)</f>
        <v>0</v>
      </c>
    </row>
    <row r="735" spans="1:17" ht="14.25" thickBot="1">
      <c r="A735" s="142"/>
      <c r="B735" s="147" t="s">
        <v>5</v>
      </c>
      <c r="C735" s="148"/>
      <c r="D735" s="42">
        <f>SUM(D717:D724)-SUM(D725:D729)+SUM(D730:D733)</f>
        <v>0</v>
      </c>
      <c r="E735" s="42">
        <f>SUM(E717:E724)-SUM(E725:E729)+SUM(E730:E733)</f>
        <v>0</v>
      </c>
      <c r="F735" s="42">
        <f t="shared" ref="F735:O735" si="114">SUM(F717:F724)-SUM(F725:F729)+SUM(F730:F733)</f>
        <v>0</v>
      </c>
      <c r="G735" s="42">
        <f>SUM(G717:G724)-SUM(G725:G729)+SUM(G730:G733)</f>
        <v>0</v>
      </c>
      <c r="H735" s="42">
        <f t="shared" si="114"/>
        <v>0</v>
      </c>
      <c r="I735" s="42">
        <f t="shared" si="114"/>
        <v>0</v>
      </c>
      <c r="J735" s="42">
        <f t="shared" si="114"/>
        <v>0</v>
      </c>
      <c r="K735" s="42">
        <f t="shared" si="114"/>
        <v>0</v>
      </c>
      <c r="L735" s="42">
        <f t="shared" si="114"/>
        <v>0</v>
      </c>
      <c r="M735" s="42">
        <f t="shared" si="114"/>
        <v>0</v>
      </c>
      <c r="N735" s="42">
        <f t="shared" si="114"/>
        <v>0</v>
      </c>
      <c r="O735" s="43">
        <f t="shared" si="114"/>
        <v>0</v>
      </c>
      <c r="P735" s="44">
        <f>SUM(P717:P724)-SUM(P725:P729)+SUM(P730:P733)</f>
        <v>0</v>
      </c>
      <c r="Q735" s="46">
        <f t="shared" si="112"/>
        <v>0</v>
      </c>
    </row>
    <row r="736" spans="1:17">
      <c r="A736" s="140"/>
      <c r="B736" s="158" t="s">
        <v>12</v>
      </c>
      <c r="C736" s="114" t="s">
        <v>87</v>
      </c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78"/>
      <c r="P736" s="30"/>
      <c r="Q736" s="19">
        <f>SUM(D736:P736)</f>
        <v>0</v>
      </c>
    </row>
    <row r="737" spans="1:17">
      <c r="A737" s="141"/>
      <c r="B737" s="154"/>
      <c r="C737" s="115" t="s">
        <v>89</v>
      </c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1"/>
      <c r="P737" s="31"/>
      <c r="Q737" s="20">
        <f t="shared" ref="Q737:Q754" si="115">SUM(D737:P737)</f>
        <v>0</v>
      </c>
    </row>
    <row r="738" spans="1:17">
      <c r="A738" s="141"/>
      <c r="B738" s="143"/>
      <c r="C738" s="116" t="s">
        <v>88</v>
      </c>
      <c r="D738" s="89"/>
      <c r="E738" s="90"/>
      <c r="F738" s="90"/>
      <c r="G738" s="90"/>
      <c r="H738" s="89"/>
      <c r="I738" s="89"/>
      <c r="J738" s="89"/>
      <c r="K738" s="89"/>
      <c r="L738" s="89"/>
      <c r="M738" s="89"/>
      <c r="N738" s="89"/>
      <c r="O738" s="17"/>
      <c r="P738" s="28"/>
      <c r="Q738" s="20">
        <f t="shared" si="115"/>
        <v>0</v>
      </c>
    </row>
    <row r="739" spans="1:17">
      <c r="A739" s="141"/>
      <c r="B739" s="143"/>
      <c r="C739" s="117" t="s">
        <v>90</v>
      </c>
      <c r="D739" s="91"/>
      <c r="E739" s="89"/>
      <c r="F739" s="89"/>
      <c r="G739" s="91"/>
      <c r="H739" s="91"/>
      <c r="I739" s="91"/>
      <c r="J739" s="91"/>
      <c r="K739" s="91"/>
      <c r="L739" s="91"/>
      <c r="M739" s="91"/>
      <c r="N739" s="91"/>
      <c r="O739" s="80"/>
      <c r="P739" s="32"/>
      <c r="Q739" s="20">
        <f t="shared" si="115"/>
        <v>0</v>
      </c>
    </row>
    <row r="740" spans="1:17">
      <c r="A740" s="141"/>
      <c r="B740" s="143"/>
      <c r="C740" s="117" t="s">
        <v>91</v>
      </c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91"/>
      <c r="O740" s="80"/>
      <c r="P740" s="32"/>
      <c r="Q740" s="20">
        <f t="shared" si="115"/>
        <v>0</v>
      </c>
    </row>
    <row r="741" spans="1:17">
      <c r="A741" s="141"/>
      <c r="B741" s="143"/>
      <c r="C741" s="117" t="s">
        <v>92</v>
      </c>
      <c r="D741" s="91"/>
      <c r="E741" s="91"/>
      <c r="F741" s="91"/>
      <c r="G741" s="91"/>
      <c r="H741" s="91"/>
      <c r="I741" s="91"/>
      <c r="J741" s="91"/>
      <c r="K741" s="91"/>
      <c r="L741" s="91"/>
      <c r="M741" s="91"/>
      <c r="N741" s="91"/>
      <c r="O741" s="80"/>
      <c r="P741" s="32"/>
      <c r="Q741" s="20">
        <f t="shared" si="115"/>
        <v>0</v>
      </c>
    </row>
    <row r="742" spans="1:17">
      <c r="A742" s="141"/>
      <c r="B742" s="143"/>
      <c r="C742" s="116" t="s">
        <v>93</v>
      </c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91"/>
      <c r="O742" s="80"/>
      <c r="P742" s="32"/>
      <c r="Q742" s="20">
        <f t="shared" si="115"/>
        <v>0</v>
      </c>
    </row>
    <row r="743" spans="1:17">
      <c r="A743" s="141"/>
      <c r="B743" s="143"/>
      <c r="C743" s="118" t="s">
        <v>94</v>
      </c>
      <c r="D743" s="92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18"/>
      <c r="P743" s="33"/>
      <c r="Q743" s="22">
        <f t="shared" si="115"/>
        <v>0</v>
      </c>
    </row>
    <row r="744" spans="1:17">
      <c r="A744" s="141"/>
      <c r="B744" s="143" t="s">
        <v>11</v>
      </c>
      <c r="C744" s="119" t="s">
        <v>7</v>
      </c>
      <c r="D744" s="93"/>
      <c r="E744" s="93"/>
      <c r="F744" s="93"/>
      <c r="G744" s="93"/>
      <c r="H744" s="93"/>
      <c r="I744" s="93"/>
      <c r="J744" s="93"/>
      <c r="K744" s="93"/>
      <c r="L744" s="94"/>
      <c r="M744" s="94"/>
      <c r="N744" s="94"/>
      <c r="O744" s="79"/>
      <c r="P744" s="27"/>
      <c r="Q744" s="21">
        <f t="shared" si="115"/>
        <v>0</v>
      </c>
    </row>
    <row r="745" spans="1:17">
      <c r="A745" s="141"/>
      <c r="B745" s="143"/>
      <c r="C745" s="117" t="s">
        <v>4</v>
      </c>
      <c r="D745" s="95"/>
      <c r="E745" s="95"/>
      <c r="F745" s="95"/>
      <c r="G745" s="95"/>
      <c r="H745" s="95"/>
      <c r="I745" s="95"/>
      <c r="J745" s="95"/>
      <c r="K745" s="95"/>
      <c r="L745" s="91"/>
      <c r="M745" s="91"/>
      <c r="N745" s="91"/>
      <c r="O745" s="80"/>
      <c r="P745" s="32"/>
      <c r="Q745" s="20">
        <f t="shared" si="115"/>
        <v>0</v>
      </c>
    </row>
    <row r="746" spans="1:17">
      <c r="A746" s="141"/>
      <c r="B746" s="143"/>
      <c r="C746" s="117" t="s">
        <v>17</v>
      </c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91"/>
      <c r="O746" s="80"/>
      <c r="P746" s="32"/>
      <c r="Q746" s="20">
        <f t="shared" si="115"/>
        <v>0</v>
      </c>
    </row>
    <row r="747" spans="1:17">
      <c r="A747" s="141"/>
      <c r="B747" s="143"/>
      <c r="C747" s="117" t="s">
        <v>18</v>
      </c>
      <c r="D747" s="90"/>
      <c r="E747" s="90"/>
      <c r="F747" s="90"/>
      <c r="G747" s="90"/>
      <c r="H747" s="91"/>
      <c r="I747" s="91"/>
      <c r="J747" s="91"/>
      <c r="K747" s="91"/>
      <c r="L747" s="91"/>
      <c r="M747" s="91"/>
      <c r="N747" s="91"/>
      <c r="O747" s="80"/>
      <c r="P747" s="32"/>
      <c r="Q747" s="20">
        <f t="shared" si="115"/>
        <v>0</v>
      </c>
    </row>
    <row r="748" spans="1:17">
      <c r="A748" s="141"/>
      <c r="B748" s="143"/>
      <c r="C748" s="120" t="s">
        <v>19</v>
      </c>
      <c r="D748" s="96"/>
      <c r="E748" s="96"/>
      <c r="F748" s="96"/>
      <c r="G748" s="96"/>
      <c r="H748" s="92"/>
      <c r="I748" s="92"/>
      <c r="J748" s="92"/>
      <c r="K748" s="92"/>
      <c r="L748" s="92"/>
      <c r="M748" s="92"/>
      <c r="N748" s="92"/>
      <c r="O748" s="18"/>
      <c r="P748" s="33"/>
      <c r="Q748" s="22">
        <f t="shared" si="115"/>
        <v>0</v>
      </c>
    </row>
    <row r="749" spans="1:17">
      <c r="A749" s="141"/>
      <c r="B749" s="143" t="s">
        <v>13</v>
      </c>
      <c r="C749" s="119" t="s">
        <v>10</v>
      </c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79"/>
      <c r="P749" s="27"/>
      <c r="Q749" s="21">
        <f t="shared" si="115"/>
        <v>0</v>
      </c>
    </row>
    <row r="750" spans="1:17">
      <c r="A750" s="141"/>
      <c r="B750" s="143"/>
      <c r="C750" s="116" t="s">
        <v>55</v>
      </c>
      <c r="D750" s="89"/>
      <c r="E750" s="89"/>
      <c r="F750" s="89"/>
      <c r="G750" s="89"/>
      <c r="H750" s="89"/>
      <c r="I750" s="89"/>
      <c r="J750" s="89"/>
      <c r="K750" s="89"/>
      <c r="L750" s="89"/>
      <c r="M750" s="89"/>
      <c r="N750" s="89"/>
      <c r="O750" s="17"/>
      <c r="P750" s="28"/>
      <c r="Q750" s="20">
        <f t="shared" si="115"/>
        <v>0</v>
      </c>
    </row>
    <row r="751" spans="1:17">
      <c r="A751" s="141"/>
      <c r="B751" s="143"/>
      <c r="C751" s="116" t="s">
        <v>56</v>
      </c>
      <c r="D751" s="89"/>
      <c r="E751" s="89"/>
      <c r="F751" s="89"/>
      <c r="G751" s="89"/>
      <c r="H751" s="89"/>
      <c r="I751" s="89"/>
      <c r="J751" s="89"/>
      <c r="K751" s="89"/>
      <c r="L751" s="89"/>
      <c r="M751" s="89"/>
      <c r="N751" s="89"/>
      <c r="O751" s="17"/>
      <c r="P751" s="28"/>
      <c r="Q751" s="20">
        <f t="shared" si="115"/>
        <v>0</v>
      </c>
    </row>
    <row r="752" spans="1:17">
      <c r="A752" s="141"/>
      <c r="B752" s="143"/>
      <c r="C752" s="120" t="s">
        <v>61</v>
      </c>
      <c r="D752" s="92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18"/>
      <c r="P752" s="33"/>
      <c r="Q752" s="22">
        <f t="shared" si="115"/>
        <v>0</v>
      </c>
    </row>
    <row r="753" spans="1:17">
      <c r="A753" s="141"/>
      <c r="B753" s="156" t="s">
        <v>54</v>
      </c>
      <c r="C753" s="157"/>
      <c r="D753" s="56">
        <f>SUM(D736:D743)-SUM(D747:D748)</f>
        <v>0</v>
      </c>
      <c r="E753" s="56">
        <f t="shared" ref="E753:O753" si="116">SUM(E736:E743)-SUM(E747:E748)</f>
        <v>0</v>
      </c>
      <c r="F753" s="56">
        <f t="shared" si="116"/>
        <v>0</v>
      </c>
      <c r="G753" s="56">
        <f>SUM(G736:G743)-SUM(G747:G748)</f>
        <v>0</v>
      </c>
      <c r="H753" s="56">
        <f t="shared" si="116"/>
        <v>0</v>
      </c>
      <c r="I753" s="56">
        <f t="shared" si="116"/>
        <v>0</v>
      </c>
      <c r="J753" s="56">
        <f t="shared" si="116"/>
        <v>0</v>
      </c>
      <c r="K753" s="56">
        <f t="shared" si="116"/>
        <v>0</v>
      </c>
      <c r="L753" s="56">
        <f t="shared" si="116"/>
        <v>0</v>
      </c>
      <c r="M753" s="56">
        <f t="shared" si="116"/>
        <v>0</v>
      </c>
      <c r="N753" s="56">
        <f t="shared" si="116"/>
        <v>0</v>
      </c>
      <c r="O753" s="57">
        <f t="shared" si="116"/>
        <v>0</v>
      </c>
      <c r="P753" s="60">
        <f>SUM(P736:P743)-SUM(P747:P748)</f>
        <v>0</v>
      </c>
      <c r="Q753" s="59">
        <f>SUM(D753:P753)</f>
        <v>0</v>
      </c>
    </row>
    <row r="754" spans="1:17" ht="14.25" thickBot="1">
      <c r="A754" s="142"/>
      <c r="B754" s="147" t="s">
        <v>5</v>
      </c>
      <c r="C754" s="148"/>
      <c r="D754" s="42">
        <f>SUM(D736:D743)-SUM(D744:D748)+SUM(D749:D752)</f>
        <v>0</v>
      </c>
      <c r="E754" s="42">
        <f>SUM(E736:E743)-SUM(E744:E748)+SUM(E749:E752)</f>
        <v>0</v>
      </c>
      <c r="F754" s="42">
        <f t="shared" ref="F754:O754" si="117">SUM(F736:F743)-SUM(F744:F748)+SUM(F749:F752)</f>
        <v>0</v>
      </c>
      <c r="G754" s="42">
        <f>SUM(G736:G743)-SUM(G744:G748)+SUM(G749:G752)</f>
        <v>0</v>
      </c>
      <c r="H754" s="42">
        <f t="shared" si="117"/>
        <v>0</v>
      </c>
      <c r="I754" s="42">
        <f t="shared" si="117"/>
        <v>0</v>
      </c>
      <c r="J754" s="42">
        <f t="shared" si="117"/>
        <v>0</v>
      </c>
      <c r="K754" s="42">
        <f t="shared" si="117"/>
        <v>0</v>
      </c>
      <c r="L754" s="42">
        <f t="shared" si="117"/>
        <v>0</v>
      </c>
      <c r="M754" s="42">
        <f t="shared" si="117"/>
        <v>0</v>
      </c>
      <c r="N754" s="42">
        <f t="shared" si="117"/>
        <v>0</v>
      </c>
      <c r="O754" s="43">
        <f t="shared" si="117"/>
        <v>0</v>
      </c>
      <c r="P754" s="44">
        <f>SUM(P736:P743)-SUM(P744:P748)+SUM(P749:P752)</f>
        <v>0</v>
      </c>
      <c r="Q754" s="46">
        <f t="shared" si="115"/>
        <v>0</v>
      </c>
    </row>
    <row r="755" spans="1:17">
      <c r="A755" s="140"/>
      <c r="B755" s="158" t="s">
        <v>12</v>
      </c>
      <c r="C755" s="114" t="s">
        <v>87</v>
      </c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78"/>
      <c r="P755" s="30"/>
      <c r="Q755" s="19">
        <f>SUM(D755:P755)</f>
        <v>0</v>
      </c>
    </row>
    <row r="756" spans="1:17">
      <c r="A756" s="141"/>
      <c r="B756" s="154"/>
      <c r="C756" s="115" t="s">
        <v>89</v>
      </c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1"/>
      <c r="P756" s="31"/>
      <c r="Q756" s="20">
        <f t="shared" ref="Q756:Q773" si="118">SUM(D756:P756)</f>
        <v>0</v>
      </c>
    </row>
    <row r="757" spans="1:17">
      <c r="A757" s="141"/>
      <c r="B757" s="143"/>
      <c r="C757" s="116" t="s">
        <v>88</v>
      </c>
      <c r="D757" s="89"/>
      <c r="E757" s="90"/>
      <c r="F757" s="90"/>
      <c r="G757" s="90"/>
      <c r="H757" s="89"/>
      <c r="I757" s="89"/>
      <c r="J757" s="89"/>
      <c r="K757" s="89"/>
      <c r="L757" s="89"/>
      <c r="M757" s="89"/>
      <c r="N757" s="89"/>
      <c r="O757" s="17"/>
      <c r="P757" s="28"/>
      <c r="Q757" s="20">
        <f t="shared" si="118"/>
        <v>0</v>
      </c>
    </row>
    <row r="758" spans="1:17">
      <c r="A758" s="141"/>
      <c r="B758" s="143"/>
      <c r="C758" s="117" t="s">
        <v>90</v>
      </c>
      <c r="D758" s="91"/>
      <c r="E758" s="89"/>
      <c r="F758" s="89"/>
      <c r="G758" s="91"/>
      <c r="H758" s="91"/>
      <c r="I758" s="91"/>
      <c r="J758" s="91"/>
      <c r="K758" s="91"/>
      <c r="L758" s="91"/>
      <c r="M758" s="91"/>
      <c r="N758" s="91"/>
      <c r="O758" s="80"/>
      <c r="P758" s="32"/>
      <c r="Q758" s="20">
        <f t="shared" si="118"/>
        <v>0</v>
      </c>
    </row>
    <row r="759" spans="1:17">
      <c r="A759" s="141"/>
      <c r="B759" s="143"/>
      <c r="C759" s="117" t="s">
        <v>91</v>
      </c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80"/>
      <c r="P759" s="32"/>
      <c r="Q759" s="20">
        <f t="shared" si="118"/>
        <v>0</v>
      </c>
    </row>
    <row r="760" spans="1:17">
      <c r="A760" s="141"/>
      <c r="B760" s="143"/>
      <c r="C760" s="117" t="s">
        <v>92</v>
      </c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80"/>
      <c r="P760" s="32"/>
      <c r="Q760" s="20">
        <f t="shared" si="118"/>
        <v>0</v>
      </c>
    </row>
    <row r="761" spans="1:17">
      <c r="A761" s="141"/>
      <c r="B761" s="143"/>
      <c r="C761" s="116" t="s">
        <v>93</v>
      </c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80"/>
      <c r="P761" s="32"/>
      <c r="Q761" s="20">
        <f t="shared" si="118"/>
        <v>0</v>
      </c>
    </row>
    <row r="762" spans="1:17">
      <c r="A762" s="141"/>
      <c r="B762" s="143"/>
      <c r="C762" s="118" t="s">
        <v>94</v>
      </c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18"/>
      <c r="P762" s="33"/>
      <c r="Q762" s="22">
        <f t="shared" si="118"/>
        <v>0</v>
      </c>
    </row>
    <row r="763" spans="1:17">
      <c r="A763" s="141"/>
      <c r="B763" s="143" t="s">
        <v>11</v>
      </c>
      <c r="C763" s="119" t="s">
        <v>7</v>
      </c>
      <c r="D763" s="93"/>
      <c r="E763" s="93"/>
      <c r="F763" s="93"/>
      <c r="G763" s="93"/>
      <c r="H763" s="93"/>
      <c r="I763" s="93"/>
      <c r="J763" s="93"/>
      <c r="K763" s="93"/>
      <c r="L763" s="94"/>
      <c r="M763" s="94"/>
      <c r="N763" s="94"/>
      <c r="O763" s="79"/>
      <c r="P763" s="27"/>
      <c r="Q763" s="21">
        <f t="shared" si="118"/>
        <v>0</v>
      </c>
    </row>
    <row r="764" spans="1:17">
      <c r="A764" s="141"/>
      <c r="B764" s="143"/>
      <c r="C764" s="117" t="s">
        <v>4</v>
      </c>
      <c r="D764" s="95"/>
      <c r="E764" s="95"/>
      <c r="F764" s="95"/>
      <c r="G764" s="95"/>
      <c r="H764" s="95"/>
      <c r="I764" s="95"/>
      <c r="J764" s="95"/>
      <c r="K764" s="95"/>
      <c r="L764" s="91"/>
      <c r="M764" s="91"/>
      <c r="N764" s="91"/>
      <c r="O764" s="80"/>
      <c r="P764" s="32"/>
      <c r="Q764" s="20">
        <f t="shared" si="118"/>
        <v>0</v>
      </c>
    </row>
    <row r="765" spans="1:17">
      <c r="A765" s="141"/>
      <c r="B765" s="143"/>
      <c r="C765" s="117" t="s">
        <v>17</v>
      </c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80"/>
      <c r="P765" s="32"/>
      <c r="Q765" s="20">
        <f t="shared" si="118"/>
        <v>0</v>
      </c>
    </row>
    <row r="766" spans="1:17">
      <c r="A766" s="141"/>
      <c r="B766" s="143"/>
      <c r="C766" s="117" t="s">
        <v>18</v>
      </c>
      <c r="D766" s="90"/>
      <c r="E766" s="90"/>
      <c r="F766" s="90"/>
      <c r="G766" s="90"/>
      <c r="H766" s="91"/>
      <c r="I766" s="91"/>
      <c r="J766" s="91"/>
      <c r="K766" s="91"/>
      <c r="L766" s="91"/>
      <c r="M766" s="91"/>
      <c r="N766" s="91"/>
      <c r="O766" s="80"/>
      <c r="P766" s="32"/>
      <c r="Q766" s="20">
        <f t="shared" si="118"/>
        <v>0</v>
      </c>
    </row>
    <row r="767" spans="1:17">
      <c r="A767" s="141"/>
      <c r="B767" s="143"/>
      <c r="C767" s="120" t="s">
        <v>19</v>
      </c>
      <c r="D767" s="96"/>
      <c r="E767" s="96"/>
      <c r="F767" s="96"/>
      <c r="G767" s="96"/>
      <c r="H767" s="92"/>
      <c r="I767" s="92"/>
      <c r="J767" s="92"/>
      <c r="K767" s="92"/>
      <c r="L767" s="92"/>
      <c r="M767" s="92"/>
      <c r="N767" s="92"/>
      <c r="O767" s="18"/>
      <c r="P767" s="33"/>
      <c r="Q767" s="22">
        <f t="shared" si="118"/>
        <v>0</v>
      </c>
    </row>
    <row r="768" spans="1:17">
      <c r="A768" s="141"/>
      <c r="B768" s="143" t="s">
        <v>13</v>
      </c>
      <c r="C768" s="119" t="s">
        <v>10</v>
      </c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79"/>
      <c r="P768" s="27"/>
      <c r="Q768" s="21">
        <f t="shared" si="118"/>
        <v>0</v>
      </c>
    </row>
    <row r="769" spans="1:17">
      <c r="A769" s="141"/>
      <c r="B769" s="143"/>
      <c r="C769" s="116" t="s">
        <v>55</v>
      </c>
      <c r="D769" s="89"/>
      <c r="E769" s="89"/>
      <c r="F769" s="89"/>
      <c r="G769" s="89"/>
      <c r="H769" s="89"/>
      <c r="I769" s="89"/>
      <c r="J769" s="89"/>
      <c r="K769" s="89"/>
      <c r="L769" s="89"/>
      <c r="M769" s="89"/>
      <c r="N769" s="89"/>
      <c r="O769" s="17"/>
      <c r="P769" s="28"/>
      <c r="Q769" s="20">
        <f t="shared" si="118"/>
        <v>0</v>
      </c>
    </row>
    <row r="770" spans="1:17">
      <c r="A770" s="141"/>
      <c r="B770" s="143"/>
      <c r="C770" s="116" t="s">
        <v>56</v>
      </c>
      <c r="D770" s="89"/>
      <c r="E770" s="89"/>
      <c r="F770" s="89"/>
      <c r="G770" s="89"/>
      <c r="H770" s="89"/>
      <c r="I770" s="89"/>
      <c r="J770" s="89"/>
      <c r="K770" s="89"/>
      <c r="L770" s="89"/>
      <c r="M770" s="89"/>
      <c r="N770" s="89"/>
      <c r="O770" s="17"/>
      <c r="P770" s="28"/>
      <c r="Q770" s="20">
        <f t="shared" si="118"/>
        <v>0</v>
      </c>
    </row>
    <row r="771" spans="1:17">
      <c r="A771" s="141"/>
      <c r="B771" s="143"/>
      <c r="C771" s="120" t="s">
        <v>61</v>
      </c>
      <c r="D771" s="92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18"/>
      <c r="P771" s="33"/>
      <c r="Q771" s="22">
        <f t="shared" si="118"/>
        <v>0</v>
      </c>
    </row>
    <row r="772" spans="1:17">
      <c r="A772" s="141"/>
      <c r="B772" s="156" t="s">
        <v>54</v>
      </c>
      <c r="C772" s="157"/>
      <c r="D772" s="56">
        <f>SUM(D755:D762)-SUM(D766:D767)</f>
        <v>0</v>
      </c>
      <c r="E772" s="56">
        <f t="shared" ref="E772:O772" si="119">SUM(E755:E762)-SUM(E766:E767)</f>
        <v>0</v>
      </c>
      <c r="F772" s="56">
        <f t="shared" si="119"/>
        <v>0</v>
      </c>
      <c r="G772" s="56">
        <f>SUM(G755:G762)-SUM(G766:G767)</f>
        <v>0</v>
      </c>
      <c r="H772" s="56">
        <f t="shared" si="119"/>
        <v>0</v>
      </c>
      <c r="I772" s="56">
        <f t="shared" si="119"/>
        <v>0</v>
      </c>
      <c r="J772" s="56">
        <f t="shared" si="119"/>
        <v>0</v>
      </c>
      <c r="K772" s="56">
        <f t="shared" si="119"/>
        <v>0</v>
      </c>
      <c r="L772" s="56">
        <f t="shared" si="119"/>
        <v>0</v>
      </c>
      <c r="M772" s="56">
        <f t="shared" si="119"/>
        <v>0</v>
      </c>
      <c r="N772" s="56">
        <f t="shared" si="119"/>
        <v>0</v>
      </c>
      <c r="O772" s="57">
        <f t="shared" si="119"/>
        <v>0</v>
      </c>
      <c r="P772" s="60">
        <f>SUM(P755:P762)-SUM(P766:P767)</f>
        <v>0</v>
      </c>
      <c r="Q772" s="59">
        <f>SUM(D772:P772)</f>
        <v>0</v>
      </c>
    </row>
    <row r="773" spans="1:17" ht="14.25" thickBot="1">
      <c r="A773" s="142"/>
      <c r="B773" s="147" t="s">
        <v>5</v>
      </c>
      <c r="C773" s="148"/>
      <c r="D773" s="42">
        <f>SUM(D755:D762)-SUM(D763:D767)+SUM(D768:D771)</f>
        <v>0</v>
      </c>
      <c r="E773" s="42">
        <f>SUM(E755:E762)-SUM(E763:E767)+SUM(E768:E771)</f>
        <v>0</v>
      </c>
      <c r="F773" s="42">
        <f t="shared" ref="F773:O773" si="120">SUM(F755:F762)-SUM(F763:F767)+SUM(F768:F771)</f>
        <v>0</v>
      </c>
      <c r="G773" s="42">
        <f>SUM(G755:G762)-SUM(G763:G767)+SUM(G768:G771)</f>
        <v>0</v>
      </c>
      <c r="H773" s="42">
        <f t="shared" si="120"/>
        <v>0</v>
      </c>
      <c r="I773" s="42">
        <f t="shared" si="120"/>
        <v>0</v>
      </c>
      <c r="J773" s="42">
        <f t="shared" si="120"/>
        <v>0</v>
      </c>
      <c r="K773" s="42">
        <f t="shared" si="120"/>
        <v>0</v>
      </c>
      <c r="L773" s="42">
        <f t="shared" si="120"/>
        <v>0</v>
      </c>
      <c r="M773" s="42">
        <f t="shared" si="120"/>
        <v>0</v>
      </c>
      <c r="N773" s="42">
        <f t="shared" si="120"/>
        <v>0</v>
      </c>
      <c r="O773" s="43">
        <f t="shared" si="120"/>
        <v>0</v>
      </c>
      <c r="P773" s="44">
        <f>SUM(P755:P762)-SUM(P763:P767)+SUM(P768:P771)</f>
        <v>0</v>
      </c>
      <c r="Q773" s="46">
        <f t="shared" si="118"/>
        <v>0</v>
      </c>
    </row>
    <row r="774" spans="1:17">
      <c r="A774" s="140"/>
      <c r="B774" s="158" t="s">
        <v>12</v>
      </c>
      <c r="C774" s="114" t="s">
        <v>87</v>
      </c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78"/>
      <c r="P774" s="30"/>
      <c r="Q774" s="19">
        <f>SUM(D774:P774)</f>
        <v>0</v>
      </c>
    </row>
    <row r="775" spans="1:17">
      <c r="A775" s="141"/>
      <c r="B775" s="154"/>
      <c r="C775" s="115" t="s">
        <v>89</v>
      </c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1"/>
      <c r="P775" s="31"/>
      <c r="Q775" s="20">
        <f t="shared" ref="Q775:Q792" si="121">SUM(D775:P775)</f>
        <v>0</v>
      </c>
    </row>
    <row r="776" spans="1:17">
      <c r="A776" s="141"/>
      <c r="B776" s="143"/>
      <c r="C776" s="116" t="s">
        <v>88</v>
      </c>
      <c r="D776" s="89"/>
      <c r="E776" s="90"/>
      <c r="F776" s="90"/>
      <c r="G776" s="90"/>
      <c r="H776" s="89"/>
      <c r="I776" s="89"/>
      <c r="J776" s="89"/>
      <c r="K776" s="89"/>
      <c r="L776" s="89"/>
      <c r="M776" s="89"/>
      <c r="N776" s="89"/>
      <c r="O776" s="17"/>
      <c r="P776" s="28"/>
      <c r="Q776" s="20">
        <f t="shared" si="121"/>
        <v>0</v>
      </c>
    </row>
    <row r="777" spans="1:17">
      <c r="A777" s="141"/>
      <c r="B777" s="143"/>
      <c r="C777" s="117" t="s">
        <v>90</v>
      </c>
      <c r="D777" s="91"/>
      <c r="E777" s="89"/>
      <c r="F777" s="89"/>
      <c r="G777" s="91"/>
      <c r="H777" s="91"/>
      <c r="I777" s="91"/>
      <c r="J777" s="91"/>
      <c r="K777" s="91"/>
      <c r="L777" s="91"/>
      <c r="M777" s="91"/>
      <c r="N777" s="91"/>
      <c r="O777" s="80"/>
      <c r="P777" s="32"/>
      <c r="Q777" s="20">
        <f t="shared" si="121"/>
        <v>0</v>
      </c>
    </row>
    <row r="778" spans="1:17">
      <c r="A778" s="141"/>
      <c r="B778" s="143"/>
      <c r="C778" s="117" t="s">
        <v>91</v>
      </c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80"/>
      <c r="P778" s="32"/>
      <c r="Q778" s="20">
        <f t="shared" si="121"/>
        <v>0</v>
      </c>
    </row>
    <row r="779" spans="1:17">
      <c r="A779" s="141"/>
      <c r="B779" s="143"/>
      <c r="C779" s="117" t="s">
        <v>92</v>
      </c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80"/>
      <c r="P779" s="32"/>
      <c r="Q779" s="20">
        <f t="shared" si="121"/>
        <v>0</v>
      </c>
    </row>
    <row r="780" spans="1:17">
      <c r="A780" s="141"/>
      <c r="B780" s="143"/>
      <c r="C780" s="116" t="s">
        <v>93</v>
      </c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80"/>
      <c r="P780" s="32"/>
      <c r="Q780" s="20">
        <f t="shared" si="121"/>
        <v>0</v>
      </c>
    </row>
    <row r="781" spans="1:17">
      <c r="A781" s="141"/>
      <c r="B781" s="143"/>
      <c r="C781" s="118" t="s">
        <v>94</v>
      </c>
      <c r="D781" s="92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18"/>
      <c r="P781" s="33"/>
      <c r="Q781" s="22">
        <f t="shared" si="121"/>
        <v>0</v>
      </c>
    </row>
    <row r="782" spans="1:17">
      <c r="A782" s="141"/>
      <c r="B782" s="143" t="s">
        <v>11</v>
      </c>
      <c r="C782" s="119" t="s">
        <v>7</v>
      </c>
      <c r="D782" s="93"/>
      <c r="E782" s="93"/>
      <c r="F782" s="93"/>
      <c r="G782" s="93"/>
      <c r="H782" s="93"/>
      <c r="I782" s="93"/>
      <c r="J782" s="93"/>
      <c r="K782" s="93"/>
      <c r="L782" s="94"/>
      <c r="M782" s="94"/>
      <c r="N782" s="94"/>
      <c r="O782" s="79"/>
      <c r="P782" s="27"/>
      <c r="Q782" s="21">
        <f t="shared" si="121"/>
        <v>0</v>
      </c>
    </row>
    <row r="783" spans="1:17">
      <c r="A783" s="141"/>
      <c r="B783" s="143"/>
      <c r="C783" s="117" t="s">
        <v>4</v>
      </c>
      <c r="D783" s="95"/>
      <c r="E783" s="95"/>
      <c r="F783" s="95"/>
      <c r="G783" s="95"/>
      <c r="H783" s="95"/>
      <c r="I783" s="95"/>
      <c r="J783" s="95"/>
      <c r="K783" s="95"/>
      <c r="L783" s="91"/>
      <c r="M783" s="91"/>
      <c r="N783" s="91"/>
      <c r="O783" s="80"/>
      <c r="P783" s="32"/>
      <c r="Q783" s="20">
        <f t="shared" si="121"/>
        <v>0</v>
      </c>
    </row>
    <row r="784" spans="1:17">
      <c r="A784" s="141"/>
      <c r="B784" s="143"/>
      <c r="C784" s="117" t="s">
        <v>17</v>
      </c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80"/>
      <c r="P784" s="32"/>
      <c r="Q784" s="20">
        <f t="shared" si="121"/>
        <v>0</v>
      </c>
    </row>
    <row r="785" spans="1:17">
      <c r="A785" s="141"/>
      <c r="B785" s="143"/>
      <c r="C785" s="117" t="s">
        <v>18</v>
      </c>
      <c r="D785" s="90"/>
      <c r="E785" s="90"/>
      <c r="F785" s="90"/>
      <c r="G785" s="90"/>
      <c r="H785" s="91"/>
      <c r="I785" s="91"/>
      <c r="J785" s="91"/>
      <c r="K785" s="91"/>
      <c r="L785" s="91"/>
      <c r="M785" s="91"/>
      <c r="N785" s="91"/>
      <c r="O785" s="80"/>
      <c r="P785" s="32"/>
      <c r="Q785" s="20">
        <f t="shared" si="121"/>
        <v>0</v>
      </c>
    </row>
    <row r="786" spans="1:17">
      <c r="A786" s="141"/>
      <c r="B786" s="143"/>
      <c r="C786" s="120" t="s">
        <v>19</v>
      </c>
      <c r="D786" s="96"/>
      <c r="E786" s="96"/>
      <c r="F786" s="96"/>
      <c r="G786" s="96"/>
      <c r="H786" s="92"/>
      <c r="I786" s="92"/>
      <c r="J786" s="92"/>
      <c r="K786" s="92"/>
      <c r="L786" s="92"/>
      <c r="M786" s="92"/>
      <c r="N786" s="92"/>
      <c r="O786" s="18"/>
      <c r="P786" s="33"/>
      <c r="Q786" s="22">
        <f t="shared" si="121"/>
        <v>0</v>
      </c>
    </row>
    <row r="787" spans="1:17">
      <c r="A787" s="141"/>
      <c r="B787" s="143" t="s">
        <v>13</v>
      </c>
      <c r="C787" s="119" t="s">
        <v>10</v>
      </c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79"/>
      <c r="P787" s="27"/>
      <c r="Q787" s="21">
        <f t="shared" si="121"/>
        <v>0</v>
      </c>
    </row>
    <row r="788" spans="1:17">
      <c r="A788" s="141"/>
      <c r="B788" s="143"/>
      <c r="C788" s="116" t="s">
        <v>55</v>
      </c>
      <c r="D788" s="89"/>
      <c r="E788" s="89"/>
      <c r="F788" s="89"/>
      <c r="G788" s="89"/>
      <c r="H788" s="89"/>
      <c r="I788" s="89"/>
      <c r="J788" s="89"/>
      <c r="K788" s="89"/>
      <c r="L788" s="89"/>
      <c r="M788" s="89"/>
      <c r="N788" s="89"/>
      <c r="O788" s="17"/>
      <c r="P788" s="28"/>
      <c r="Q788" s="20">
        <f t="shared" si="121"/>
        <v>0</v>
      </c>
    </row>
    <row r="789" spans="1:17">
      <c r="A789" s="141"/>
      <c r="B789" s="143"/>
      <c r="C789" s="116" t="s">
        <v>56</v>
      </c>
      <c r="D789" s="89"/>
      <c r="E789" s="89"/>
      <c r="F789" s="89"/>
      <c r="G789" s="89"/>
      <c r="H789" s="89"/>
      <c r="I789" s="89"/>
      <c r="J789" s="89"/>
      <c r="K789" s="89"/>
      <c r="L789" s="89"/>
      <c r="M789" s="89"/>
      <c r="N789" s="89"/>
      <c r="O789" s="17"/>
      <c r="P789" s="28"/>
      <c r="Q789" s="20">
        <f t="shared" si="121"/>
        <v>0</v>
      </c>
    </row>
    <row r="790" spans="1:17">
      <c r="A790" s="141"/>
      <c r="B790" s="143"/>
      <c r="C790" s="120" t="s">
        <v>61</v>
      </c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18"/>
      <c r="P790" s="33"/>
      <c r="Q790" s="22">
        <f t="shared" si="121"/>
        <v>0</v>
      </c>
    </row>
    <row r="791" spans="1:17">
      <c r="A791" s="141"/>
      <c r="B791" s="156" t="s">
        <v>54</v>
      </c>
      <c r="C791" s="157"/>
      <c r="D791" s="56">
        <f>SUM(D774:D781)-SUM(D785:D786)</f>
        <v>0</v>
      </c>
      <c r="E791" s="56">
        <f t="shared" ref="E791:O791" si="122">SUM(E774:E781)-SUM(E785:E786)</f>
        <v>0</v>
      </c>
      <c r="F791" s="56">
        <f t="shared" si="122"/>
        <v>0</v>
      </c>
      <c r="G791" s="56">
        <f>SUM(G774:G781)-SUM(G785:G786)</f>
        <v>0</v>
      </c>
      <c r="H791" s="56">
        <f t="shared" si="122"/>
        <v>0</v>
      </c>
      <c r="I791" s="56">
        <f t="shared" si="122"/>
        <v>0</v>
      </c>
      <c r="J791" s="56">
        <f t="shared" si="122"/>
        <v>0</v>
      </c>
      <c r="K791" s="56">
        <f t="shared" si="122"/>
        <v>0</v>
      </c>
      <c r="L791" s="56">
        <f t="shared" si="122"/>
        <v>0</v>
      </c>
      <c r="M791" s="56">
        <f t="shared" si="122"/>
        <v>0</v>
      </c>
      <c r="N791" s="56">
        <f t="shared" si="122"/>
        <v>0</v>
      </c>
      <c r="O791" s="57">
        <f t="shared" si="122"/>
        <v>0</v>
      </c>
      <c r="P791" s="60">
        <f>SUM(P774:P781)-SUM(P785:P786)</f>
        <v>0</v>
      </c>
      <c r="Q791" s="59">
        <f>SUM(D791:P791)</f>
        <v>0</v>
      </c>
    </row>
    <row r="792" spans="1:17" ht="14.25" thickBot="1">
      <c r="A792" s="142"/>
      <c r="B792" s="147" t="s">
        <v>5</v>
      </c>
      <c r="C792" s="148"/>
      <c r="D792" s="42">
        <f>SUM(D774:D781)-SUM(D782:D786)+SUM(D787:D790)</f>
        <v>0</v>
      </c>
      <c r="E792" s="42">
        <f>SUM(E774:E781)-SUM(E782:E786)+SUM(E787:E790)</f>
        <v>0</v>
      </c>
      <c r="F792" s="42">
        <f t="shared" ref="F792:O792" si="123">SUM(F774:F781)-SUM(F782:F786)+SUM(F787:F790)</f>
        <v>0</v>
      </c>
      <c r="G792" s="42">
        <f>SUM(G774:G781)-SUM(G782:G786)+SUM(G787:G790)</f>
        <v>0</v>
      </c>
      <c r="H792" s="42">
        <f t="shared" si="123"/>
        <v>0</v>
      </c>
      <c r="I792" s="42">
        <f t="shared" si="123"/>
        <v>0</v>
      </c>
      <c r="J792" s="42">
        <f t="shared" si="123"/>
        <v>0</v>
      </c>
      <c r="K792" s="42">
        <f t="shared" si="123"/>
        <v>0</v>
      </c>
      <c r="L792" s="42">
        <f t="shared" si="123"/>
        <v>0</v>
      </c>
      <c r="M792" s="42">
        <f t="shared" si="123"/>
        <v>0</v>
      </c>
      <c r="N792" s="42">
        <f t="shared" si="123"/>
        <v>0</v>
      </c>
      <c r="O792" s="43">
        <f t="shared" si="123"/>
        <v>0</v>
      </c>
      <c r="P792" s="44">
        <f>SUM(P774:P781)-SUM(P782:P786)+SUM(P787:P790)</f>
        <v>0</v>
      </c>
      <c r="Q792" s="46">
        <f t="shared" si="121"/>
        <v>0</v>
      </c>
    </row>
    <row r="793" spans="1:17">
      <c r="A793" s="140"/>
      <c r="B793" s="158" t="s">
        <v>12</v>
      </c>
      <c r="C793" s="114" t="s">
        <v>87</v>
      </c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78"/>
      <c r="P793" s="30"/>
      <c r="Q793" s="19">
        <f>SUM(D793:P793)</f>
        <v>0</v>
      </c>
    </row>
    <row r="794" spans="1:17">
      <c r="A794" s="141"/>
      <c r="B794" s="154"/>
      <c r="C794" s="115" t="s">
        <v>89</v>
      </c>
      <c r="D794" s="88"/>
      <c r="E794" s="88"/>
      <c r="F794" s="88"/>
      <c r="G794" s="88"/>
      <c r="H794" s="88"/>
      <c r="I794" s="88"/>
      <c r="J794" s="88"/>
      <c r="K794" s="88"/>
      <c r="L794" s="88"/>
      <c r="M794" s="88"/>
      <c r="N794" s="88"/>
      <c r="O794" s="81"/>
      <c r="P794" s="31"/>
      <c r="Q794" s="20">
        <f t="shared" ref="Q794:Q811" si="124">SUM(D794:P794)</f>
        <v>0</v>
      </c>
    </row>
    <row r="795" spans="1:17">
      <c r="A795" s="141"/>
      <c r="B795" s="143"/>
      <c r="C795" s="116" t="s">
        <v>88</v>
      </c>
      <c r="D795" s="89"/>
      <c r="E795" s="90"/>
      <c r="F795" s="90"/>
      <c r="G795" s="90"/>
      <c r="H795" s="89"/>
      <c r="I795" s="89"/>
      <c r="J795" s="89"/>
      <c r="K795" s="89"/>
      <c r="L795" s="89"/>
      <c r="M795" s="89"/>
      <c r="N795" s="89"/>
      <c r="O795" s="17"/>
      <c r="P795" s="28"/>
      <c r="Q795" s="20">
        <f t="shared" si="124"/>
        <v>0</v>
      </c>
    </row>
    <row r="796" spans="1:17">
      <c r="A796" s="141"/>
      <c r="B796" s="143"/>
      <c r="C796" s="117" t="s">
        <v>90</v>
      </c>
      <c r="D796" s="91"/>
      <c r="E796" s="89"/>
      <c r="F796" s="89"/>
      <c r="G796" s="91"/>
      <c r="H796" s="91"/>
      <c r="I796" s="91"/>
      <c r="J796" s="91"/>
      <c r="K796" s="91"/>
      <c r="L796" s="91"/>
      <c r="M796" s="91"/>
      <c r="N796" s="91"/>
      <c r="O796" s="80"/>
      <c r="P796" s="32"/>
      <c r="Q796" s="20">
        <f t="shared" si="124"/>
        <v>0</v>
      </c>
    </row>
    <row r="797" spans="1:17">
      <c r="A797" s="141"/>
      <c r="B797" s="143"/>
      <c r="C797" s="117" t="s">
        <v>91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1"/>
      <c r="O797" s="80"/>
      <c r="P797" s="32"/>
      <c r="Q797" s="20">
        <f t="shared" si="124"/>
        <v>0</v>
      </c>
    </row>
    <row r="798" spans="1:17">
      <c r="A798" s="141"/>
      <c r="B798" s="143"/>
      <c r="C798" s="117" t="s">
        <v>92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/>
      <c r="O798" s="80"/>
      <c r="P798" s="32"/>
      <c r="Q798" s="20">
        <f t="shared" si="124"/>
        <v>0</v>
      </c>
    </row>
    <row r="799" spans="1:17">
      <c r="A799" s="141"/>
      <c r="B799" s="143"/>
      <c r="C799" s="116" t="s">
        <v>93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/>
      <c r="O799" s="80"/>
      <c r="P799" s="32"/>
      <c r="Q799" s="20">
        <f t="shared" si="124"/>
        <v>0</v>
      </c>
    </row>
    <row r="800" spans="1:17">
      <c r="A800" s="141"/>
      <c r="B800" s="143"/>
      <c r="C800" s="118" t="s">
        <v>94</v>
      </c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18"/>
      <c r="P800" s="33"/>
      <c r="Q800" s="22">
        <f t="shared" si="124"/>
        <v>0</v>
      </c>
    </row>
    <row r="801" spans="1:17">
      <c r="A801" s="141"/>
      <c r="B801" s="143" t="s">
        <v>11</v>
      </c>
      <c r="C801" s="119" t="s">
        <v>7</v>
      </c>
      <c r="D801" s="93"/>
      <c r="E801" s="93"/>
      <c r="F801" s="93"/>
      <c r="G801" s="93"/>
      <c r="H801" s="93"/>
      <c r="I801" s="93"/>
      <c r="J801" s="93"/>
      <c r="K801" s="93"/>
      <c r="L801" s="94"/>
      <c r="M801" s="94"/>
      <c r="N801" s="94"/>
      <c r="O801" s="79"/>
      <c r="P801" s="27"/>
      <c r="Q801" s="21">
        <f t="shared" si="124"/>
        <v>0</v>
      </c>
    </row>
    <row r="802" spans="1:17">
      <c r="A802" s="141"/>
      <c r="B802" s="143"/>
      <c r="C802" s="117" t="s">
        <v>4</v>
      </c>
      <c r="D802" s="95"/>
      <c r="E802" s="95"/>
      <c r="F802" s="95"/>
      <c r="G802" s="95"/>
      <c r="H802" s="95"/>
      <c r="I802" s="95"/>
      <c r="J802" s="95"/>
      <c r="K802" s="95"/>
      <c r="L802" s="91"/>
      <c r="M802" s="91"/>
      <c r="N802" s="91"/>
      <c r="O802" s="80"/>
      <c r="P802" s="32"/>
      <c r="Q802" s="20">
        <f t="shared" si="124"/>
        <v>0</v>
      </c>
    </row>
    <row r="803" spans="1:17">
      <c r="A803" s="141"/>
      <c r="B803" s="143"/>
      <c r="C803" s="117" t="s">
        <v>17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/>
      <c r="O803" s="80"/>
      <c r="P803" s="32"/>
      <c r="Q803" s="20">
        <f t="shared" si="124"/>
        <v>0</v>
      </c>
    </row>
    <row r="804" spans="1:17">
      <c r="A804" s="141"/>
      <c r="B804" s="143"/>
      <c r="C804" s="117" t="s">
        <v>18</v>
      </c>
      <c r="D804" s="90"/>
      <c r="E804" s="90"/>
      <c r="F804" s="90"/>
      <c r="G804" s="90"/>
      <c r="H804" s="91"/>
      <c r="I804" s="91"/>
      <c r="J804" s="91"/>
      <c r="K804" s="91"/>
      <c r="L804" s="91"/>
      <c r="M804" s="91"/>
      <c r="N804" s="91"/>
      <c r="O804" s="80"/>
      <c r="P804" s="32"/>
      <c r="Q804" s="20">
        <f t="shared" si="124"/>
        <v>0</v>
      </c>
    </row>
    <row r="805" spans="1:17">
      <c r="A805" s="141"/>
      <c r="B805" s="143"/>
      <c r="C805" s="120" t="s">
        <v>19</v>
      </c>
      <c r="D805" s="96"/>
      <c r="E805" s="96"/>
      <c r="F805" s="96"/>
      <c r="G805" s="96"/>
      <c r="H805" s="92"/>
      <c r="I805" s="92"/>
      <c r="J805" s="92"/>
      <c r="K805" s="92"/>
      <c r="L805" s="92"/>
      <c r="M805" s="92"/>
      <c r="N805" s="92"/>
      <c r="O805" s="18"/>
      <c r="P805" s="33"/>
      <c r="Q805" s="22">
        <f t="shared" si="124"/>
        <v>0</v>
      </c>
    </row>
    <row r="806" spans="1:17">
      <c r="A806" s="141"/>
      <c r="B806" s="143" t="s">
        <v>13</v>
      </c>
      <c r="C806" s="119" t="s">
        <v>10</v>
      </c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79"/>
      <c r="P806" s="27"/>
      <c r="Q806" s="21">
        <f t="shared" si="124"/>
        <v>0</v>
      </c>
    </row>
    <row r="807" spans="1:17">
      <c r="A807" s="141"/>
      <c r="B807" s="143"/>
      <c r="C807" s="116" t="s">
        <v>55</v>
      </c>
      <c r="D807" s="89"/>
      <c r="E807" s="89"/>
      <c r="F807" s="89"/>
      <c r="G807" s="89"/>
      <c r="H807" s="89"/>
      <c r="I807" s="89"/>
      <c r="J807" s="89"/>
      <c r="K807" s="89"/>
      <c r="L807" s="89"/>
      <c r="M807" s="89"/>
      <c r="N807" s="89"/>
      <c r="O807" s="17"/>
      <c r="P807" s="28"/>
      <c r="Q807" s="20">
        <f t="shared" si="124"/>
        <v>0</v>
      </c>
    </row>
    <row r="808" spans="1:17">
      <c r="A808" s="141"/>
      <c r="B808" s="143"/>
      <c r="C808" s="116" t="s">
        <v>56</v>
      </c>
      <c r="D808" s="89"/>
      <c r="E808" s="89"/>
      <c r="F808" s="89"/>
      <c r="G808" s="89"/>
      <c r="H808" s="89"/>
      <c r="I808" s="89"/>
      <c r="J808" s="89"/>
      <c r="K808" s="89"/>
      <c r="L808" s="89"/>
      <c r="M808" s="89"/>
      <c r="N808" s="89"/>
      <c r="O808" s="17"/>
      <c r="P808" s="28"/>
      <c r="Q808" s="20">
        <f t="shared" si="124"/>
        <v>0</v>
      </c>
    </row>
    <row r="809" spans="1:17">
      <c r="A809" s="141"/>
      <c r="B809" s="143"/>
      <c r="C809" s="120" t="s">
        <v>61</v>
      </c>
      <c r="D809" s="92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18"/>
      <c r="P809" s="33"/>
      <c r="Q809" s="22">
        <f t="shared" si="124"/>
        <v>0</v>
      </c>
    </row>
    <row r="810" spans="1:17">
      <c r="A810" s="141"/>
      <c r="B810" s="156" t="s">
        <v>54</v>
      </c>
      <c r="C810" s="157"/>
      <c r="D810" s="56">
        <f>SUM(D793:D800)-SUM(D804:D805)</f>
        <v>0</v>
      </c>
      <c r="E810" s="56">
        <f t="shared" ref="E810:O810" si="125">SUM(E793:E800)-SUM(E804:E805)</f>
        <v>0</v>
      </c>
      <c r="F810" s="56">
        <f t="shared" si="125"/>
        <v>0</v>
      </c>
      <c r="G810" s="56">
        <f>SUM(G793:G800)-SUM(G804:G805)</f>
        <v>0</v>
      </c>
      <c r="H810" s="56">
        <f t="shared" si="125"/>
        <v>0</v>
      </c>
      <c r="I810" s="56">
        <f t="shared" si="125"/>
        <v>0</v>
      </c>
      <c r="J810" s="56">
        <f t="shared" si="125"/>
        <v>0</v>
      </c>
      <c r="K810" s="56">
        <f t="shared" si="125"/>
        <v>0</v>
      </c>
      <c r="L810" s="56">
        <f t="shared" si="125"/>
        <v>0</v>
      </c>
      <c r="M810" s="56">
        <f t="shared" si="125"/>
        <v>0</v>
      </c>
      <c r="N810" s="56">
        <f t="shared" si="125"/>
        <v>0</v>
      </c>
      <c r="O810" s="57">
        <f t="shared" si="125"/>
        <v>0</v>
      </c>
      <c r="P810" s="60">
        <f>SUM(P793:P800)-SUM(P804:P805)</f>
        <v>0</v>
      </c>
      <c r="Q810" s="59">
        <f>SUM(D810:P810)</f>
        <v>0</v>
      </c>
    </row>
    <row r="811" spans="1:17" ht="14.25" thickBot="1">
      <c r="A811" s="142"/>
      <c r="B811" s="147" t="s">
        <v>5</v>
      </c>
      <c r="C811" s="148"/>
      <c r="D811" s="42">
        <f>SUM(D793:D800)-SUM(D801:D805)+SUM(D806:D809)</f>
        <v>0</v>
      </c>
      <c r="E811" s="42">
        <f>SUM(E793:E800)-SUM(E801:E805)+SUM(E806:E809)</f>
        <v>0</v>
      </c>
      <c r="F811" s="42">
        <f t="shared" ref="F811:O811" si="126">SUM(F793:F800)-SUM(F801:F805)+SUM(F806:F809)</f>
        <v>0</v>
      </c>
      <c r="G811" s="42">
        <f>SUM(G793:G800)-SUM(G801:G805)+SUM(G806:G809)</f>
        <v>0</v>
      </c>
      <c r="H811" s="42">
        <f t="shared" si="126"/>
        <v>0</v>
      </c>
      <c r="I811" s="42">
        <f t="shared" si="126"/>
        <v>0</v>
      </c>
      <c r="J811" s="42">
        <f t="shared" si="126"/>
        <v>0</v>
      </c>
      <c r="K811" s="42">
        <f t="shared" si="126"/>
        <v>0</v>
      </c>
      <c r="L811" s="42">
        <f t="shared" si="126"/>
        <v>0</v>
      </c>
      <c r="M811" s="42">
        <f t="shared" si="126"/>
        <v>0</v>
      </c>
      <c r="N811" s="42">
        <f t="shared" si="126"/>
        <v>0</v>
      </c>
      <c r="O811" s="43">
        <f t="shared" si="126"/>
        <v>0</v>
      </c>
      <c r="P811" s="44">
        <f>SUM(P793:P800)-SUM(P801:P805)+SUM(P806:P809)</f>
        <v>0</v>
      </c>
      <c r="Q811" s="46">
        <f t="shared" si="124"/>
        <v>0</v>
      </c>
    </row>
    <row r="812" spans="1:17">
      <c r="A812" s="140"/>
      <c r="B812" s="158" t="s">
        <v>12</v>
      </c>
      <c r="C812" s="114" t="s">
        <v>87</v>
      </c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78"/>
      <c r="P812" s="30"/>
      <c r="Q812" s="19">
        <f>SUM(D812:P812)</f>
        <v>0</v>
      </c>
    </row>
    <row r="813" spans="1:17">
      <c r="A813" s="141"/>
      <c r="B813" s="154"/>
      <c r="C813" s="115" t="s">
        <v>89</v>
      </c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1"/>
      <c r="P813" s="31"/>
      <c r="Q813" s="20">
        <f t="shared" ref="Q813:Q830" si="127">SUM(D813:P813)</f>
        <v>0</v>
      </c>
    </row>
    <row r="814" spans="1:17">
      <c r="A814" s="141"/>
      <c r="B814" s="143"/>
      <c r="C814" s="116" t="s">
        <v>88</v>
      </c>
      <c r="D814" s="89"/>
      <c r="E814" s="90"/>
      <c r="F814" s="90"/>
      <c r="G814" s="90"/>
      <c r="H814" s="89"/>
      <c r="I814" s="89"/>
      <c r="J814" s="89"/>
      <c r="K814" s="89"/>
      <c r="L814" s="89"/>
      <c r="M814" s="89"/>
      <c r="N814" s="89"/>
      <c r="O814" s="17"/>
      <c r="P814" s="28"/>
      <c r="Q814" s="20">
        <f t="shared" si="127"/>
        <v>0</v>
      </c>
    </row>
    <row r="815" spans="1:17">
      <c r="A815" s="141"/>
      <c r="B815" s="143"/>
      <c r="C815" s="117" t="s">
        <v>90</v>
      </c>
      <c r="D815" s="91"/>
      <c r="E815" s="89"/>
      <c r="F815" s="89"/>
      <c r="G815" s="91"/>
      <c r="H815" s="91"/>
      <c r="I815" s="91"/>
      <c r="J815" s="91"/>
      <c r="K815" s="91"/>
      <c r="L815" s="91"/>
      <c r="M815" s="91"/>
      <c r="N815" s="91"/>
      <c r="O815" s="80"/>
      <c r="P815" s="32"/>
      <c r="Q815" s="20">
        <f t="shared" si="127"/>
        <v>0</v>
      </c>
    </row>
    <row r="816" spans="1:17">
      <c r="A816" s="141"/>
      <c r="B816" s="143"/>
      <c r="C816" s="117" t="s">
        <v>91</v>
      </c>
      <c r="D816" s="91"/>
      <c r="E816" s="91"/>
      <c r="F816" s="91"/>
      <c r="G816" s="91"/>
      <c r="H816" s="91"/>
      <c r="I816" s="91"/>
      <c r="J816" s="91"/>
      <c r="K816" s="91"/>
      <c r="L816" s="91"/>
      <c r="M816" s="91"/>
      <c r="N816" s="91"/>
      <c r="O816" s="80"/>
      <c r="P816" s="32"/>
      <c r="Q816" s="20">
        <f t="shared" si="127"/>
        <v>0</v>
      </c>
    </row>
    <row r="817" spans="1:17">
      <c r="A817" s="141"/>
      <c r="B817" s="143"/>
      <c r="C817" s="117" t="s">
        <v>92</v>
      </c>
      <c r="D817" s="91"/>
      <c r="E817" s="91"/>
      <c r="F817" s="91"/>
      <c r="G817" s="91"/>
      <c r="H817" s="91"/>
      <c r="I817" s="91"/>
      <c r="J817" s="91"/>
      <c r="K817" s="91"/>
      <c r="L817" s="91"/>
      <c r="M817" s="91"/>
      <c r="N817" s="91"/>
      <c r="O817" s="80"/>
      <c r="P817" s="32"/>
      <c r="Q817" s="20">
        <f t="shared" si="127"/>
        <v>0</v>
      </c>
    </row>
    <row r="818" spans="1:17">
      <c r="A818" s="141"/>
      <c r="B818" s="143"/>
      <c r="C818" s="116" t="s">
        <v>93</v>
      </c>
      <c r="D818" s="91"/>
      <c r="E818" s="91"/>
      <c r="F818" s="91"/>
      <c r="G818" s="91"/>
      <c r="H818" s="91"/>
      <c r="I818" s="91"/>
      <c r="J818" s="91"/>
      <c r="K818" s="91"/>
      <c r="L818" s="91"/>
      <c r="M818" s="91"/>
      <c r="N818" s="91"/>
      <c r="O818" s="80"/>
      <c r="P818" s="32"/>
      <c r="Q818" s="20">
        <f t="shared" si="127"/>
        <v>0</v>
      </c>
    </row>
    <row r="819" spans="1:17">
      <c r="A819" s="141"/>
      <c r="B819" s="143"/>
      <c r="C819" s="118" t="s">
        <v>94</v>
      </c>
      <c r="D819" s="92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18"/>
      <c r="P819" s="33"/>
      <c r="Q819" s="22">
        <f t="shared" si="127"/>
        <v>0</v>
      </c>
    </row>
    <row r="820" spans="1:17">
      <c r="A820" s="141"/>
      <c r="B820" s="143" t="s">
        <v>11</v>
      </c>
      <c r="C820" s="119" t="s">
        <v>7</v>
      </c>
      <c r="D820" s="93"/>
      <c r="E820" s="93"/>
      <c r="F820" s="93"/>
      <c r="G820" s="93"/>
      <c r="H820" s="93"/>
      <c r="I820" s="93"/>
      <c r="J820" s="93"/>
      <c r="K820" s="93"/>
      <c r="L820" s="94"/>
      <c r="M820" s="94"/>
      <c r="N820" s="94"/>
      <c r="O820" s="79"/>
      <c r="P820" s="27"/>
      <c r="Q820" s="21">
        <f t="shared" si="127"/>
        <v>0</v>
      </c>
    </row>
    <row r="821" spans="1:17">
      <c r="A821" s="141"/>
      <c r="B821" s="143"/>
      <c r="C821" s="117" t="s">
        <v>4</v>
      </c>
      <c r="D821" s="95"/>
      <c r="E821" s="95"/>
      <c r="F821" s="95"/>
      <c r="G821" s="95"/>
      <c r="H821" s="95"/>
      <c r="I821" s="95"/>
      <c r="J821" s="95"/>
      <c r="K821" s="95"/>
      <c r="L821" s="91"/>
      <c r="M821" s="91"/>
      <c r="N821" s="91"/>
      <c r="O821" s="80"/>
      <c r="P821" s="32"/>
      <c r="Q821" s="20">
        <f t="shared" si="127"/>
        <v>0</v>
      </c>
    </row>
    <row r="822" spans="1:17">
      <c r="A822" s="141"/>
      <c r="B822" s="143"/>
      <c r="C822" s="117" t="s">
        <v>17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80"/>
      <c r="P822" s="32"/>
      <c r="Q822" s="20">
        <f t="shared" si="127"/>
        <v>0</v>
      </c>
    </row>
    <row r="823" spans="1:17">
      <c r="A823" s="141"/>
      <c r="B823" s="143"/>
      <c r="C823" s="117" t="s">
        <v>18</v>
      </c>
      <c r="D823" s="90"/>
      <c r="E823" s="90"/>
      <c r="F823" s="90"/>
      <c r="G823" s="90"/>
      <c r="H823" s="91"/>
      <c r="I823" s="91"/>
      <c r="J823" s="91"/>
      <c r="K823" s="91"/>
      <c r="L823" s="91"/>
      <c r="M823" s="91"/>
      <c r="N823" s="91"/>
      <c r="O823" s="80"/>
      <c r="P823" s="32"/>
      <c r="Q823" s="20">
        <f t="shared" si="127"/>
        <v>0</v>
      </c>
    </row>
    <row r="824" spans="1:17">
      <c r="A824" s="141"/>
      <c r="B824" s="143"/>
      <c r="C824" s="120" t="s">
        <v>19</v>
      </c>
      <c r="D824" s="96"/>
      <c r="E824" s="96"/>
      <c r="F824" s="96"/>
      <c r="G824" s="96"/>
      <c r="H824" s="92"/>
      <c r="I824" s="92"/>
      <c r="J824" s="92"/>
      <c r="K824" s="92"/>
      <c r="L824" s="92"/>
      <c r="M824" s="92"/>
      <c r="N824" s="92"/>
      <c r="O824" s="18"/>
      <c r="P824" s="33"/>
      <c r="Q824" s="22">
        <f t="shared" si="127"/>
        <v>0</v>
      </c>
    </row>
    <row r="825" spans="1:17">
      <c r="A825" s="141"/>
      <c r="B825" s="143" t="s">
        <v>13</v>
      </c>
      <c r="C825" s="119" t="s">
        <v>10</v>
      </c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79"/>
      <c r="P825" s="27"/>
      <c r="Q825" s="21">
        <f t="shared" si="127"/>
        <v>0</v>
      </c>
    </row>
    <row r="826" spans="1:17">
      <c r="A826" s="141"/>
      <c r="B826" s="143"/>
      <c r="C826" s="116" t="s">
        <v>55</v>
      </c>
      <c r="D826" s="89"/>
      <c r="E826" s="89"/>
      <c r="F826" s="89"/>
      <c r="G826" s="89"/>
      <c r="H826" s="89"/>
      <c r="I826" s="89"/>
      <c r="J826" s="89"/>
      <c r="K826" s="89"/>
      <c r="L826" s="89"/>
      <c r="M826" s="89"/>
      <c r="N826" s="89"/>
      <c r="O826" s="17"/>
      <c r="P826" s="28"/>
      <c r="Q826" s="20">
        <f t="shared" si="127"/>
        <v>0</v>
      </c>
    </row>
    <row r="827" spans="1:17">
      <c r="A827" s="141"/>
      <c r="B827" s="143"/>
      <c r="C827" s="116" t="s">
        <v>56</v>
      </c>
      <c r="D827" s="89"/>
      <c r="E827" s="89"/>
      <c r="F827" s="89"/>
      <c r="G827" s="89"/>
      <c r="H827" s="89"/>
      <c r="I827" s="89"/>
      <c r="J827" s="89"/>
      <c r="K827" s="89"/>
      <c r="L827" s="89"/>
      <c r="M827" s="89"/>
      <c r="N827" s="89"/>
      <c r="O827" s="17"/>
      <c r="P827" s="28"/>
      <c r="Q827" s="20">
        <f t="shared" si="127"/>
        <v>0</v>
      </c>
    </row>
    <row r="828" spans="1:17">
      <c r="A828" s="141"/>
      <c r="B828" s="143"/>
      <c r="C828" s="120" t="s">
        <v>61</v>
      </c>
      <c r="D828" s="92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18"/>
      <c r="P828" s="33"/>
      <c r="Q828" s="22">
        <f t="shared" si="127"/>
        <v>0</v>
      </c>
    </row>
    <row r="829" spans="1:17">
      <c r="A829" s="141"/>
      <c r="B829" s="156" t="s">
        <v>54</v>
      </c>
      <c r="C829" s="157"/>
      <c r="D829" s="56">
        <f>SUM(D812:D819)-SUM(D823:D824)</f>
        <v>0</v>
      </c>
      <c r="E829" s="56">
        <f t="shared" ref="E829:O829" si="128">SUM(E812:E819)-SUM(E823:E824)</f>
        <v>0</v>
      </c>
      <c r="F829" s="56">
        <f t="shared" si="128"/>
        <v>0</v>
      </c>
      <c r="G829" s="56">
        <f>SUM(G812:G819)-SUM(G823:G824)</f>
        <v>0</v>
      </c>
      <c r="H829" s="56">
        <f t="shared" si="128"/>
        <v>0</v>
      </c>
      <c r="I829" s="56">
        <f t="shared" si="128"/>
        <v>0</v>
      </c>
      <c r="J829" s="56">
        <f t="shared" si="128"/>
        <v>0</v>
      </c>
      <c r="K829" s="56">
        <f t="shared" si="128"/>
        <v>0</v>
      </c>
      <c r="L829" s="56">
        <f t="shared" si="128"/>
        <v>0</v>
      </c>
      <c r="M829" s="56">
        <f t="shared" si="128"/>
        <v>0</v>
      </c>
      <c r="N829" s="56">
        <f t="shared" si="128"/>
        <v>0</v>
      </c>
      <c r="O829" s="57">
        <f t="shared" si="128"/>
        <v>0</v>
      </c>
      <c r="P829" s="60">
        <f>SUM(P812:P819)-SUM(P823:P824)</f>
        <v>0</v>
      </c>
      <c r="Q829" s="59">
        <f>SUM(D829:P829)</f>
        <v>0</v>
      </c>
    </row>
    <row r="830" spans="1:17" ht="14.25" thickBot="1">
      <c r="A830" s="142"/>
      <c r="B830" s="147" t="s">
        <v>5</v>
      </c>
      <c r="C830" s="148"/>
      <c r="D830" s="42">
        <f>SUM(D812:D819)-SUM(D820:D824)+SUM(D825:D828)</f>
        <v>0</v>
      </c>
      <c r="E830" s="42">
        <f>SUM(E812:E819)-SUM(E820:E824)+SUM(E825:E828)</f>
        <v>0</v>
      </c>
      <c r="F830" s="42">
        <f t="shared" ref="F830:O830" si="129">SUM(F812:F819)-SUM(F820:F824)+SUM(F825:F828)</f>
        <v>0</v>
      </c>
      <c r="G830" s="42">
        <f>SUM(G812:G819)-SUM(G820:G824)+SUM(G825:G828)</f>
        <v>0</v>
      </c>
      <c r="H830" s="42">
        <f t="shared" si="129"/>
        <v>0</v>
      </c>
      <c r="I830" s="42">
        <f t="shared" si="129"/>
        <v>0</v>
      </c>
      <c r="J830" s="42">
        <f t="shared" si="129"/>
        <v>0</v>
      </c>
      <c r="K830" s="42">
        <f t="shared" si="129"/>
        <v>0</v>
      </c>
      <c r="L830" s="42">
        <f t="shared" si="129"/>
        <v>0</v>
      </c>
      <c r="M830" s="42">
        <f t="shared" si="129"/>
        <v>0</v>
      </c>
      <c r="N830" s="42">
        <f t="shared" si="129"/>
        <v>0</v>
      </c>
      <c r="O830" s="43">
        <f t="shared" si="129"/>
        <v>0</v>
      </c>
      <c r="P830" s="44">
        <f>SUM(P812:P819)-SUM(P820:P824)+SUM(P825:P828)</f>
        <v>0</v>
      </c>
      <c r="Q830" s="46">
        <f t="shared" si="127"/>
        <v>0</v>
      </c>
    </row>
    <row r="831" spans="1:17">
      <c r="A831" s="140"/>
      <c r="B831" s="158" t="s">
        <v>12</v>
      </c>
      <c r="C831" s="114" t="s">
        <v>87</v>
      </c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78"/>
      <c r="P831" s="30"/>
      <c r="Q831" s="19">
        <f>SUM(D831:P831)</f>
        <v>0</v>
      </c>
    </row>
    <row r="832" spans="1:17">
      <c r="A832" s="141"/>
      <c r="B832" s="154"/>
      <c r="C832" s="115" t="s">
        <v>89</v>
      </c>
      <c r="D832" s="88"/>
      <c r="E832" s="88"/>
      <c r="F832" s="88"/>
      <c r="G832" s="88"/>
      <c r="H832" s="88"/>
      <c r="I832" s="88"/>
      <c r="J832" s="88"/>
      <c r="K832" s="88"/>
      <c r="L832" s="88"/>
      <c r="M832" s="88"/>
      <c r="N832" s="88"/>
      <c r="O832" s="81"/>
      <c r="P832" s="31"/>
      <c r="Q832" s="20">
        <f t="shared" ref="Q832:Q849" si="130">SUM(D832:P832)</f>
        <v>0</v>
      </c>
    </row>
    <row r="833" spans="1:17">
      <c r="A833" s="141"/>
      <c r="B833" s="143"/>
      <c r="C833" s="116" t="s">
        <v>88</v>
      </c>
      <c r="D833" s="89"/>
      <c r="E833" s="90"/>
      <c r="F833" s="90"/>
      <c r="G833" s="90"/>
      <c r="H833" s="89"/>
      <c r="I833" s="89"/>
      <c r="J833" s="89"/>
      <c r="K833" s="89"/>
      <c r="L833" s="89"/>
      <c r="M833" s="89"/>
      <c r="N833" s="89"/>
      <c r="O833" s="17"/>
      <c r="P833" s="28"/>
      <c r="Q833" s="20">
        <f t="shared" si="130"/>
        <v>0</v>
      </c>
    </row>
    <row r="834" spans="1:17">
      <c r="A834" s="141"/>
      <c r="B834" s="143"/>
      <c r="C834" s="117" t="s">
        <v>90</v>
      </c>
      <c r="D834" s="91"/>
      <c r="E834" s="89"/>
      <c r="F834" s="89"/>
      <c r="G834" s="91"/>
      <c r="H834" s="91"/>
      <c r="I834" s="91"/>
      <c r="J834" s="91"/>
      <c r="K834" s="91"/>
      <c r="L834" s="91"/>
      <c r="M834" s="91"/>
      <c r="N834" s="91"/>
      <c r="O834" s="80"/>
      <c r="P834" s="32"/>
      <c r="Q834" s="20">
        <f t="shared" si="130"/>
        <v>0</v>
      </c>
    </row>
    <row r="835" spans="1:17">
      <c r="A835" s="141"/>
      <c r="B835" s="143"/>
      <c r="C835" s="117" t="s">
        <v>91</v>
      </c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91"/>
      <c r="O835" s="80"/>
      <c r="P835" s="32"/>
      <c r="Q835" s="20">
        <f t="shared" si="130"/>
        <v>0</v>
      </c>
    </row>
    <row r="836" spans="1:17">
      <c r="A836" s="141"/>
      <c r="B836" s="143"/>
      <c r="C836" s="117" t="s">
        <v>92</v>
      </c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91"/>
      <c r="O836" s="80"/>
      <c r="P836" s="32"/>
      <c r="Q836" s="20">
        <f t="shared" si="130"/>
        <v>0</v>
      </c>
    </row>
    <row r="837" spans="1:17">
      <c r="A837" s="141"/>
      <c r="B837" s="143"/>
      <c r="C837" s="116" t="s">
        <v>93</v>
      </c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80"/>
      <c r="P837" s="32"/>
      <c r="Q837" s="20">
        <f t="shared" si="130"/>
        <v>0</v>
      </c>
    </row>
    <row r="838" spans="1:17">
      <c r="A838" s="141"/>
      <c r="B838" s="143"/>
      <c r="C838" s="118" t="s">
        <v>94</v>
      </c>
      <c r="D838" s="92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18"/>
      <c r="P838" s="33"/>
      <c r="Q838" s="22">
        <f t="shared" si="130"/>
        <v>0</v>
      </c>
    </row>
    <row r="839" spans="1:17">
      <c r="A839" s="141"/>
      <c r="B839" s="143" t="s">
        <v>11</v>
      </c>
      <c r="C839" s="119" t="s">
        <v>7</v>
      </c>
      <c r="D839" s="93"/>
      <c r="E839" s="93"/>
      <c r="F839" s="93"/>
      <c r="G839" s="93"/>
      <c r="H839" s="93"/>
      <c r="I839" s="93"/>
      <c r="J839" s="93"/>
      <c r="K839" s="93"/>
      <c r="L839" s="94"/>
      <c r="M839" s="94"/>
      <c r="N839" s="94"/>
      <c r="O839" s="79"/>
      <c r="P839" s="27"/>
      <c r="Q839" s="21">
        <f t="shared" si="130"/>
        <v>0</v>
      </c>
    </row>
    <row r="840" spans="1:17">
      <c r="A840" s="141"/>
      <c r="B840" s="143"/>
      <c r="C840" s="117" t="s">
        <v>4</v>
      </c>
      <c r="D840" s="95"/>
      <c r="E840" s="95"/>
      <c r="F840" s="95"/>
      <c r="G840" s="95"/>
      <c r="H840" s="95"/>
      <c r="I840" s="95"/>
      <c r="J840" s="95"/>
      <c r="K840" s="95"/>
      <c r="L840" s="91"/>
      <c r="M840" s="91"/>
      <c r="N840" s="91"/>
      <c r="O840" s="80"/>
      <c r="P840" s="32"/>
      <c r="Q840" s="20">
        <f t="shared" si="130"/>
        <v>0</v>
      </c>
    </row>
    <row r="841" spans="1:17">
      <c r="A841" s="141"/>
      <c r="B841" s="143"/>
      <c r="C841" s="117" t="s">
        <v>17</v>
      </c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80"/>
      <c r="P841" s="32"/>
      <c r="Q841" s="20">
        <f t="shared" si="130"/>
        <v>0</v>
      </c>
    </row>
    <row r="842" spans="1:17">
      <c r="A842" s="141"/>
      <c r="B842" s="143"/>
      <c r="C842" s="117" t="s">
        <v>18</v>
      </c>
      <c r="D842" s="90"/>
      <c r="E842" s="90"/>
      <c r="F842" s="90"/>
      <c r="G842" s="90"/>
      <c r="H842" s="91"/>
      <c r="I842" s="91"/>
      <c r="J842" s="91"/>
      <c r="K842" s="91"/>
      <c r="L842" s="91"/>
      <c r="M842" s="91"/>
      <c r="N842" s="91"/>
      <c r="O842" s="80"/>
      <c r="P842" s="32"/>
      <c r="Q842" s="20">
        <f t="shared" si="130"/>
        <v>0</v>
      </c>
    </row>
    <row r="843" spans="1:17">
      <c r="A843" s="141"/>
      <c r="B843" s="143"/>
      <c r="C843" s="120" t="s">
        <v>19</v>
      </c>
      <c r="D843" s="96"/>
      <c r="E843" s="96"/>
      <c r="F843" s="96"/>
      <c r="G843" s="96"/>
      <c r="H843" s="92"/>
      <c r="I843" s="92"/>
      <c r="J843" s="92"/>
      <c r="K843" s="92"/>
      <c r="L843" s="92"/>
      <c r="M843" s="92"/>
      <c r="N843" s="92"/>
      <c r="O843" s="18"/>
      <c r="P843" s="33"/>
      <c r="Q843" s="22">
        <f t="shared" si="130"/>
        <v>0</v>
      </c>
    </row>
    <row r="844" spans="1:17">
      <c r="A844" s="141"/>
      <c r="B844" s="143" t="s">
        <v>13</v>
      </c>
      <c r="C844" s="119" t="s">
        <v>10</v>
      </c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79"/>
      <c r="P844" s="27"/>
      <c r="Q844" s="21">
        <f t="shared" si="130"/>
        <v>0</v>
      </c>
    </row>
    <row r="845" spans="1:17">
      <c r="A845" s="141"/>
      <c r="B845" s="143"/>
      <c r="C845" s="116" t="s">
        <v>55</v>
      </c>
      <c r="D845" s="89"/>
      <c r="E845" s="89"/>
      <c r="F845" s="89"/>
      <c r="G845" s="89"/>
      <c r="H845" s="89"/>
      <c r="I845" s="89"/>
      <c r="J845" s="89"/>
      <c r="K845" s="89"/>
      <c r="L845" s="89"/>
      <c r="M845" s="89"/>
      <c r="N845" s="89"/>
      <c r="O845" s="17"/>
      <c r="P845" s="28"/>
      <c r="Q845" s="20">
        <f t="shared" si="130"/>
        <v>0</v>
      </c>
    </row>
    <row r="846" spans="1:17">
      <c r="A846" s="141"/>
      <c r="B846" s="143"/>
      <c r="C846" s="116" t="s">
        <v>56</v>
      </c>
      <c r="D846" s="89"/>
      <c r="E846" s="89"/>
      <c r="F846" s="89"/>
      <c r="G846" s="89"/>
      <c r="H846" s="89"/>
      <c r="I846" s="89"/>
      <c r="J846" s="89"/>
      <c r="K846" s="89"/>
      <c r="L846" s="89"/>
      <c r="M846" s="89"/>
      <c r="N846" s="89"/>
      <c r="O846" s="17"/>
      <c r="P846" s="28"/>
      <c r="Q846" s="20">
        <f t="shared" si="130"/>
        <v>0</v>
      </c>
    </row>
    <row r="847" spans="1:17">
      <c r="A847" s="141"/>
      <c r="B847" s="143"/>
      <c r="C847" s="120" t="s">
        <v>61</v>
      </c>
      <c r="D847" s="92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18"/>
      <c r="P847" s="33"/>
      <c r="Q847" s="22">
        <f t="shared" si="130"/>
        <v>0</v>
      </c>
    </row>
    <row r="848" spans="1:17">
      <c r="A848" s="141"/>
      <c r="B848" s="156" t="s">
        <v>54</v>
      </c>
      <c r="C848" s="157"/>
      <c r="D848" s="56">
        <f>SUM(D831:D838)-SUM(D842:D843)</f>
        <v>0</v>
      </c>
      <c r="E848" s="56">
        <f t="shared" ref="E848:O848" si="131">SUM(E831:E838)-SUM(E842:E843)</f>
        <v>0</v>
      </c>
      <c r="F848" s="56">
        <f t="shared" si="131"/>
        <v>0</v>
      </c>
      <c r="G848" s="56">
        <f>SUM(G831:G838)-SUM(G842:G843)</f>
        <v>0</v>
      </c>
      <c r="H848" s="56">
        <f t="shared" si="131"/>
        <v>0</v>
      </c>
      <c r="I848" s="56">
        <f t="shared" si="131"/>
        <v>0</v>
      </c>
      <c r="J848" s="56">
        <f t="shared" si="131"/>
        <v>0</v>
      </c>
      <c r="K848" s="56">
        <f t="shared" si="131"/>
        <v>0</v>
      </c>
      <c r="L848" s="56">
        <f t="shared" si="131"/>
        <v>0</v>
      </c>
      <c r="M848" s="56">
        <f t="shared" si="131"/>
        <v>0</v>
      </c>
      <c r="N848" s="56">
        <f t="shared" si="131"/>
        <v>0</v>
      </c>
      <c r="O848" s="57">
        <f t="shared" si="131"/>
        <v>0</v>
      </c>
      <c r="P848" s="60">
        <f>SUM(P831:P838)-SUM(P842:P843)</f>
        <v>0</v>
      </c>
      <c r="Q848" s="59">
        <f>SUM(D848:P848)</f>
        <v>0</v>
      </c>
    </row>
    <row r="849" spans="1:17" ht="14.25" thickBot="1">
      <c r="A849" s="142"/>
      <c r="B849" s="147" t="s">
        <v>5</v>
      </c>
      <c r="C849" s="148"/>
      <c r="D849" s="42">
        <f>SUM(D831:D838)-SUM(D839:D843)+SUM(D844:D847)</f>
        <v>0</v>
      </c>
      <c r="E849" s="42">
        <f>SUM(E831:E838)-SUM(E839:E843)+SUM(E844:E847)</f>
        <v>0</v>
      </c>
      <c r="F849" s="42">
        <f t="shared" ref="F849:O849" si="132">SUM(F831:F838)-SUM(F839:F843)+SUM(F844:F847)</f>
        <v>0</v>
      </c>
      <c r="G849" s="42">
        <f>SUM(G831:G838)-SUM(G839:G843)+SUM(G844:G847)</f>
        <v>0</v>
      </c>
      <c r="H849" s="42">
        <f t="shared" si="132"/>
        <v>0</v>
      </c>
      <c r="I849" s="42">
        <f t="shared" si="132"/>
        <v>0</v>
      </c>
      <c r="J849" s="42">
        <f t="shared" si="132"/>
        <v>0</v>
      </c>
      <c r="K849" s="42">
        <f t="shared" si="132"/>
        <v>0</v>
      </c>
      <c r="L849" s="42">
        <f t="shared" si="132"/>
        <v>0</v>
      </c>
      <c r="M849" s="42">
        <f t="shared" si="132"/>
        <v>0</v>
      </c>
      <c r="N849" s="42">
        <f t="shared" si="132"/>
        <v>0</v>
      </c>
      <c r="O849" s="43">
        <f t="shared" si="132"/>
        <v>0</v>
      </c>
      <c r="P849" s="44">
        <f>SUM(P831:P838)-SUM(P839:P843)+SUM(P844:P847)</f>
        <v>0</v>
      </c>
      <c r="Q849" s="46">
        <f t="shared" si="130"/>
        <v>0</v>
      </c>
    </row>
    <row r="850" spans="1:17">
      <c r="A850" s="140"/>
      <c r="B850" s="158" t="s">
        <v>12</v>
      </c>
      <c r="C850" s="114" t="s">
        <v>87</v>
      </c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78"/>
      <c r="P850" s="30"/>
      <c r="Q850" s="19">
        <f>SUM(D850:P850)</f>
        <v>0</v>
      </c>
    </row>
    <row r="851" spans="1:17">
      <c r="A851" s="141"/>
      <c r="B851" s="154"/>
      <c r="C851" s="115" t="s">
        <v>89</v>
      </c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1"/>
      <c r="P851" s="31"/>
      <c r="Q851" s="20">
        <f t="shared" ref="Q851:Q868" si="133">SUM(D851:P851)</f>
        <v>0</v>
      </c>
    </row>
    <row r="852" spans="1:17">
      <c r="A852" s="141"/>
      <c r="B852" s="143"/>
      <c r="C852" s="116" t="s">
        <v>88</v>
      </c>
      <c r="D852" s="89"/>
      <c r="E852" s="90"/>
      <c r="F852" s="90"/>
      <c r="G852" s="90"/>
      <c r="H852" s="89"/>
      <c r="I852" s="89"/>
      <c r="J852" s="89"/>
      <c r="K852" s="89"/>
      <c r="L852" s="89"/>
      <c r="M852" s="89"/>
      <c r="N852" s="89"/>
      <c r="O852" s="17"/>
      <c r="P852" s="28"/>
      <c r="Q852" s="20">
        <f t="shared" si="133"/>
        <v>0</v>
      </c>
    </row>
    <row r="853" spans="1:17">
      <c r="A853" s="141"/>
      <c r="B853" s="143"/>
      <c r="C853" s="117" t="s">
        <v>90</v>
      </c>
      <c r="D853" s="91"/>
      <c r="E853" s="89"/>
      <c r="F853" s="89"/>
      <c r="G853" s="91"/>
      <c r="H853" s="91"/>
      <c r="I853" s="91"/>
      <c r="J853" s="91"/>
      <c r="K853" s="91"/>
      <c r="L853" s="91"/>
      <c r="M853" s="91"/>
      <c r="N853" s="91"/>
      <c r="O853" s="80"/>
      <c r="P853" s="32"/>
      <c r="Q853" s="20">
        <f t="shared" si="133"/>
        <v>0</v>
      </c>
    </row>
    <row r="854" spans="1:17">
      <c r="A854" s="141"/>
      <c r="B854" s="143"/>
      <c r="C854" s="117" t="s">
        <v>91</v>
      </c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80"/>
      <c r="P854" s="32"/>
      <c r="Q854" s="20">
        <f t="shared" si="133"/>
        <v>0</v>
      </c>
    </row>
    <row r="855" spans="1:17">
      <c r="A855" s="141"/>
      <c r="B855" s="143"/>
      <c r="C855" s="117" t="s">
        <v>92</v>
      </c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80"/>
      <c r="P855" s="32"/>
      <c r="Q855" s="20">
        <f t="shared" si="133"/>
        <v>0</v>
      </c>
    </row>
    <row r="856" spans="1:17">
      <c r="A856" s="141"/>
      <c r="B856" s="143"/>
      <c r="C856" s="116" t="s">
        <v>93</v>
      </c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80"/>
      <c r="P856" s="32"/>
      <c r="Q856" s="20">
        <f t="shared" si="133"/>
        <v>0</v>
      </c>
    </row>
    <row r="857" spans="1:17">
      <c r="A857" s="141"/>
      <c r="B857" s="143"/>
      <c r="C857" s="118" t="s">
        <v>94</v>
      </c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18"/>
      <c r="P857" s="33"/>
      <c r="Q857" s="22">
        <f t="shared" si="133"/>
        <v>0</v>
      </c>
    </row>
    <row r="858" spans="1:17">
      <c r="A858" s="141"/>
      <c r="B858" s="143" t="s">
        <v>11</v>
      </c>
      <c r="C858" s="119" t="s">
        <v>7</v>
      </c>
      <c r="D858" s="93"/>
      <c r="E858" s="93"/>
      <c r="F858" s="93"/>
      <c r="G858" s="93"/>
      <c r="H858" s="93"/>
      <c r="I858" s="93"/>
      <c r="J858" s="93"/>
      <c r="K858" s="93"/>
      <c r="L858" s="94"/>
      <c r="M858" s="94"/>
      <c r="N858" s="94"/>
      <c r="O858" s="79"/>
      <c r="P858" s="27"/>
      <c r="Q858" s="21">
        <f t="shared" si="133"/>
        <v>0</v>
      </c>
    </row>
    <row r="859" spans="1:17">
      <c r="A859" s="141"/>
      <c r="B859" s="143"/>
      <c r="C859" s="117" t="s">
        <v>4</v>
      </c>
      <c r="D859" s="95"/>
      <c r="E859" s="95"/>
      <c r="F859" s="95"/>
      <c r="G859" s="95"/>
      <c r="H859" s="95"/>
      <c r="I859" s="95"/>
      <c r="J859" s="95"/>
      <c r="K859" s="95"/>
      <c r="L859" s="91"/>
      <c r="M859" s="91"/>
      <c r="N859" s="91"/>
      <c r="O859" s="80"/>
      <c r="P859" s="32"/>
      <c r="Q859" s="20">
        <f t="shared" si="133"/>
        <v>0</v>
      </c>
    </row>
    <row r="860" spans="1:17">
      <c r="A860" s="141"/>
      <c r="B860" s="143"/>
      <c r="C860" s="117" t="s">
        <v>17</v>
      </c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80"/>
      <c r="P860" s="32"/>
      <c r="Q860" s="20">
        <f t="shared" si="133"/>
        <v>0</v>
      </c>
    </row>
    <row r="861" spans="1:17">
      <c r="A861" s="141"/>
      <c r="B861" s="143"/>
      <c r="C861" s="117" t="s">
        <v>18</v>
      </c>
      <c r="D861" s="90"/>
      <c r="E861" s="90"/>
      <c r="F861" s="90"/>
      <c r="G861" s="90"/>
      <c r="H861" s="91"/>
      <c r="I861" s="91"/>
      <c r="J861" s="91"/>
      <c r="K861" s="91"/>
      <c r="L861" s="91"/>
      <c r="M861" s="91"/>
      <c r="N861" s="91"/>
      <c r="O861" s="80"/>
      <c r="P861" s="32"/>
      <c r="Q861" s="20">
        <f t="shared" si="133"/>
        <v>0</v>
      </c>
    </row>
    <row r="862" spans="1:17">
      <c r="A862" s="141"/>
      <c r="B862" s="143"/>
      <c r="C862" s="120" t="s">
        <v>19</v>
      </c>
      <c r="D862" s="96"/>
      <c r="E862" s="96"/>
      <c r="F862" s="96"/>
      <c r="G862" s="96"/>
      <c r="H862" s="92"/>
      <c r="I862" s="92"/>
      <c r="J862" s="92"/>
      <c r="K862" s="92"/>
      <c r="L862" s="92"/>
      <c r="M862" s="92"/>
      <c r="N862" s="92"/>
      <c r="O862" s="18"/>
      <c r="P862" s="33"/>
      <c r="Q862" s="22">
        <f t="shared" si="133"/>
        <v>0</v>
      </c>
    </row>
    <row r="863" spans="1:17">
      <c r="A863" s="141"/>
      <c r="B863" s="143" t="s">
        <v>13</v>
      </c>
      <c r="C863" s="119" t="s">
        <v>10</v>
      </c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79"/>
      <c r="P863" s="27"/>
      <c r="Q863" s="21">
        <f t="shared" si="133"/>
        <v>0</v>
      </c>
    </row>
    <row r="864" spans="1:17">
      <c r="A864" s="141"/>
      <c r="B864" s="143"/>
      <c r="C864" s="116" t="s">
        <v>55</v>
      </c>
      <c r="D864" s="89"/>
      <c r="E864" s="89"/>
      <c r="F864" s="89"/>
      <c r="G864" s="89"/>
      <c r="H864" s="89"/>
      <c r="I864" s="89"/>
      <c r="J864" s="89"/>
      <c r="K864" s="89"/>
      <c r="L864" s="89"/>
      <c r="M864" s="89"/>
      <c r="N864" s="89"/>
      <c r="O864" s="17"/>
      <c r="P864" s="28"/>
      <c r="Q864" s="20">
        <f t="shared" si="133"/>
        <v>0</v>
      </c>
    </row>
    <row r="865" spans="1:17">
      <c r="A865" s="141"/>
      <c r="B865" s="143"/>
      <c r="C865" s="116" t="s">
        <v>56</v>
      </c>
      <c r="D865" s="89"/>
      <c r="E865" s="89"/>
      <c r="F865" s="89"/>
      <c r="G865" s="89"/>
      <c r="H865" s="89"/>
      <c r="I865" s="89"/>
      <c r="J865" s="89"/>
      <c r="K865" s="89"/>
      <c r="L865" s="89"/>
      <c r="M865" s="89"/>
      <c r="N865" s="89"/>
      <c r="O865" s="17"/>
      <c r="P865" s="28"/>
      <c r="Q865" s="20">
        <f t="shared" si="133"/>
        <v>0</v>
      </c>
    </row>
    <row r="866" spans="1:17">
      <c r="A866" s="141"/>
      <c r="B866" s="143"/>
      <c r="C866" s="120" t="s">
        <v>61</v>
      </c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18"/>
      <c r="P866" s="33"/>
      <c r="Q866" s="22">
        <f t="shared" si="133"/>
        <v>0</v>
      </c>
    </row>
    <row r="867" spans="1:17">
      <c r="A867" s="141"/>
      <c r="B867" s="156" t="s">
        <v>54</v>
      </c>
      <c r="C867" s="157"/>
      <c r="D867" s="56">
        <f>SUM(D850:D857)-SUM(D861:D862)</f>
        <v>0</v>
      </c>
      <c r="E867" s="56">
        <f t="shared" ref="E867:O867" si="134">SUM(E850:E857)-SUM(E861:E862)</f>
        <v>0</v>
      </c>
      <c r="F867" s="56">
        <f t="shared" si="134"/>
        <v>0</v>
      </c>
      <c r="G867" s="56">
        <f>SUM(G850:G857)-SUM(G861:G862)</f>
        <v>0</v>
      </c>
      <c r="H867" s="56">
        <f t="shared" si="134"/>
        <v>0</v>
      </c>
      <c r="I867" s="56">
        <f t="shared" si="134"/>
        <v>0</v>
      </c>
      <c r="J867" s="56">
        <f t="shared" si="134"/>
        <v>0</v>
      </c>
      <c r="K867" s="56">
        <f t="shared" si="134"/>
        <v>0</v>
      </c>
      <c r="L867" s="56">
        <f t="shared" si="134"/>
        <v>0</v>
      </c>
      <c r="M867" s="56">
        <f t="shared" si="134"/>
        <v>0</v>
      </c>
      <c r="N867" s="56">
        <f t="shared" si="134"/>
        <v>0</v>
      </c>
      <c r="O867" s="57">
        <f t="shared" si="134"/>
        <v>0</v>
      </c>
      <c r="P867" s="60">
        <f>SUM(P850:P857)-SUM(P861:P862)</f>
        <v>0</v>
      </c>
      <c r="Q867" s="59">
        <f>SUM(D867:P867)</f>
        <v>0</v>
      </c>
    </row>
    <row r="868" spans="1:17" ht="14.25" thickBot="1">
      <c r="A868" s="142"/>
      <c r="B868" s="147" t="s">
        <v>5</v>
      </c>
      <c r="C868" s="148"/>
      <c r="D868" s="42">
        <f>SUM(D850:D857)-SUM(D858:D862)+SUM(D863:D866)</f>
        <v>0</v>
      </c>
      <c r="E868" s="42">
        <f>SUM(E850:E857)-SUM(E858:E862)+SUM(E863:E866)</f>
        <v>0</v>
      </c>
      <c r="F868" s="42">
        <f t="shared" ref="F868:O868" si="135">SUM(F850:F857)-SUM(F858:F862)+SUM(F863:F866)</f>
        <v>0</v>
      </c>
      <c r="G868" s="42">
        <f>SUM(G850:G857)-SUM(G858:G862)+SUM(G863:G866)</f>
        <v>0</v>
      </c>
      <c r="H868" s="42">
        <f t="shared" si="135"/>
        <v>0</v>
      </c>
      <c r="I868" s="42">
        <f t="shared" si="135"/>
        <v>0</v>
      </c>
      <c r="J868" s="42">
        <f t="shared" si="135"/>
        <v>0</v>
      </c>
      <c r="K868" s="42">
        <f t="shared" si="135"/>
        <v>0</v>
      </c>
      <c r="L868" s="42">
        <f t="shared" si="135"/>
        <v>0</v>
      </c>
      <c r="M868" s="42">
        <f t="shared" si="135"/>
        <v>0</v>
      </c>
      <c r="N868" s="42">
        <f t="shared" si="135"/>
        <v>0</v>
      </c>
      <c r="O868" s="43">
        <f t="shared" si="135"/>
        <v>0</v>
      </c>
      <c r="P868" s="44">
        <f>SUM(P850:P857)-SUM(P858:P862)+SUM(P863:P866)</f>
        <v>0</v>
      </c>
      <c r="Q868" s="46">
        <f t="shared" si="133"/>
        <v>0</v>
      </c>
    </row>
    <row r="869" spans="1:17">
      <c r="A869" s="140"/>
      <c r="B869" s="158" t="s">
        <v>12</v>
      </c>
      <c r="C869" s="114" t="s">
        <v>87</v>
      </c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78"/>
      <c r="P869" s="30"/>
      <c r="Q869" s="19">
        <f>SUM(D869:P869)</f>
        <v>0</v>
      </c>
    </row>
    <row r="870" spans="1:17">
      <c r="A870" s="141"/>
      <c r="B870" s="154"/>
      <c r="C870" s="115" t="s">
        <v>89</v>
      </c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1"/>
      <c r="P870" s="31"/>
      <c r="Q870" s="20">
        <f t="shared" ref="Q870:Q887" si="136">SUM(D870:P870)</f>
        <v>0</v>
      </c>
    </row>
    <row r="871" spans="1:17">
      <c r="A871" s="141"/>
      <c r="B871" s="143"/>
      <c r="C871" s="116" t="s">
        <v>88</v>
      </c>
      <c r="D871" s="89"/>
      <c r="E871" s="90"/>
      <c r="F871" s="90"/>
      <c r="G871" s="90"/>
      <c r="H871" s="89"/>
      <c r="I871" s="89"/>
      <c r="J871" s="89"/>
      <c r="K871" s="89"/>
      <c r="L871" s="89"/>
      <c r="M871" s="89"/>
      <c r="N871" s="89"/>
      <c r="O871" s="17"/>
      <c r="P871" s="28"/>
      <c r="Q871" s="20">
        <f t="shared" si="136"/>
        <v>0</v>
      </c>
    </row>
    <row r="872" spans="1:17">
      <c r="A872" s="141"/>
      <c r="B872" s="143"/>
      <c r="C872" s="117" t="s">
        <v>90</v>
      </c>
      <c r="D872" s="91"/>
      <c r="E872" s="89"/>
      <c r="F872" s="89"/>
      <c r="G872" s="91"/>
      <c r="H872" s="91"/>
      <c r="I872" s="91"/>
      <c r="J872" s="91"/>
      <c r="K872" s="91"/>
      <c r="L872" s="91"/>
      <c r="M872" s="91"/>
      <c r="N872" s="91"/>
      <c r="O872" s="80"/>
      <c r="P872" s="32"/>
      <c r="Q872" s="20">
        <f t="shared" si="136"/>
        <v>0</v>
      </c>
    </row>
    <row r="873" spans="1:17">
      <c r="A873" s="141"/>
      <c r="B873" s="143"/>
      <c r="C873" s="117" t="s">
        <v>91</v>
      </c>
      <c r="D873" s="91"/>
      <c r="E873" s="91"/>
      <c r="F873" s="91"/>
      <c r="G873" s="91"/>
      <c r="H873" s="91"/>
      <c r="I873" s="91"/>
      <c r="J873" s="91"/>
      <c r="K873" s="91"/>
      <c r="L873" s="91"/>
      <c r="M873" s="91"/>
      <c r="N873" s="91"/>
      <c r="O873" s="80"/>
      <c r="P873" s="32"/>
      <c r="Q873" s="20">
        <f t="shared" si="136"/>
        <v>0</v>
      </c>
    </row>
    <row r="874" spans="1:17">
      <c r="A874" s="141"/>
      <c r="B874" s="143"/>
      <c r="C874" s="117" t="s">
        <v>92</v>
      </c>
      <c r="D874" s="91"/>
      <c r="E874" s="91"/>
      <c r="F874" s="91"/>
      <c r="G874" s="91"/>
      <c r="H874" s="91"/>
      <c r="I874" s="91"/>
      <c r="J874" s="91"/>
      <c r="K874" s="91"/>
      <c r="L874" s="91"/>
      <c r="M874" s="91"/>
      <c r="N874" s="91"/>
      <c r="O874" s="80"/>
      <c r="P874" s="32"/>
      <c r="Q874" s="20">
        <f t="shared" si="136"/>
        <v>0</v>
      </c>
    </row>
    <row r="875" spans="1:17">
      <c r="A875" s="141"/>
      <c r="B875" s="143"/>
      <c r="C875" s="116" t="s">
        <v>93</v>
      </c>
      <c r="D875" s="91"/>
      <c r="E875" s="91"/>
      <c r="F875" s="91"/>
      <c r="G875" s="91"/>
      <c r="H875" s="91"/>
      <c r="I875" s="91"/>
      <c r="J875" s="91"/>
      <c r="K875" s="91"/>
      <c r="L875" s="91"/>
      <c r="M875" s="91"/>
      <c r="N875" s="91"/>
      <c r="O875" s="80"/>
      <c r="P875" s="32"/>
      <c r="Q875" s="20">
        <f t="shared" si="136"/>
        <v>0</v>
      </c>
    </row>
    <row r="876" spans="1:17">
      <c r="A876" s="141"/>
      <c r="B876" s="143"/>
      <c r="C876" s="118" t="s">
        <v>94</v>
      </c>
      <c r="D876" s="92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18"/>
      <c r="P876" s="33"/>
      <c r="Q876" s="22">
        <f t="shared" si="136"/>
        <v>0</v>
      </c>
    </row>
    <row r="877" spans="1:17">
      <c r="A877" s="141"/>
      <c r="B877" s="143" t="s">
        <v>11</v>
      </c>
      <c r="C877" s="119" t="s">
        <v>7</v>
      </c>
      <c r="D877" s="93"/>
      <c r="E877" s="93"/>
      <c r="F877" s="93"/>
      <c r="G877" s="93"/>
      <c r="H877" s="93"/>
      <c r="I877" s="93"/>
      <c r="J877" s="93"/>
      <c r="K877" s="93"/>
      <c r="L877" s="94"/>
      <c r="M877" s="94"/>
      <c r="N877" s="94"/>
      <c r="O877" s="79"/>
      <c r="P877" s="27"/>
      <c r="Q877" s="21">
        <f t="shared" si="136"/>
        <v>0</v>
      </c>
    </row>
    <row r="878" spans="1:17">
      <c r="A878" s="141"/>
      <c r="B878" s="143"/>
      <c r="C878" s="117" t="s">
        <v>4</v>
      </c>
      <c r="D878" s="95"/>
      <c r="E878" s="95"/>
      <c r="F878" s="95"/>
      <c r="G878" s="95"/>
      <c r="H878" s="95"/>
      <c r="I878" s="95"/>
      <c r="J878" s="95"/>
      <c r="K878" s="95"/>
      <c r="L878" s="91"/>
      <c r="M878" s="91"/>
      <c r="N878" s="91"/>
      <c r="O878" s="80"/>
      <c r="P878" s="32"/>
      <c r="Q878" s="20">
        <f t="shared" si="136"/>
        <v>0</v>
      </c>
    </row>
    <row r="879" spans="1:17">
      <c r="A879" s="141"/>
      <c r="B879" s="143"/>
      <c r="C879" s="117" t="s">
        <v>17</v>
      </c>
      <c r="D879" s="91"/>
      <c r="E879" s="91"/>
      <c r="F879" s="91"/>
      <c r="G879" s="91"/>
      <c r="H879" s="91"/>
      <c r="I879" s="91"/>
      <c r="J879" s="91"/>
      <c r="K879" s="91"/>
      <c r="L879" s="91"/>
      <c r="M879" s="91"/>
      <c r="N879" s="91"/>
      <c r="O879" s="80"/>
      <c r="P879" s="32"/>
      <c r="Q879" s="20">
        <f t="shared" si="136"/>
        <v>0</v>
      </c>
    </row>
    <row r="880" spans="1:17">
      <c r="A880" s="141"/>
      <c r="B880" s="143"/>
      <c r="C880" s="117" t="s">
        <v>18</v>
      </c>
      <c r="D880" s="90"/>
      <c r="E880" s="90"/>
      <c r="F880" s="90"/>
      <c r="G880" s="90"/>
      <c r="H880" s="91"/>
      <c r="I880" s="91"/>
      <c r="J880" s="91"/>
      <c r="K880" s="91"/>
      <c r="L880" s="91"/>
      <c r="M880" s="91"/>
      <c r="N880" s="91"/>
      <c r="O880" s="80"/>
      <c r="P880" s="32"/>
      <c r="Q880" s="20">
        <f t="shared" si="136"/>
        <v>0</v>
      </c>
    </row>
    <row r="881" spans="1:17">
      <c r="A881" s="141"/>
      <c r="B881" s="143"/>
      <c r="C881" s="120" t="s">
        <v>19</v>
      </c>
      <c r="D881" s="96"/>
      <c r="E881" s="96"/>
      <c r="F881" s="96"/>
      <c r="G881" s="96"/>
      <c r="H881" s="92"/>
      <c r="I881" s="92"/>
      <c r="J881" s="92"/>
      <c r="K881" s="92"/>
      <c r="L881" s="92"/>
      <c r="M881" s="92"/>
      <c r="N881" s="92"/>
      <c r="O881" s="18"/>
      <c r="P881" s="33"/>
      <c r="Q881" s="22">
        <f t="shared" si="136"/>
        <v>0</v>
      </c>
    </row>
    <row r="882" spans="1:17">
      <c r="A882" s="141"/>
      <c r="B882" s="143" t="s">
        <v>13</v>
      </c>
      <c r="C882" s="119" t="s">
        <v>10</v>
      </c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79"/>
      <c r="P882" s="27"/>
      <c r="Q882" s="21">
        <f t="shared" si="136"/>
        <v>0</v>
      </c>
    </row>
    <row r="883" spans="1:17">
      <c r="A883" s="141"/>
      <c r="B883" s="143"/>
      <c r="C883" s="116" t="s">
        <v>55</v>
      </c>
      <c r="D883" s="89"/>
      <c r="E883" s="89"/>
      <c r="F883" s="89"/>
      <c r="G883" s="89"/>
      <c r="H883" s="89"/>
      <c r="I883" s="89"/>
      <c r="J883" s="89"/>
      <c r="K883" s="89"/>
      <c r="L883" s="89"/>
      <c r="M883" s="89"/>
      <c r="N883" s="89"/>
      <c r="O883" s="17"/>
      <c r="P883" s="28"/>
      <c r="Q883" s="20">
        <f t="shared" si="136"/>
        <v>0</v>
      </c>
    </row>
    <row r="884" spans="1:17">
      <c r="A884" s="141"/>
      <c r="B884" s="143"/>
      <c r="C884" s="116" t="s">
        <v>56</v>
      </c>
      <c r="D884" s="89"/>
      <c r="E884" s="89"/>
      <c r="F884" s="89"/>
      <c r="G884" s="89"/>
      <c r="H884" s="89"/>
      <c r="I884" s="89"/>
      <c r="J884" s="89"/>
      <c r="K884" s="89"/>
      <c r="L884" s="89"/>
      <c r="M884" s="89"/>
      <c r="N884" s="89"/>
      <c r="O884" s="17"/>
      <c r="P884" s="28"/>
      <c r="Q884" s="20">
        <f t="shared" si="136"/>
        <v>0</v>
      </c>
    </row>
    <row r="885" spans="1:17">
      <c r="A885" s="141"/>
      <c r="B885" s="143"/>
      <c r="C885" s="120" t="s">
        <v>61</v>
      </c>
      <c r="D885" s="92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18"/>
      <c r="P885" s="33"/>
      <c r="Q885" s="22">
        <f t="shared" si="136"/>
        <v>0</v>
      </c>
    </row>
    <row r="886" spans="1:17">
      <c r="A886" s="141"/>
      <c r="B886" s="156" t="s">
        <v>54</v>
      </c>
      <c r="C886" s="157"/>
      <c r="D886" s="56">
        <f>SUM(D869:D876)-SUM(D880:D881)</f>
        <v>0</v>
      </c>
      <c r="E886" s="56">
        <f t="shared" ref="E886:O886" si="137">SUM(E869:E876)-SUM(E880:E881)</f>
        <v>0</v>
      </c>
      <c r="F886" s="56">
        <f t="shared" si="137"/>
        <v>0</v>
      </c>
      <c r="G886" s="56">
        <f>SUM(G869:G876)-SUM(G880:G881)</f>
        <v>0</v>
      </c>
      <c r="H886" s="56">
        <f t="shared" si="137"/>
        <v>0</v>
      </c>
      <c r="I886" s="56">
        <f t="shared" si="137"/>
        <v>0</v>
      </c>
      <c r="J886" s="56">
        <f t="shared" si="137"/>
        <v>0</v>
      </c>
      <c r="K886" s="56">
        <f t="shared" si="137"/>
        <v>0</v>
      </c>
      <c r="L886" s="56">
        <f t="shared" si="137"/>
        <v>0</v>
      </c>
      <c r="M886" s="56">
        <f t="shared" si="137"/>
        <v>0</v>
      </c>
      <c r="N886" s="56">
        <f t="shared" si="137"/>
        <v>0</v>
      </c>
      <c r="O886" s="57">
        <f t="shared" si="137"/>
        <v>0</v>
      </c>
      <c r="P886" s="60">
        <f>SUM(P869:P876)-SUM(P880:P881)</f>
        <v>0</v>
      </c>
      <c r="Q886" s="59">
        <f>SUM(D886:P886)</f>
        <v>0</v>
      </c>
    </row>
    <row r="887" spans="1:17" ht="14.25" thickBot="1">
      <c r="A887" s="142"/>
      <c r="B887" s="147" t="s">
        <v>5</v>
      </c>
      <c r="C887" s="148"/>
      <c r="D887" s="42">
        <f>SUM(D869:D876)-SUM(D877:D881)+SUM(D882:D885)</f>
        <v>0</v>
      </c>
      <c r="E887" s="42">
        <f>SUM(E869:E876)-SUM(E877:E881)+SUM(E882:E885)</f>
        <v>0</v>
      </c>
      <c r="F887" s="42">
        <f t="shared" ref="F887:O887" si="138">SUM(F869:F876)-SUM(F877:F881)+SUM(F882:F885)</f>
        <v>0</v>
      </c>
      <c r="G887" s="42">
        <f>SUM(G869:G876)-SUM(G877:G881)+SUM(G882:G885)</f>
        <v>0</v>
      </c>
      <c r="H887" s="42">
        <f t="shared" si="138"/>
        <v>0</v>
      </c>
      <c r="I887" s="42">
        <f t="shared" si="138"/>
        <v>0</v>
      </c>
      <c r="J887" s="42">
        <f t="shared" si="138"/>
        <v>0</v>
      </c>
      <c r="K887" s="42">
        <f t="shared" si="138"/>
        <v>0</v>
      </c>
      <c r="L887" s="42">
        <f t="shared" si="138"/>
        <v>0</v>
      </c>
      <c r="M887" s="42">
        <f t="shared" si="138"/>
        <v>0</v>
      </c>
      <c r="N887" s="42">
        <f t="shared" si="138"/>
        <v>0</v>
      </c>
      <c r="O887" s="43">
        <f t="shared" si="138"/>
        <v>0</v>
      </c>
      <c r="P887" s="44">
        <f>SUM(P869:P876)-SUM(P877:P881)+SUM(P882:P885)</f>
        <v>0</v>
      </c>
      <c r="Q887" s="46">
        <f t="shared" si="136"/>
        <v>0</v>
      </c>
    </row>
    <row r="888" spans="1:17">
      <c r="A888" s="140"/>
      <c r="B888" s="158" t="s">
        <v>12</v>
      </c>
      <c r="C888" s="114" t="s">
        <v>87</v>
      </c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78"/>
      <c r="P888" s="30"/>
      <c r="Q888" s="19">
        <f>SUM(D888:P888)</f>
        <v>0</v>
      </c>
    </row>
    <row r="889" spans="1:17">
      <c r="A889" s="141"/>
      <c r="B889" s="154"/>
      <c r="C889" s="115" t="s">
        <v>89</v>
      </c>
      <c r="D889" s="88"/>
      <c r="E889" s="88"/>
      <c r="F889" s="88"/>
      <c r="G889" s="88"/>
      <c r="H889" s="88"/>
      <c r="I889" s="88"/>
      <c r="J889" s="88"/>
      <c r="K889" s="88"/>
      <c r="L889" s="88"/>
      <c r="M889" s="88"/>
      <c r="N889" s="88"/>
      <c r="O889" s="81"/>
      <c r="P889" s="31"/>
      <c r="Q889" s="20">
        <f t="shared" ref="Q889:Q906" si="139">SUM(D889:P889)</f>
        <v>0</v>
      </c>
    </row>
    <row r="890" spans="1:17">
      <c r="A890" s="141"/>
      <c r="B890" s="143"/>
      <c r="C890" s="116" t="s">
        <v>88</v>
      </c>
      <c r="D890" s="89"/>
      <c r="E890" s="90"/>
      <c r="F890" s="90"/>
      <c r="G890" s="90"/>
      <c r="H890" s="89"/>
      <c r="I890" s="89"/>
      <c r="J890" s="89"/>
      <c r="K890" s="89"/>
      <c r="L890" s="89"/>
      <c r="M890" s="89"/>
      <c r="N890" s="89"/>
      <c r="O890" s="17"/>
      <c r="P890" s="28"/>
      <c r="Q890" s="20">
        <f t="shared" si="139"/>
        <v>0</v>
      </c>
    </row>
    <row r="891" spans="1:17">
      <c r="A891" s="141"/>
      <c r="B891" s="143"/>
      <c r="C891" s="117" t="s">
        <v>90</v>
      </c>
      <c r="D891" s="91"/>
      <c r="E891" s="89"/>
      <c r="F891" s="89"/>
      <c r="G891" s="91"/>
      <c r="H891" s="91"/>
      <c r="I891" s="91"/>
      <c r="J891" s="91"/>
      <c r="K891" s="91"/>
      <c r="L891" s="91"/>
      <c r="M891" s="91"/>
      <c r="N891" s="91"/>
      <c r="O891" s="80"/>
      <c r="P891" s="32"/>
      <c r="Q891" s="20">
        <f t="shared" si="139"/>
        <v>0</v>
      </c>
    </row>
    <row r="892" spans="1:17">
      <c r="A892" s="141"/>
      <c r="B892" s="143"/>
      <c r="C892" s="117" t="s">
        <v>91</v>
      </c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80"/>
      <c r="P892" s="32"/>
      <c r="Q892" s="20">
        <f t="shared" si="139"/>
        <v>0</v>
      </c>
    </row>
    <row r="893" spans="1:17">
      <c r="A893" s="141"/>
      <c r="B893" s="143"/>
      <c r="C893" s="117" t="s">
        <v>92</v>
      </c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80"/>
      <c r="P893" s="32"/>
      <c r="Q893" s="20">
        <f t="shared" si="139"/>
        <v>0</v>
      </c>
    </row>
    <row r="894" spans="1:17">
      <c r="A894" s="141"/>
      <c r="B894" s="143"/>
      <c r="C894" s="116" t="s">
        <v>93</v>
      </c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80"/>
      <c r="P894" s="32"/>
      <c r="Q894" s="20">
        <f t="shared" si="139"/>
        <v>0</v>
      </c>
    </row>
    <row r="895" spans="1:17">
      <c r="A895" s="141"/>
      <c r="B895" s="143"/>
      <c r="C895" s="118" t="s">
        <v>94</v>
      </c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18"/>
      <c r="P895" s="33"/>
      <c r="Q895" s="22">
        <f t="shared" si="139"/>
        <v>0</v>
      </c>
    </row>
    <row r="896" spans="1:17">
      <c r="A896" s="141"/>
      <c r="B896" s="143" t="s">
        <v>11</v>
      </c>
      <c r="C896" s="119" t="s">
        <v>7</v>
      </c>
      <c r="D896" s="93"/>
      <c r="E896" s="93"/>
      <c r="F896" s="93"/>
      <c r="G896" s="93"/>
      <c r="H896" s="93"/>
      <c r="I896" s="93"/>
      <c r="J896" s="93"/>
      <c r="K896" s="93"/>
      <c r="L896" s="94"/>
      <c r="M896" s="94"/>
      <c r="N896" s="94"/>
      <c r="O896" s="79"/>
      <c r="P896" s="27"/>
      <c r="Q896" s="21">
        <f t="shared" si="139"/>
        <v>0</v>
      </c>
    </row>
    <row r="897" spans="1:17">
      <c r="A897" s="141"/>
      <c r="B897" s="143"/>
      <c r="C897" s="117" t="s">
        <v>4</v>
      </c>
      <c r="D897" s="95"/>
      <c r="E897" s="95"/>
      <c r="F897" s="95"/>
      <c r="G897" s="95"/>
      <c r="H897" s="95"/>
      <c r="I897" s="95"/>
      <c r="J897" s="95"/>
      <c r="K897" s="95"/>
      <c r="L897" s="91"/>
      <c r="M897" s="91"/>
      <c r="N897" s="91"/>
      <c r="O897" s="80"/>
      <c r="P897" s="32"/>
      <c r="Q897" s="20">
        <f t="shared" si="139"/>
        <v>0</v>
      </c>
    </row>
    <row r="898" spans="1:17">
      <c r="A898" s="141"/>
      <c r="B898" s="143"/>
      <c r="C898" s="117" t="s">
        <v>17</v>
      </c>
      <c r="D898" s="91"/>
      <c r="E898" s="91"/>
      <c r="F898" s="91"/>
      <c r="G898" s="91"/>
      <c r="H898" s="91"/>
      <c r="I898" s="91"/>
      <c r="J898" s="91"/>
      <c r="K898" s="91"/>
      <c r="L898" s="91"/>
      <c r="M898" s="91"/>
      <c r="N898" s="91"/>
      <c r="O898" s="80"/>
      <c r="P898" s="32"/>
      <c r="Q898" s="20">
        <f t="shared" si="139"/>
        <v>0</v>
      </c>
    </row>
    <row r="899" spans="1:17">
      <c r="A899" s="141"/>
      <c r="B899" s="143"/>
      <c r="C899" s="117" t="s">
        <v>18</v>
      </c>
      <c r="D899" s="90"/>
      <c r="E899" s="90"/>
      <c r="F899" s="90"/>
      <c r="G899" s="90"/>
      <c r="H899" s="91"/>
      <c r="I899" s="91"/>
      <c r="J899" s="91"/>
      <c r="K899" s="91"/>
      <c r="L899" s="91"/>
      <c r="M899" s="91"/>
      <c r="N899" s="91"/>
      <c r="O899" s="80"/>
      <c r="P899" s="32"/>
      <c r="Q899" s="20">
        <f t="shared" si="139"/>
        <v>0</v>
      </c>
    </row>
    <row r="900" spans="1:17">
      <c r="A900" s="141"/>
      <c r="B900" s="143"/>
      <c r="C900" s="120" t="s">
        <v>19</v>
      </c>
      <c r="D900" s="96"/>
      <c r="E900" s="96"/>
      <c r="F900" s="96"/>
      <c r="G900" s="96"/>
      <c r="H900" s="92"/>
      <c r="I900" s="92"/>
      <c r="J900" s="92"/>
      <c r="K900" s="92"/>
      <c r="L900" s="92"/>
      <c r="M900" s="92"/>
      <c r="N900" s="92"/>
      <c r="O900" s="18"/>
      <c r="P900" s="33"/>
      <c r="Q900" s="22">
        <f t="shared" si="139"/>
        <v>0</v>
      </c>
    </row>
    <row r="901" spans="1:17">
      <c r="A901" s="141"/>
      <c r="B901" s="143" t="s">
        <v>13</v>
      </c>
      <c r="C901" s="119" t="s">
        <v>10</v>
      </c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79"/>
      <c r="P901" s="27"/>
      <c r="Q901" s="21">
        <f t="shared" si="139"/>
        <v>0</v>
      </c>
    </row>
    <row r="902" spans="1:17">
      <c r="A902" s="141"/>
      <c r="B902" s="143"/>
      <c r="C902" s="116" t="s">
        <v>55</v>
      </c>
      <c r="D902" s="89"/>
      <c r="E902" s="89"/>
      <c r="F902" s="89"/>
      <c r="G902" s="89"/>
      <c r="H902" s="89"/>
      <c r="I902" s="89"/>
      <c r="J902" s="89"/>
      <c r="K902" s="89"/>
      <c r="L902" s="89"/>
      <c r="M902" s="89"/>
      <c r="N902" s="89"/>
      <c r="O902" s="17"/>
      <c r="P902" s="28"/>
      <c r="Q902" s="20">
        <f t="shared" si="139"/>
        <v>0</v>
      </c>
    </row>
    <row r="903" spans="1:17">
      <c r="A903" s="141"/>
      <c r="B903" s="143"/>
      <c r="C903" s="116" t="s">
        <v>56</v>
      </c>
      <c r="D903" s="89"/>
      <c r="E903" s="89"/>
      <c r="F903" s="89"/>
      <c r="G903" s="89"/>
      <c r="H903" s="89"/>
      <c r="I903" s="89"/>
      <c r="J903" s="89"/>
      <c r="K903" s="89"/>
      <c r="L903" s="89"/>
      <c r="M903" s="89"/>
      <c r="N903" s="89"/>
      <c r="O903" s="17"/>
      <c r="P903" s="28"/>
      <c r="Q903" s="20">
        <f t="shared" si="139"/>
        <v>0</v>
      </c>
    </row>
    <row r="904" spans="1:17">
      <c r="A904" s="141"/>
      <c r="B904" s="143"/>
      <c r="C904" s="120" t="s">
        <v>61</v>
      </c>
      <c r="D904" s="92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18"/>
      <c r="P904" s="33"/>
      <c r="Q904" s="22">
        <f t="shared" si="139"/>
        <v>0</v>
      </c>
    </row>
    <row r="905" spans="1:17">
      <c r="A905" s="141"/>
      <c r="B905" s="156" t="s">
        <v>54</v>
      </c>
      <c r="C905" s="157"/>
      <c r="D905" s="56">
        <f>SUM(D888:D895)-SUM(D899:D900)</f>
        <v>0</v>
      </c>
      <c r="E905" s="56">
        <f t="shared" ref="E905:O905" si="140">SUM(E888:E895)-SUM(E899:E900)</f>
        <v>0</v>
      </c>
      <c r="F905" s="56">
        <f t="shared" si="140"/>
        <v>0</v>
      </c>
      <c r="G905" s="56">
        <f>SUM(G888:G895)-SUM(G899:G900)</f>
        <v>0</v>
      </c>
      <c r="H905" s="56">
        <f t="shared" si="140"/>
        <v>0</v>
      </c>
      <c r="I905" s="56">
        <f t="shared" si="140"/>
        <v>0</v>
      </c>
      <c r="J905" s="56">
        <f t="shared" si="140"/>
        <v>0</v>
      </c>
      <c r="K905" s="56">
        <f t="shared" si="140"/>
        <v>0</v>
      </c>
      <c r="L905" s="56">
        <f t="shared" si="140"/>
        <v>0</v>
      </c>
      <c r="M905" s="56">
        <f t="shared" si="140"/>
        <v>0</v>
      </c>
      <c r="N905" s="56">
        <f t="shared" si="140"/>
        <v>0</v>
      </c>
      <c r="O905" s="57">
        <f t="shared" si="140"/>
        <v>0</v>
      </c>
      <c r="P905" s="60">
        <f>SUM(P888:P895)-SUM(P899:P900)</f>
        <v>0</v>
      </c>
      <c r="Q905" s="59">
        <f>SUM(D905:P905)</f>
        <v>0</v>
      </c>
    </row>
    <row r="906" spans="1:17" ht="14.25" thickBot="1">
      <c r="A906" s="142"/>
      <c r="B906" s="147" t="s">
        <v>5</v>
      </c>
      <c r="C906" s="148"/>
      <c r="D906" s="42">
        <f>SUM(D888:D895)-SUM(D896:D900)+SUM(D901:D904)</f>
        <v>0</v>
      </c>
      <c r="E906" s="42">
        <f>SUM(E888:E895)-SUM(E896:E900)+SUM(E901:E904)</f>
        <v>0</v>
      </c>
      <c r="F906" s="42">
        <f t="shared" ref="F906:O906" si="141">SUM(F888:F895)-SUM(F896:F900)+SUM(F901:F904)</f>
        <v>0</v>
      </c>
      <c r="G906" s="42">
        <f>SUM(G888:G895)-SUM(G896:G900)+SUM(G901:G904)</f>
        <v>0</v>
      </c>
      <c r="H906" s="42">
        <f t="shared" si="141"/>
        <v>0</v>
      </c>
      <c r="I906" s="42">
        <f t="shared" si="141"/>
        <v>0</v>
      </c>
      <c r="J906" s="42">
        <f t="shared" si="141"/>
        <v>0</v>
      </c>
      <c r="K906" s="42">
        <f t="shared" si="141"/>
        <v>0</v>
      </c>
      <c r="L906" s="42">
        <f t="shared" si="141"/>
        <v>0</v>
      </c>
      <c r="M906" s="42">
        <f t="shared" si="141"/>
        <v>0</v>
      </c>
      <c r="N906" s="42">
        <f t="shared" si="141"/>
        <v>0</v>
      </c>
      <c r="O906" s="43">
        <f t="shared" si="141"/>
        <v>0</v>
      </c>
      <c r="P906" s="44">
        <f>SUM(P888:P895)-SUM(P896:P900)+SUM(P901:P904)</f>
        <v>0</v>
      </c>
      <c r="Q906" s="46">
        <f t="shared" si="139"/>
        <v>0</v>
      </c>
    </row>
    <row r="907" spans="1:17">
      <c r="A907" s="140"/>
      <c r="B907" s="158" t="s">
        <v>12</v>
      </c>
      <c r="C907" s="114" t="s">
        <v>87</v>
      </c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78"/>
      <c r="P907" s="30"/>
      <c r="Q907" s="19">
        <f>SUM(D907:P907)</f>
        <v>0</v>
      </c>
    </row>
    <row r="908" spans="1:17">
      <c r="A908" s="141"/>
      <c r="B908" s="154"/>
      <c r="C908" s="115" t="s">
        <v>89</v>
      </c>
      <c r="D908" s="88"/>
      <c r="E908" s="88"/>
      <c r="F908" s="88"/>
      <c r="G908" s="88"/>
      <c r="H908" s="88"/>
      <c r="I908" s="88"/>
      <c r="J908" s="88"/>
      <c r="K908" s="88"/>
      <c r="L908" s="88"/>
      <c r="M908" s="88"/>
      <c r="N908" s="88"/>
      <c r="O908" s="81"/>
      <c r="P908" s="31"/>
      <c r="Q908" s="20">
        <f t="shared" ref="Q908:Q925" si="142">SUM(D908:P908)</f>
        <v>0</v>
      </c>
    </row>
    <row r="909" spans="1:17">
      <c r="A909" s="141"/>
      <c r="B909" s="143"/>
      <c r="C909" s="116" t="s">
        <v>88</v>
      </c>
      <c r="D909" s="89"/>
      <c r="E909" s="90"/>
      <c r="F909" s="90"/>
      <c r="G909" s="90"/>
      <c r="H909" s="89"/>
      <c r="I909" s="89"/>
      <c r="J909" s="89"/>
      <c r="K909" s="89"/>
      <c r="L909" s="89"/>
      <c r="M909" s="89"/>
      <c r="N909" s="89"/>
      <c r="O909" s="17"/>
      <c r="P909" s="28"/>
      <c r="Q909" s="20">
        <f t="shared" si="142"/>
        <v>0</v>
      </c>
    </row>
    <row r="910" spans="1:17">
      <c r="A910" s="141"/>
      <c r="B910" s="143"/>
      <c r="C910" s="117" t="s">
        <v>90</v>
      </c>
      <c r="D910" s="91"/>
      <c r="E910" s="89"/>
      <c r="F910" s="89"/>
      <c r="G910" s="91"/>
      <c r="H910" s="91"/>
      <c r="I910" s="91"/>
      <c r="J910" s="91"/>
      <c r="K910" s="91"/>
      <c r="L910" s="91"/>
      <c r="M910" s="91"/>
      <c r="N910" s="91"/>
      <c r="O910" s="80"/>
      <c r="P910" s="32"/>
      <c r="Q910" s="20">
        <f t="shared" si="142"/>
        <v>0</v>
      </c>
    </row>
    <row r="911" spans="1:17">
      <c r="A911" s="141"/>
      <c r="B911" s="143"/>
      <c r="C911" s="117" t="s">
        <v>91</v>
      </c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91"/>
      <c r="O911" s="80"/>
      <c r="P911" s="32"/>
      <c r="Q911" s="20">
        <f t="shared" si="142"/>
        <v>0</v>
      </c>
    </row>
    <row r="912" spans="1:17">
      <c r="A912" s="141"/>
      <c r="B912" s="143"/>
      <c r="C912" s="117" t="s">
        <v>92</v>
      </c>
      <c r="D912" s="91"/>
      <c r="E912" s="91"/>
      <c r="F912" s="91"/>
      <c r="G912" s="91"/>
      <c r="H912" s="91"/>
      <c r="I912" s="91"/>
      <c r="J912" s="91"/>
      <c r="K912" s="91"/>
      <c r="L912" s="91"/>
      <c r="M912" s="91"/>
      <c r="N912" s="91"/>
      <c r="O912" s="80"/>
      <c r="P912" s="32"/>
      <c r="Q912" s="20">
        <f t="shared" si="142"/>
        <v>0</v>
      </c>
    </row>
    <row r="913" spans="1:17">
      <c r="A913" s="141"/>
      <c r="B913" s="143"/>
      <c r="C913" s="116" t="s">
        <v>93</v>
      </c>
      <c r="D913" s="91"/>
      <c r="E913" s="91"/>
      <c r="F913" s="91"/>
      <c r="G913" s="91"/>
      <c r="H913" s="91"/>
      <c r="I913" s="91"/>
      <c r="J913" s="91"/>
      <c r="K913" s="91"/>
      <c r="L913" s="91"/>
      <c r="M913" s="91"/>
      <c r="N913" s="91"/>
      <c r="O913" s="80"/>
      <c r="P913" s="32"/>
      <c r="Q913" s="20">
        <f t="shared" si="142"/>
        <v>0</v>
      </c>
    </row>
    <row r="914" spans="1:17">
      <c r="A914" s="141"/>
      <c r="B914" s="143"/>
      <c r="C914" s="118" t="s">
        <v>94</v>
      </c>
      <c r="D914" s="92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18"/>
      <c r="P914" s="33"/>
      <c r="Q914" s="22">
        <f t="shared" si="142"/>
        <v>0</v>
      </c>
    </row>
    <row r="915" spans="1:17">
      <c r="A915" s="141"/>
      <c r="B915" s="143" t="s">
        <v>11</v>
      </c>
      <c r="C915" s="119" t="s">
        <v>7</v>
      </c>
      <c r="D915" s="93"/>
      <c r="E915" s="93"/>
      <c r="F915" s="93"/>
      <c r="G915" s="93"/>
      <c r="H915" s="93"/>
      <c r="I915" s="93"/>
      <c r="J915" s="93"/>
      <c r="K915" s="93"/>
      <c r="L915" s="94"/>
      <c r="M915" s="94"/>
      <c r="N915" s="94"/>
      <c r="O915" s="79"/>
      <c r="P915" s="27"/>
      <c r="Q915" s="21">
        <f t="shared" si="142"/>
        <v>0</v>
      </c>
    </row>
    <row r="916" spans="1:17">
      <c r="A916" s="141"/>
      <c r="B916" s="143"/>
      <c r="C916" s="117" t="s">
        <v>4</v>
      </c>
      <c r="D916" s="95"/>
      <c r="E916" s="95"/>
      <c r="F916" s="95"/>
      <c r="G916" s="95"/>
      <c r="H916" s="95"/>
      <c r="I916" s="95"/>
      <c r="J916" s="95"/>
      <c r="K916" s="95"/>
      <c r="L916" s="91"/>
      <c r="M916" s="91"/>
      <c r="N916" s="91"/>
      <c r="O916" s="80"/>
      <c r="P916" s="32"/>
      <c r="Q916" s="20">
        <f t="shared" si="142"/>
        <v>0</v>
      </c>
    </row>
    <row r="917" spans="1:17">
      <c r="A917" s="141"/>
      <c r="B917" s="143"/>
      <c r="C917" s="117" t="s">
        <v>17</v>
      </c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91"/>
      <c r="O917" s="80"/>
      <c r="P917" s="32"/>
      <c r="Q917" s="20">
        <f t="shared" si="142"/>
        <v>0</v>
      </c>
    </row>
    <row r="918" spans="1:17">
      <c r="A918" s="141"/>
      <c r="B918" s="143"/>
      <c r="C918" s="117" t="s">
        <v>18</v>
      </c>
      <c r="D918" s="90"/>
      <c r="E918" s="90"/>
      <c r="F918" s="90"/>
      <c r="G918" s="90"/>
      <c r="H918" s="91"/>
      <c r="I918" s="91"/>
      <c r="J918" s="91"/>
      <c r="K918" s="91"/>
      <c r="L918" s="91"/>
      <c r="M918" s="91"/>
      <c r="N918" s="91"/>
      <c r="O918" s="80"/>
      <c r="P918" s="32"/>
      <c r="Q918" s="20">
        <f t="shared" si="142"/>
        <v>0</v>
      </c>
    </row>
    <row r="919" spans="1:17">
      <c r="A919" s="141"/>
      <c r="B919" s="143"/>
      <c r="C919" s="120" t="s">
        <v>19</v>
      </c>
      <c r="D919" s="96"/>
      <c r="E919" s="96"/>
      <c r="F919" s="96"/>
      <c r="G919" s="96"/>
      <c r="H919" s="92"/>
      <c r="I919" s="92"/>
      <c r="J919" s="92"/>
      <c r="K919" s="92"/>
      <c r="L919" s="92"/>
      <c r="M919" s="92"/>
      <c r="N919" s="92"/>
      <c r="O919" s="18"/>
      <c r="P919" s="33"/>
      <c r="Q919" s="22">
        <f t="shared" si="142"/>
        <v>0</v>
      </c>
    </row>
    <row r="920" spans="1:17">
      <c r="A920" s="141"/>
      <c r="B920" s="143" t="s">
        <v>13</v>
      </c>
      <c r="C920" s="119" t="s">
        <v>10</v>
      </c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79"/>
      <c r="P920" s="27"/>
      <c r="Q920" s="21">
        <f t="shared" si="142"/>
        <v>0</v>
      </c>
    </row>
    <row r="921" spans="1:17">
      <c r="A921" s="141"/>
      <c r="B921" s="143"/>
      <c r="C921" s="116" t="s">
        <v>55</v>
      </c>
      <c r="D921" s="89"/>
      <c r="E921" s="89"/>
      <c r="F921" s="89"/>
      <c r="G921" s="89"/>
      <c r="H921" s="89"/>
      <c r="I921" s="89"/>
      <c r="J921" s="89"/>
      <c r="K921" s="89"/>
      <c r="L921" s="89"/>
      <c r="M921" s="89"/>
      <c r="N921" s="89"/>
      <c r="O921" s="17"/>
      <c r="P921" s="28"/>
      <c r="Q921" s="20">
        <f t="shared" si="142"/>
        <v>0</v>
      </c>
    </row>
    <row r="922" spans="1:17">
      <c r="A922" s="141"/>
      <c r="B922" s="143"/>
      <c r="C922" s="116" t="s">
        <v>56</v>
      </c>
      <c r="D922" s="89"/>
      <c r="E922" s="89"/>
      <c r="F922" s="89"/>
      <c r="G922" s="89"/>
      <c r="H922" s="89"/>
      <c r="I922" s="89"/>
      <c r="J922" s="89"/>
      <c r="K922" s="89"/>
      <c r="L922" s="89"/>
      <c r="M922" s="89"/>
      <c r="N922" s="89"/>
      <c r="O922" s="17"/>
      <c r="P922" s="28"/>
      <c r="Q922" s="20">
        <f t="shared" si="142"/>
        <v>0</v>
      </c>
    </row>
    <row r="923" spans="1:17">
      <c r="A923" s="141"/>
      <c r="B923" s="143"/>
      <c r="C923" s="120" t="s">
        <v>61</v>
      </c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18"/>
      <c r="P923" s="33"/>
      <c r="Q923" s="22">
        <f t="shared" si="142"/>
        <v>0</v>
      </c>
    </row>
    <row r="924" spans="1:17">
      <c r="A924" s="141"/>
      <c r="B924" s="156" t="s">
        <v>54</v>
      </c>
      <c r="C924" s="157"/>
      <c r="D924" s="56">
        <f>SUM(D907:D914)-SUM(D918:D919)</f>
        <v>0</v>
      </c>
      <c r="E924" s="56">
        <f t="shared" ref="E924:O924" si="143">SUM(E907:E914)-SUM(E918:E919)</f>
        <v>0</v>
      </c>
      <c r="F924" s="56">
        <f t="shared" si="143"/>
        <v>0</v>
      </c>
      <c r="G924" s="56">
        <f>SUM(G907:G914)-SUM(G918:G919)</f>
        <v>0</v>
      </c>
      <c r="H924" s="56">
        <f t="shared" si="143"/>
        <v>0</v>
      </c>
      <c r="I924" s="56">
        <f t="shared" si="143"/>
        <v>0</v>
      </c>
      <c r="J924" s="56">
        <f t="shared" si="143"/>
        <v>0</v>
      </c>
      <c r="K924" s="56">
        <f t="shared" si="143"/>
        <v>0</v>
      </c>
      <c r="L924" s="56">
        <f t="shared" si="143"/>
        <v>0</v>
      </c>
      <c r="M924" s="56">
        <f t="shared" si="143"/>
        <v>0</v>
      </c>
      <c r="N924" s="56">
        <f t="shared" si="143"/>
        <v>0</v>
      </c>
      <c r="O924" s="57">
        <f t="shared" si="143"/>
        <v>0</v>
      </c>
      <c r="P924" s="60">
        <f>SUM(P907:P914)-SUM(P918:P919)</f>
        <v>0</v>
      </c>
      <c r="Q924" s="59">
        <f>SUM(D924:P924)</f>
        <v>0</v>
      </c>
    </row>
    <row r="925" spans="1:17" ht="14.25" thickBot="1">
      <c r="A925" s="142"/>
      <c r="B925" s="147" t="s">
        <v>5</v>
      </c>
      <c r="C925" s="148"/>
      <c r="D925" s="42">
        <f>SUM(D907:D914)-SUM(D915:D919)+SUM(D920:D923)</f>
        <v>0</v>
      </c>
      <c r="E925" s="42">
        <f>SUM(E907:E914)-SUM(E915:E919)+SUM(E920:E923)</f>
        <v>0</v>
      </c>
      <c r="F925" s="42">
        <f t="shared" ref="F925:O925" si="144">SUM(F907:F914)-SUM(F915:F919)+SUM(F920:F923)</f>
        <v>0</v>
      </c>
      <c r="G925" s="42">
        <f>SUM(G907:G914)-SUM(G915:G919)+SUM(G920:G923)</f>
        <v>0</v>
      </c>
      <c r="H925" s="42">
        <f t="shared" si="144"/>
        <v>0</v>
      </c>
      <c r="I925" s="42">
        <f t="shared" si="144"/>
        <v>0</v>
      </c>
      <c r="J925" s="42">
        <f t="shared" si="144"/>
        <v>0</v>
      </c>
      <c r="K925" s="42">
        <f t="shared" si="144"/>
        <v>0</v>
      </c>
      <c r="L925" s="42">
        <f t="shared" si="144"/>
        <v>0</v>
      </c>
      <c r="M925" s="42">
        <f t="shared" si="144"/>
        <v>0</v>
      </c>
      <c r="N925" s="42">
        <f t="shared" si="144"/>
        <v>0</v>
      </c>
      <c r="O925" s="43">
        <f t="shared" si="144"/>
        <v>0</v>
      </c>
      <c r="P925" s="44">
        <f>SUM(P907:P914)-SUM(P915:P919)+SUM(P920:P923)</f>
        <v>0</v>
      </c>
      <c r="Q925" s="46">
        <f t="shared" si="142"/>
        <v>0</v>
      </c>
    </row>
    <row r="926" spans="1:17">
      <c r="A926" s="140"/>
      <c r="B926" s="158" t="s">
        <v>12</v>
      </c>
      <c r="C926" s="114" t="s">
        <v>87</v>
      </c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78"/>
      <c r="P926" s="30"/>
      <c r="Q926" s="19">
        <f>SUM(D926:P926)</f>
        <v>0</v>
      </c>
    </row>
    <row r="927" spans="1:17">
      <c r="A927" s="141"/>
      <c r="B927" s="154"/>
      <c r="C927" s="115" t="s">
        <v>89</v>
      </c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1"/>
      <c r="P927" s="31"/>
      <c r="Q927" s="20">
        <f t="shared" ref="Q927:Q944" si="145">SUM(D927:P927)</f>
        <v>0</v>
      </c>
    </row>
    <row r="928" spans="1:17">
      <c r="A928" s="141"/>
      <c r="B928" s="143"/>
      <c r="C928" s="116" t="s">
        <v>88</v>
      </c>
      <c r="D928" s="89"/>
      <c r="E928" s="90"/>
      <c r="F928" s="90"/>
      <c r="G928" s="90"/>
      <c r="H928" s="89"/>
      <c r="I928" s="89"/>
      <c r="J928" s="89"/>
      <c r="K928" s="89"/>
      <c r="L928" s="89"/>
      <c r="M928" s="89"/>
      <c r="N928" s="89"/>
      <c r="O928" s="17"/>
      <c r="P928" s="28"/>
      <c r="Q928" s="20">
        <f t="shared" si="145"/>
        <v>0</v>
      </c>
    </row>
    <row r="929" spans="1:17">
      <c r="A929" s="141"/>
      <c r="B929" s="143"/>
      <c r="C929" s="117" t="s">
        <v>90</v>
      </c>
      <c r="D929" s="91"/>
      <c r="E929" s="89"/>
      <c r="F929" s="89"/>
      <c r="G929" s="91"/>
      <c r="H929" s="91"/>
      <c r="I929" s="91"/>
      <c r="J929" s="91"/>
      <c r="K929" s="91"/>
      <c r="L929" s="91"/>
      <c r="M929" s="91"/>
      <c r="N929" s="91"/>
      <c r="O929" s="80"/>
      <c r="P929" s="32"/>
      <c r="Q929" s="20">
        <f t="shared" si="145"/>
        <v>0</v>
      </c>
    </row>
    <row r="930" spans="1:17">
      <c r="A930" s="141"/>
      <c r="B930" s="143"/>
      <c r="C930" s="117" t="s">
        <v>91</v>
      </c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80"/>
      <c r="P930" s="32"/>
      <c r="Q930" s="20">
        <f t="shared" si="145"/>
        <v>0</v>
      </c>
    </row>
    <row r="931" spans="1:17">
      <c r="A931" s="141"/>
      <c r="B931" s="143"/>
      <c r="C931" s="117" t="s">
        <v>92</v>
      </c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80"/>
      <c r="P931" s="32"/>
      <c r="Q931" s="20">
        <f t="shared" si="145"/>
        <v>0</v>
      </c>
    </row>
    <row r="932" spans="1:17">
      <c r="A932" s="141"/>
      <c r="B932" s="143"/>
      <c r="C932" s="116" t="s">
        <v>93</v>
      </c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80"/>
      <c r="P932" s="32"/>
      <c r="Q932" s="20">
        <f t="shared" si="145"/>
        <v>0</v>
      </c>
    </row>
    <row r="933" spans="1:17">
      <c r="A933" s="141"/>
      <c r="B933" s="143"/>
      <c r="C933" s="118" t="s">
        <v>94</v>
      </c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18"/>
      <c r="P933" s="33"/>
      <c r="Q933" s="22">
        <f t="shared" si="145"/>
        <v>0</v>
      </c>
    </row>
    <row r="934" spans="1:17">
      <c r="A934" s="141"/>
      <c r="B934" s="143" t="s">
        <v>11</v>
      </c>
      <c r="C934" s="119" t="s">
        <v>7</v>
      </c>
      <c r="D934" s="93"/>
      <c r="E934" s="93"/>
      <c r="F934" s="93"/>
      <c r="G934" s="93"/>
      <c r="H934" s="93"/>
      <c r="I934" s="93"/>
      <c r="J934" s="93"/>
      <c r="K934" s="93"/>
      <c r="L934" s="94"/>
      <c r="M934" s="94"/>
      <c r="N934" s="94"/>
      <c r="O934" s="79"/>
      <c r="P934" s="27"/>
      <c r="Q934" s="21">
        <f t="shared" si="145"/>
        <v>0</v>
      </c>
    </row>
    <row r="935" spans="1:17">
      <c r="A935" s="141"/>
      <c r="B935" s="143"/>
      <c r="C935" s="117" t="s">
        <v>4</v>
      </c>
      <c r="D935" s="95"/>
      <c r="E935" s="95"/>
      <c r="F935" s="95"/>
      <c r="G935" s="95"/>
      <c r="H935" s="95"/>
      <c r="I935" s="95"/>
      <c r="J935" s="95"/>
      <c r="K935" s="95"/>
      <c r="L935" s="91"/>
      <c r="M935" s="91"/>
      <c r="N935" s="91"/>
      <c r="O935" s="80"/>
      <c r="P935" s="32"/>
      <c r="Q935" s="20">
        <f t="shared" si="145"/>
        <v>0</v>
      </c>
    </row>
    <row r="936" spans="1:17">
      <c r="A936" s="141"/>
      <c r="B936" s="143"/>
      <c r="C936" s="117" t="s">
        <v>17</v>
      </c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80"/>
      <c r="P936" s="32"/>
      <c r="Q936" s="20">
        <f t="shared" si="145"/>
        <v>0</v>
      </c>
    </row>
    <row r="937" spans="1:17">
      <c r="A937" s="141"/>
      <c r="B937" s="143"/>
      <c r="C937" s="117" t="s">
        <v>18</v>
      </c>
      <c r="D937" s="90"/>
      <c r="E937" s="90"/>
      <c r="F937" s="90"/>
      <c r="G937" s="90"/>
      <c r="H937" s="91"/>
      <c r="I937" s="91"/>
      <c r="J937" s="91"/>
      <c r="K937" s="91"/>
      <c r="L937" s="91"/>
      <c r="M937" s="91"/>
      <c r="N937" s="91"/>
      <c r="O937" s="80"/>
      <c r="P937" s="32"/>
      <c r="Q937" s="20">
        <f t="shared" si="145"/>
        <v>0</v>
      </c>
    </row>
    <row r="938" spans="1:17">
      <c r="A938" s="141"/>
      <c r="B938" s="143"/>
      <c r="C938" s="120" t="s">
        <v>19</v>
      </c>
      <c r="D938" s="96"/>
      <c r="E938" s="96"/>
      <c r="F938" s="96"/>
      <c r="G938" s="96"/>
      <c r="H938" s="92"/>
      <c r="I938" s="92"/>
      <c r="J938" s="92"/>
      <c r="K938" s="92"/>
      <c r="L938" s="92"/>
      <c r="M938" s="92"/>
      <c r="N938" s="92"/>
      <c r="O938" s="18"/>
      <c r="P938" s="33"/>
      <c r="Q938" s="22">
        <f t="shared" si="145"/>
        <v>0</v>
      </c>
    </row>
    <row r="939" spans="1:17">
      <c r="A939" s="141"/>
      <c r="B939" s="143" t="s">
        <v>13</v>
      </c>
      <c r="C939" s="119" t="s">
        <v>10</v>
      </c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79"/>
      <c r="P939" s="27"/>
      <c r="Q939" s="21">
        <f t="shared" si="145"/>
        <v>0</v>
      </c>
    </row>
    <row r="940" spans="1:17">
      <c r="A940" s="141"/>
      <c r="B940" s="143"/>
      <c r="C940" s="116" t="s">
        <v>55</v>
      </c>
      <c r="D940" s="89"/>
      <c r="E940" s="89"/>
      <c r="F940" s="89"/>
      <c r="G940" s="89"/>
      <c r="H940" s="89"/>
      <c r="I940" s="89"/>
      <c r="J940" s="89"/>
      <c r="K940" s="89"/>
      <c r="L940" s="89"/>
      <c r="M940" s="89"/>
      <c r="N940" s="89"/>
      <c r="O940" s="17"/>
      <c r="P940" s="28"/>
      <c r="Q940" s="20">
        <f t="shared" si="145"/>
        <v>0</v>
      </c>
    </row>
    <row r="941" spans="1:17">
      <c r="A941" s="141"/>
      <c r="B941" s="143"/>
      <c r="C941" s="116" t="s">
        <v>56</v>
      </c>
      <c r="D941" s="89"/>
      <c r="E941" s="89"/>
      <c r="F941" s="89"/>
      <c r="G941" s="89"/>
      <c r="H941" s="89"/>
      <c r="I941" s="89"/>
      <c r="J941" s="89"/>
      <c r="K941" s="89"/>
      <c r="L941" s="89"/>
      <c r="M941" s="89"/>
      <c r="N941" s="89"/>
      <c r="O941" s="17"/>
      <c r="P941" s="28"/>
      <c r="Q941" s="20">
        <f t="shared" si="145"/>
        <v>0</v>
      </c>
    </row>
    <row r="942" spans="1:17">
      <c r="A942" s="141"/>
      <c r="B942" s="143"/>
      <c r="C942" s="120" t="s">
        <v>61</v>
      </c>
      <c r="D942" s="92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18"/>
      <c r="P942" s="33"/>
      <c r="Q942" s="22">
        <f t="shared" si="145"/>
        <v>0</v>
      </c>
    </row>
    <row r="943" spans="1:17">
      <c r="A943" s="141"/>
      <c r="B943" s="156" t="s">
        <v>54</v>
      </c>
      <c r="C943" s="157"/>
      <c r="D943" s="56">
        <f>SUM(D926:D933)-SUM(D937:D938)</f>
        <v>0</v>
      </c>
      <c r="E943" s="56">
        <f t="shared" ref="E943:O943" si="146">SUM(E926:E933)-SUM(E937:E938)</f>
        <v>0</v>
      </c>
      <c r="F943" s="56">
        <f t="shared" si="146"/>
        <v>0</v>
      </c>
      <c r="G943" s="56">
        <f>SUM(G926:G933)-SUM(G937:G938)</f>
        <v>0</v>
      </c>
      <c r="H943" s="56">
        <f t="shared" si="146"/>
        <v>0</v>
      </c>
      <c r="I943" s="56">
        <f t="shared" si="146"/>
        <v>0</v>
      </c>
      <c r="J943" s="56">
        <f t="shared" si="146"/>
        <v>0</v>
      </c>
      <c r="K943" s="56">
        <f t="shared" si="146"/>
        <v>0</v>
      </c>
      <c r="L943" s="56">
        <f t="shared" si="146"/>
        <v>0</v>
      </c>
      <c r="M943" s="56">
        <f t="shared" si="146"/>
        <v>0</v>
      </c>
      <c r="N943" s="56">
        <f t="shared" si="146"/>
        <v>0</v>
      </c>
      <c r="O943" s="57">
        <f t="shared" si="146"/>
        <v>0</v>
      </c>
      <c r="P943" s="60">
        <f>SUM(P926:P933)-SUM(P937:P938)</f>
        <v>0</v>
      </c>
      <c r="Q943" s="59">
        <f>SUM(D943:P943)</f>
        <v>0</v>
      </c>
    </row>
    <row r="944" spans="1:17" ht="14.25" thickBot="1">
      <c r="A944" s="142"/>
      <c r="B944" s="147" t="s">
        <v>5</v>
      </c>
      <c r="C944" s="148"/>
      <c r="D944" s="42">
        <f>SUM(D926:D933)-SUM(D934:D938)+SUM(D939:D942)</f>
        <v>0</v>
      </c>
      <c r="E944" s="42">
        <f>SUM(E926:E933)-SUM(E934:E938)+SUM(E939:E942)</f>
        <v>0</v>
      </c>
      <c r="F944" s="42">
        <f t="shared" ref="F944:O944" si="147">SUM(F926:F933)-SUM(F934:F938)+SUM(F939:F942)</f>
        <v>0</v>
      </c>
      <c r="G944" s="42">
        <f>SUM(G926:G933)-SUM(G934:G938)+SUM(G939:G942)</f>
        <v>0</v>
      </c>
      <c r="H944" s="42">
        <f t="shared" si="147"/>
        <v>0</v>
      </c>
      <c r="I944" s="42">
        <f t="shared" si="147"/>
        <v>0</v>
      </c>
      <c r="J944" s="42">
        <f t="shared" si="147"/>
        <v>0</v>
      </c>
      <c r="K944" s="42">
        <f t="shared" si="147"/>
        <v>0</v>
      </c>
      <c r="L944" s="42">
        <f t="shared" si="147"/>
        <v>0</v>
      </c>
      <c r="M944" s="42">
        <f t="shared" si="147"/>
        <v>0</v>
      </c>
      <c r="N944" s="42">
        <f t="shared" si="147"/>
        <v>0</v>
      </c>
      <c r="O944" s="43">
        <f t="shared" si="147"/>
        <v>0</v>
      </c>
      <c r="P944" s="44">
        <f>SUM(P926:P933)-SUM(P934:P938)+SUM(P939:P942)</f>
        <v>0</v>
      </c>
      <c r="Q944" s="46">
        <f t="shared" si="145"/>
        <v>0</v>
      </c>
    </row>
    <row r="945" spans="1:17">
      <c r="A945" s="140"/>
      <c r="B945" s="158" t="s">
        <v>12</v>
      </c>
      <c r="C945" s="114" t="s">
        <v>87</v>
      </c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78"/>
      <c r="P945" s="30"/>
      <c r="Q945" s="19">
        <f>SUM(D945:P945)</f>
        <v>0</v>
      </c>
    </row>
    <row r="946" spans="1:17">
      <c r="A946" s="141"/>
      <c r="B946" s="154"/>
      <c r="C946" s="115" t="s">
        <v>89</v>
      </c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1"/>
      <c r="P946" s="31"/>
      <c r="Q946" s="20">
        <f t="shared" ref="Q946:Q963" si="148">SUM(D946:P946)</f>
        <v>0</v>
      </c>
    </row>
    <row r="947" spans="1:17">
      <c r="A947" s="141"/>
      <c r="B947" s="143"/>
      <c r="C947" s="116" t="s">
        <v>88</v>
      </c>
      <c r="D947" s="89"/>
      <c r="E947" s="90"/>
      <c r="F947" s="90"/>
      <c r="G947" s="90"/>
      <c r="H947" s="89"/>
      <c r="I947" s="89"/>
      <c r="J947" s="89"/>
      <c r="K947" s="89"/>
      <c r="L947" s="89"/>
      <c r="M947" s="89"/>
      <c r="N947" s="89"/>
      <c r="O947" s="17"/>
      <c r="P947" s="28"/>
      <c r="Q947" s="20">
        <f t="shared" si="148"/>
        <v>0</v>
      </c>
    </row>
    <row r="948" spans="1:17">
      <c r="A948" s="141"/>
      <c r="B948" s="143"/>
      <c r="C948" s="117" t="s">
        <v>90</v>
      </c>
      <c r="D948" s="91"/>
      <c r="E948" s="89"/>
      <c r="F948" s="89"/>
      <c r="G948" s="91"/>
      <c r="H948" s="91"/>
      <c r="I948" s="91"/>
      <c r="J948" s="91"/>
      <c r="K948" s="91"/>
      <c r="L948" s="91"/>
      <c r="M948" s="91"/>
      <c r="N948" s="91"/>
      <c r="O948" s="80"/>
      <c r="P948" s="32"/>
      <c r="Q948" s="20">
        <f t="shared" si="148"/>
        <v>0</v>
      </c>
    </row>
    <row r="949" spans="1:17">
      <c r="A949" s="141"/>
      <c r="B949" s="143"/>
      <c r="C949" s="117" t="s">
        <v>91</v>
      </c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80"/>
      <c r="P949" s="32"/>
      <c r="Q949" s="20">
        <f t="shared" si="148"/>
        <v>0</v>
      </c>
    </row>
    <row r="950" spans="1:17">
      <c r="A950" s="141"/>
      <c r="B950" s="143"/>
      <c r="C950" s="117" t="s">
        <v>92</v>
      </c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80"/>
      <c r="P950" s="32"/>
      <c r="Q950" s="20">
        <f t="shared" si="148"/>
        <v>0</v>
      </c>
    </row>
    <row r="951" spans="1:17">
      <c r="A951" s="141"/>
      <c r="B951" s="143"/>
      <c r="C951" s="116" t="s">
        <v>93</v>
      </c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80"/>
      <c r="P951" s="32"/>
      <c r="Q951" s="20">
        <f t="shared" si="148"/>
        <v>0</v>
      </c>
    </row>
    <row r="952" spans="1:17">
      <c r="A952" s="141"/>
      <c r="B952" s="143"/>
      <c r="C952" s="118" t="s">
        <v>94</v>
      </c>
      <c r="D952" s="92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18"/>
      <c r="P952" s="33"/>
      <c r="Q952" s="22">
        <f t="shared" si="148"/>
        <v>0</v>
      </c>
    </row>
    <row r="953" spans="1:17">
      <c r="A953" s="141"/>
      <c r="B953" s="143" t="s">
        <v>11</v>
      </c>
      <c r="C953" s="119" t="s">
        <v>7</v>
      </c>
      <c r="D953" s="93"/>
      <c r="E953" s="93"/>
      <c r="F953" s="93"/>
      <c r="G953" s="93"/>
      <c r="H953" s="93"/>
      <c r="I953" s="93"/>
      <c r="J953" s="93"/>
      <c r="K953" s="93"/>
      <c r="L953" s="94"/>
      <c r="M953" s="94"/>
      <c r="N953" s="94"/>
      <c r="O953" s="79"/>
      <c r="P953" s="27"/>
      <c r="Q953" s="21">
        <f t="shared" si="148"/>
        <v>0</v>
      </c>
    </row>
    <row r="954" spans="1:17">
      <c r="A954" s="141"/>
      <c r="B954" s="143"/>
      <c r="C954" s="117" t="s">
        <v>4</v>
      </c>
      <c r="D954" s="95"/>
      <c r="E954" s="95"/>
      <c r="F954" s="95"/>
      <c r="G954" s="95"/>
      <c r="H954" s="95"/>
      <c r="I954" s="95"/>
      <c r="J954" s="95"/>
      <c r="K954" s="95"/>
      <c r="L954" s="91"/>
      <c r="M954" s="91"/>
      <c r="N954" s="91"/>
      <c r="O954" s="80"/>
      <c r="P954" s="32"/>
      <c r="Q954" s="20">
        <f t="shared" si="148"/>
        <v>0</v>
      </c>
    </row>
    <row r="955" spans="1:17">
      <c r="A955" s="141"/>
      <c r="B955" s="143"/>
      <c r="C955" s="117" t="s">
        <v>17</v>
      </c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80"/>
      <c r="P955" s="32"/>
      <c r="Q955" s="20">
        <f t="shared" si="148"/>
        <v>0</v>
      </c>
    </row>
    <row r="956" spans="1:17">
      <c r="A956" s="141"/>
      <c r="B956" s="143"/>
      <c r="C956" s="117" t="s">
        <v>18</v>
      </c>
      <c r="D956" s="90"/>
      <c r="E956" s="90"/>
      <c r="F956" s="90"/>
      <c r="G956" s="90"/>
      <c r="H956" s="91"/>
      <c r="I956" s="91"/>
      <c r="J956" s="91"/>
      <c r="K956" s="91"/>
      <c r="L956" s="91"/>
      <c r="M956" s="91"/>
      <c r="N956" s="91"/>
      <c r="O956" s="80"/>
      <c r="P956" s="32"/>
      <c r="Q956" s="20">
        <f t="shared" si="148"/>
        <v>0</v>
      </c>
    </row>
    <row r="957" spans="1:17">
      <c r="A957" s="141"/>
      <c r="B957" s="143"/>
      <c r="C957" s="120" t="s">
        <v>19</v>
      </c>
      <c r="D957" s="96"/>
      <c r="E957" s="96"/>
      <c r="F957" s="96"/>
      <c r="G957" s="96"/>
      <c r="H957" s="92"/>
      <c r="I957" s="92"/>
      <c r="J957" s="92"/>
      <c r="K957" s="92"/>
      <c r="L957" s="92"/>
      <c r="M957" s="92"/>
      <c r="N957" s="92"/>
      <c r="O957" s="18"/>
      <c r="P957" s="33"/>
      <c r="Q957" s="22">
        <f t="shared" si="148"/>
        <v>0</v>
      </c>
    </row>
    <row r="958" spans="1:17">
      <c r="A958" s="141"/>
      <c r="B958" s="143" t="s">
        <v>13</v>
      </c>
      <c r="C958" s="119" t="s">
        <v>10</v>
      </c>
      <c r="D958" s="94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79"/>
      <c r="P958" s="27"/>
      <c r="Q958" s="21">
        <f t="shared" si="148"/>
        <v>0</v>
      </c>
    </row>
    <row r="959" spans="1:17">
      <c r="A959" s="141"/>
      <c r="B959" s="143"/>
      <c r="C959" s="116" t="s">
        <v>55</v>
      </c>
      <c r="D959" s="89"/>
      <c r="E959" s="89"/>
      <c r="F959" s="89"/>
      <c r="G959" s="89"/>
      <c r="H959" s="89"/>
      <c r="I959" s="89"/>
      <c r="J959" s="89"/>
      <c r="K959" s="89"/>
      <c r="L959" s="89"/>
      <c r="M959" s="89"/>
      <c r="N959" s="89"/>
      <c r="O959" s="17"/>
      <c r="P959" s="28"/>
      <c r="Q959" s="20">
        <f t="shared" si="148"/>
        <v>0</v>
      </c>
    </row>
    <row r="960" spans="1:17">
      <c r="A960" s="141"/>
      <c r="B960" s="143"/>
      <c r="C960" s="116" t="s">
        <v>56</v>
      </c>
      <c r="D960" s="89"/>
      <c r="E960" s="89"/>
      <c r="F960" s="89"/>
      <c r="G960" s="89"/>
      <c r="H960" s="89"/>
      <c r="I960" s="89"/>
      <c r="J960" s="89"/>
      <c r="K960" s="89"/>
      <c r="L960" s="89"/>
      <c r="M960" s="89"/>
      <c r="N960" s="89"/>
      <c r="O960" s="17"/>
      <c r="P960" s="28"/>
      <c r="Q960" s="20">
        <f t="shared" si="148"/>
        <v>0</v>
      </c>
    </row>
    <row r="961" spans="1:17">
      <c r="A961" s="141"/>
      <c r="B961" s="143"/>
      <c r="C961" s="120" t="s">
        <v>61</v>
      </c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18"/>
      <c r="P961" s="33"/>
      <c r="Q961" s="22">
        <f t="shared" si="148"/>
        <v>0</v>
      </c>
    </row>
    <row r="962" spans="1:17">
      <c r="A962" s="141"/>
      <c r="B962" s="156" t="s">
        <v>54</v>
      </c>
      <c r="C962" s="157"/>
      <c r="D962" s="56">
        <f>SUM(D945:D952)-SUM(D956:D957)</f>
        <v>0</v>
      </c>
      <c r="E962" s="56">
        <f t="shared" ref="E962:O962" si="149">SUM(E945:E952)-SUM(E956:E957)</f>
        <v>0</v>
      </c>
      <c r="F962" s="56">
        <f t="shared" si="149"/>
        <v>0</v>
      </c>
      <c r="G962" s="56">
        <f>SUM(G945:G952)-SUM(G956:G957)</f>
        <v>0</v>
      </c>
      <c r="H962" s="56">
        <f t="shared" si="149"/>
        <v>0</v>
      </c>
      <c r="I962" s="56">
        <f t="shared" si="149"/>
        <v>0</v>
      </c>
      <c r="J962" s="56">
        <f t="shared" si="149"/>
        <v>0</v>
      </c>
      <c r="K962" s="56">
        <f t="shared" si="149"/>
        <v>0</v>
      </c>
      <c r="L962" s="56">
        <f t="shared" si="149"/>
        <v>0</v>
      </c>
      <c r="M962" s="56">
        <f t="shared" si="149"/>
        <v>0</v>
      </c>
      <c r="N962" s="56">
        <f t="shared" si="149"/>
        <v>0</v>
      </c>
      <c r="O962" s="57">
        <f t="shared" si="149"/>
        <v>0</v>
      </c>
      <c r="P962" s="60">
        <f>SUM(P945:P952)-SUM(P956:P957)</f>
        <v>0</v>
      </c>
      <c r="Q962" s="59">
        <f>SUM(D962:P962)</f>
        <v>0</v>
      </c>
    </row>
    <row r="963" spans="1:17" ht="14.25" thickBot="1">
      <c r="A963" s="142"/>
      <c r="B963" s="147" t="s">
        <v>5</v>
      </c>
      <c r="C963" s="148"/>
      <c r="D963" s="42">
        <f>SUM(D945:D952)-SUM(D953:D957)+SUM(D958:D961)</f>
        <v>0</v>
      </c>
      <c r="E963" s="42">
        <f>SUM(E945:E952)-SUM(E953:E957)+SUM(E958:E961)</f>
        <v>0</v>
      </c>
      <c r="F963" s="42">
        <f t="shared" ref="F963:O963" si="150">SUM(F945:F952)-SUM(F953:F957)+SUM(F958:F961)</f>
        <v>0</v>
      </c>
      <c r="G963" s="42">
        <f>SUM(G945:G952)-SUM(G953:G957)+SUM(G958:G961)</f>
        <v>0</v>
      </c>
      <c r="H963" s="42">
        <f t="shared" si="150"/>
        <v>0</v>
      </c>
      <c r="I963" s="42">
        <f t="shared" si="150"/>
        <v>0</v>
      </c>
      <c r="J963" s="42">
        <f t="shared" si="150"/>
        <v>0</v>
      </c>
      <c r="K963" s="42">
        <f t="shared" si="150"/>
        <v>0</v>
      </c>
      <c r="L963" s="42">
        <f t="shared" si="150"/>
        <v>0</v>
      </c>
      <c r="M963" s="42">
        <f t="shared" si="150"/>
        <v>0</v>
      </c>
      <c r="N963" s="42">
        <f t="shared" si="150"/>
        <v>0</v>
      </c>
      <c r="O963" s="43">
        <f t="shared" si="150"/>
        <v>0</v>
      </c>
      <c r="P963" s="44">
        <f>SUM(P945:P952)-SUM(P953:P957)+SUM(P958:P961)</f>
        <v>0</v>
      </c>
      <c r="Q963" s="46">
        <f t="shared" si="148"/>
        <v>0</v>
      </c>
    </row>
    <row r="964" spans="1:17">
      <c r="A964" s="140"/>
      <c r="B964" s="158" t="s">
        <v>12</v>
      </c>
      <c r="C964" s="114" t="s">
        <v>87</v>
      </c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78"/>
      <c r="P964" s="30"/>
      <c r="Q964" s="19">
        <f>SUM(D964:P964)</f>
        <v>0</v>
      </c>
    </row>
    <row r="965" spans="1:17">
      <c r="A965" s="141"/>
      <c r="B965" s="154"/>
      <c r="C965" s="115" t="s">
        <v>89</v>
      </c>
      <c r="D965" s="88"/>
      <c r="E965" s="88"/>
      <c r="F965" s="88"/>
      <c r="G965" s="88"/>
      <c r="H965" s="88"/>
      <c r="I965" s="88"/>
      <c r="J965" s="88"/>
      <c r="K965" s="88"/>
      <c r="L965" s="88"/>
      <c r="M965" s="88"/>
      <c r="N965" s="88"/>
      <c r="O965" s="81"/>
      <c r="P965" s="31"/>
      <c r="Q965" s="20">
        <f t="shared" ref="Q965:Q982" si="151">SUM(D965:P965)</f>
        <v>0</v>
      </c>
    </row>
    <row r="966" spans="1:17">
      <c r="A966" s="141"/>
      <c r="B966" s="143"/>
      <c r="C966" s="116" t="s">
        <v>88</v>
      </c>
      <c r="D966" s="89"/>
      <c r="E966" s="90"/>
      <c r="F966" s="90"/>
      <c r="G966" s="90"/>
      <c r="H966" s="89"/>
      <c r="I966" s="89"/>
      <c r="J966" s="89"/>
      <c r="K966" s="89"/>
      <c r="L966" s="89"/>
      <c r="M966" s="89"/>
      <c r="N966" s="89"/>
      <c r="O966" s="17"/>
      <c r="P966" s="28"/>
      <c r="Q966" s="20">
        <f t="shared" si="151"/>
        <v>0</v>
      </c>
    </row>
    <row r="967" spans="1:17">
      <c r="A967" s="141"/>
      <c r="B967" s="143"/>
      <c r="C967" s="117" t="s">
        <v>90</v>
      </c>
      <c r="D967" s="91"/>
      <c r="E967" s="89"/>
      <c r="F967" s="89"/>
      <c r="G967" s="91"/>
      <c r="H967" s="91"/>
      <c r="I967" s="91"/>
      <c r="J967" s="91"/>
      <c r="K967" s="91"/>
      <c r="L967" s="91"/>
      <c r="M967" s="91"/>
      <c r="N967" s="91"/>
      <c r="O967" s="80"/>
      <c r="P967" s="32"/>
      <c r="Q967" s="20">
        <f t="shared" si="151"/>
        <v>0</v>
      </c>
    </row>
    <row r="968" spans="1:17">
      <c r="A968" s="141"/>
      <c r="B968" s="143"/>
      <c r="C968" s="117" t="s">
        <v>91</v>
      </c>
      <c r="D968" s="91"/>
      <c r="E968" s="91"/>
      <c r="F968" s="91"/>
      <c r="G968" s="91"/>
      <c r="H968" s="91"/>
      <c r="I968" s="91"/>
      <c r="J968" s="91"/>
      <c r="K968" s="91"/>
      <c r="L968" s="91"/>
      <c r="M968" s="91"/>
      <c r="N968" s="91"/>
      <c r="O968" s="80"/>
      <c r="P968" s="32"/>
      <c r="Q968" s="20">
        <f t="shared" si="151"/>
        <v>0</v>
      </c>
    </row>
    <row r="969" spans="1:17">
      <c r="A969" s="141"/>
      <c r="B969" s="143"/>
      <c r="C969" s="117" t="s">
        <v>92</v>
      </c>
      <c r="D969" s="91"/>
      <c r="E969" s="91"/>
      <c r="F969" s="91"/>
      <c r="G969" s="91"/>
      <c r="H969" s="91"/>
      <c r="I969" s="91"/>
      <c r="J969" s="91"/>
      <c r="K969" s="91"/>
      <c r="L969" s="91"/>
      <c r="M969" s="91"/>
      <c r="N969" s="91"/>
      <c r="O969" s="80"/>
      <c r="P969" s="32"/>
      <c r="Q969" s="20">
        <f t="shared" si="151"/>
        <v>0</v>
      </c>
    </row>
    <row r="970" spans="1:17">
      <c r="A970" s="141"/>
      <c r="B970" s="143"/>
      <c r="C970" s="116" t="s">
        <v>93</v>
      </c>
      <c r="D970" s="91"/>
      <c r="E970" s="91"/>
      <c r="F970" s="91"/>
      <c r="G970" s="91"/>
      <c r="H970" s="91"/>
      <c r="I970" s="91"/>
      <c r="J970" s="91"/>
      <c r="K970" s="91"/>
      <c r="L970" s="91"/>
      <c r="M970" s="91"/>
      <c r="N970" s="91"/>
      <c r="O970" s="80"/>
      <c r="P970" s="32"/>
      <c r="Q970" s="20">
        <f t="shared" si="151"/>
        <v>0</v>
      </c>
    </row>
    <row r="971" spans="1:17">
      <c r="A971" s="141"/>
      <c r="B971" s="143"/>
      <c r="C971" s="118" t="s">
        <v>94</v>
      </c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18"/>
      <c r="P971" s="33"/>
      <c r="Q971" s="22">
        <f t="shared" si="151"/>
        <v>0</v>
      </c>
    </row>
    <row r="972" spans="1:17">
      <c r="A972" s="141"/>
      <c r="B972" s="143" t="s">
        <v>11</v>
      </c>
      <c r="C972" s="119" t="s">
        <v>7</v>
      </c>
      <c r="D972" s="93"/>
      <c r="E972" s="93"/>
      <c r="F972" s="93"/>
      <c r="G972" s="93"/>
      <c r="H972" s="93"/>
      <c r="I972" s="93"/>
      <c r="J972" s="93"/>
      <c r="K972" s="93"/>
      <c r="L972" s="94"/>
      <c r="M972" s="94"/>
      <c r="N972" s="94"/>
      <c r="O972" s="79"/>
      <c r="P972" s="27"/>
      <c r="Q972" s="21">
        <f t="shared" si="151"/>
        <v>0</v>
      </c>
    </row>
    <row r="973" spans="1:17">
      <c r="A973" s="141"/>
      <c r="B973" s="143"/>
      <c r="C973" s="117" t="s">
        <v>4</v>
      </c>
      <c r="D973" s="95"/>
      <c r="E973" s="95"/>
      <c r="F973" s="95"/>
      <c r="G973" s="95"/>
      <c r="H973" s="95"/>
      <c r="I973" s="95"/>
      <c r="J973" s="95"/>
      <c r="K973" s="95"/>
      <c r="L973" s="91"/>
      <c r="M973" s="91"/>
      <c r="N973" s="91"/>
      <c r="O973" s="80"/>
      <c r="P973" s="32"/>
      <c r="Q973" s="20">
        <f t="shared" si="151"/>
        <v>0</v>
      </c>
    </row>
    <row r="974" spans="1:17">
      <c r="A974" s="141"/>
      <c r="B974" s="143"/>
      <c r="C974" s="117" t="s">
        <v>17</v>
      </c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91"/>
      <c r="O974" s="80"/>
      <c r="P974" s="32"/>
      <c r="Q974" s="20">
        <f t="shared" si="151"/>
        <v>0</v>
      </c>
    </row>
    <row r="975" spans="1:17">
      <c r="A975" s="141"/>
      <c r="B975" s="143"/>
      <c r="C975" s="117" t="s">
        <v>18</v>
      </c>
      <c r="D975" s="90"/>
      <c r="E975" s="90"/>
      <c r="F975" s="90"/>
      <c r="G975" s="90"/>
      <c r="H975" s="91"/>
      <c r="I975" s="91"/>
      <c r="J975" s="91"/>
      <c r="K975" s="91"/>
      <c r="L975" s="91"/>
      <c r="M975" s="91"/>
      <c r="N975" s="91"/>
      <c r="O975" s="80"/>
      <c r="P975" s="32"/>
      <c r="Q975" s="20">
        <f t="shared" si="151"/>
        <v>0</v>
      </c>
    </row>
    <row r="976" spans="1:17">
      <c r="A976" s="141"/>
      <c r="B976" s="143"/>
      <c r="C976" s="120" t="s">
        <v>19</v>
      </c>
      <c r="D976" s="96"/>
      <c r="E976" s="96"/>
      <c r="F976" s="96"/>
      <c r="G976" s="96"/>
      <c r="H976" s="92"/>
      <c r="I976" s="92"/>
      <c r="J976" s="92"/>
      <c r="K976" s="92"/>
      <c r="L976" s="92"/>
      <c r="M976" s="92"/>
      <c r="N976" s="92"/>
      <c r="O976" s="18"/>
      <c r="P976" s="33"/>
      <c r="Q976" s="22">
        <f t="shared" si="151"/>
        <v>0</v>
      </c>
    </row>
    <row r="977" spans="1:17">
      <c r="A977" s="141"/>
      <c r="B977" s="143" t="s">
        <v>13</v>
      </c>
      <c r="C977" s="119" t="s">
        <v>10</v>
      </c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79"/>
      <c r="P977" s="27"/>
      <c r="Q977" s="21">
        <f t="shared" si="151"/>
        <v>0</v>
      </c>
    </row>
    <row r="978" spans="1:17">
      <c r="A978" s="141"/>
      <c r="B978" s="143"/>
      <c r="C978" s="116" t="s">
        <v>55</v>
      </c>
      <c r="D978" s="89"/>
      <c r="E978" s="89"/>
      <c r="F978" s="89"/>
      <c r="G978" s="89"/>
      <c r="H978" s="89"/>
      <c r="I978" s="89"/>
      <c r="J978" s="89"/>
      <c r="K978" s="89"/>
      <c r="L978" s="89"/>
      <c r="M978" s="89"/>
      <c r="N978" s="89"/>
      <c r="O978" s="17"/>
      <c r="P978" s="28"/>
      <c r="Q978" s="20">
        <f t="shared" si="151"/>
        <v>0</v>
      </c>
    </row>
    <row r="979" spans="1:17">
      <c r="A979" s="141"/>
      <c r="B979" s="143"/>
      <c r="C979" s="116" t="s">
        <v>56</v>
      </c>
      <c r="D979" s="89"/>
      <c r="E979" s="89"/>
      <c r="F979" s="89"/>
      <c r="G979" s="89"/>
      <c r="H979" s="89"/>
      <c r="I979" s="89"/>
      <c r="J979" s="89"/>
      <c r="K979" s="89"/>
      <c r="L979" s="89"/>
      <c r="M979" s="89"/>
      <c r="N979" s="89"/>
      <c r="O979" s="17"/>
      <c r="P979" s="28"/>
      <c r="Q979" s="20">
        <f t="shared" si="151"/>
        <v>0</v>
      </c>
    </row>
    <row r="980" spans="1:17">
      <c r="A980" s="141"/>
      <c r="B980" s="143"/>
      <c r="C980" s="120" t="s">
        <v>61</v>
      </c>
      <c r="D980" s="92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18"/>
      <c r="P980" s="33"/>
      <c r="Q980" s="22">
        <f t="shared" si="151"/>
        <v>0</v>
      </c>
    </row>
    <row r="981" spans="1:17">
      <c r="A981" s="141"/>
      <c r="B981" s="156" t="s">
        <v>54</v>
      </c>
      <c r="C981" s="157"/>
      <c r="D981" s="56">
        <f>SUM(D964:D971)-SUM(D975:D976)</f>
        <v>0</v>
      </c>
      <c r="E981" s="56">
        <f t="shared" ref="E981:O981" si="152">SUM(E964:E971)-SUM(E975:E976)</f>
        <v>0</v>
      </c>
      <c r="F981" s="56">
        <f t="shared" si="152"/>
        <v>0</v>
      </c>
      <c r="G981" s="56">
        <f>SUM(G964:G971)-SUM(G975:G976)</f>
        <v>0</v>
      </c>
      <c r="H981" s="56">
        <f t="shared" si="152"/>
        <v>0</v>
      </c>
      <c r="I981" s="56">
        <f t="shared" si="152"/>
        <v>0</v>
      </c>
      <c r="J981" s="56">
        <f t="shared" si="152"/>
        <v>0</v>
      </c>
      <c r="K981" s="56">
        <f t="shared" si="152"/>
        <v>0</v>
      </c>
      <c r="L981" s="56">
        <f t="shared" si="152"/>
        <v>0</v>
      </c>
      <c r="M981" s="56">
        <f t="shared" si="152"/>
        <v>0</v>
      </c>
      <c r="N981" s="56">
        <f t="shared" si="152"/>
        <v>0</v>
      </c>
      <c r="O981" s="57">
        <f t="shared" si="152"/>
        <v>0</v>
      </c>
      <c r="P981" s="60">
        <f>SUM(P964:P971)-SUM(P975:P976)</f>
        <v>0</v>
      </c>
      <c r="Q981" s="59">
        <f>SUM(D981:P981)</f>
        <v>0</v>
      </c>
    </row>
    <row r="982" spans="1:17" ht="14.25" thickBot="1">
      <c r="A982" s="142"/>
      <c r="B982" s="147" t="s">
        <v>5</v>
      </c>
      <c r="C982" s="148"/>
      <c r="D982" s="42">
        <f>SUM(D964:D971)-SUM(D972:D976)+SUM(D977:D980)</f>
        <v>0</v>
      </c>
      <c r="E982" s="42">
        <f>SUM(E964:E971)-SUM(E972:E976)+SUM(E977:E980)</f>
        <v>0</v>
      </c>
      <c r="F982" s="42">
        <f t="shared" ref="F982:O982" si="153">SUM(F964:F971)-SUM(F972:F976)+SUM(F977:F980)</f>
        <v>0</v>
      </c>
      <c r="G982" s="42">
        <f>SUM(G964:G971)-SUM(G972:G976)+SUM(G977:G980)</f>
        <v>0</v>
      </c>
      <c r="H982" s="42">
        <f t="shared" si="153"/>
        <v>0</v>
      </c>
      <c r="I982" s="42">
        <f t="shared" si="153"/>
        <v>0</v>
      </c>
      <c r="J982" s="42">
        <f t="shared" si="153"/>
        <v>0</v>
      </c>
      <c r="K982" s="42">
        <f t="shared" si="153"/>
        <v>0</v>
      </c>
      <c r="L982" s="42">
        <f t="shared" si="153"/>
        <v>0</v>
      </c>
      <c r="M982" s="42">
        <f t="shared" si="153"/>
        <v>0</v>
      </c>
      <c r="N982" s="42">
        <f t="shared" si="153"/>
        <v>0</v>
      </c>
      <c r="O982" s="43">
        <f t="shared" si="153"/>
        <v>0</v>
      </c>
      <c r="P982" s="44">
        <f>SUM(P964:P971)-SUM(P972:P976)+SUM(P977:P980)</f>
        <v>0</v>
      </c>
      <c r="Q982" s="46">
        <f t="shared" si="151"/>
        <v>0</v>
      </c>
    </row>
    <row r="983" spans="1:17">
      <c r="A983" s="140"/>
      <c r="B983" s="158" t="s">
        <v>12</v>
      </c>
      <c r="C983" s="114" t="s">
        <v>87</v>
      </c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78"/>
      <c r="P983" s="30"/>
      <c r="Q983" s="19">
        <f>SUM(D983:P983)</f>
        <v>0</v>
      </c>
    </row>
    <row r="984" spans="1:17">
      <c r="A984" s="141"/>
      <c r="B984" s="154"/>
      <c r="C984" s="115" t="s">
        <v>89</v>
      </c>
      <c r="D984" s="88"/>
      <c r="E984" s="88"/>
      <c r="F984" s="88"/>
      <c r="G984" s="88"/>
      <c r="H984" s="88"/>
      <c r="I984" s="88"/>
      <c r="J984" s="88"/>
      <c r="K984" s="88"/>
      <c r="L984" s="88"/>
      <c r="M984" s="88"/>
      <c r="N984" s="88"/>
      <c r="O984" s="81"/>
      <c r="P984" s="31"/>
      <c r="Q984" s="20">
        <f t="shared" ref="Q984:Q1001" si="154">SUM(D984:P984)</f>
        <v>0</v>
      </c>
    </row>
    <row r="985" spans="1:17">
      <c r="A985" s="141"/>
      <c r="B985" s="143"/>
      <c r="C985" s="116" t="s">
        <v>88</v>
      </c>
      <c r="D985" s="89"/>
      <c r="E985" s="90"/>
      <c r="F985" s="90"/>
      <c r="G985" s="90"/>
      <c r="H985" s="89"/>
      <c r="I985" s="89"/>
      <c r="J985" s="89"/>
      <c r="K985" s="89"/>
      <c r="L985" s="89"/>
      <c r="M985" s="89"/>
      <c r="N985" s="89"/>
      <c r="O985" s="17"/>
      <c r="P985" s="28"/>
      <c r="Q985" s="20">
        <f t="shared" si="154"/>
        <v>0</v>
      </c>
    </row>
    <row r="986" spans="1:17">
      <c r="A986" s="141"/>
      <c r="B986" s="143"/>
      <c r="C986" s="117" t="s">
        <v>90</v>
      </c>
      <c r="D986" s="91"/>
      <c r="E986" s="89"/>
      <c r="F986" s="89"/>
      <c r="G986" s="91"/>
      <c r="H986" s="91"/>
      <c r="I986" s="91"/>
      <c r="J986" s="91"/>
      <c r="K986" s="91"/>
      <c r="L986" s="91"/>
      <c r="M986" s="91"/>
      <c r="N986" s="91"/>
      <c r="O986" s="80"/>
      <c r="P986" s="32"/>
      <c r="Q986" s="20">
        <f t="shared" si="154"/>
        <v>0</v>
      </c>
    </row>
    <row r="987" spans="1:17">
      <c r="A987" s="141"/>
      <c r="B987" s="143"/>
      <c r="C987" s="117" t="s">
        <v>91</v>
      </c>
      <c r="D987" s="91"/>
      <c r="E987" s="91"/>
      <c r="F987" s="91"/>
      <c r="G987" s="91"/>
      <c r="H987" s="91"/>
      <c r="I987" s="91"/>
      <c r="J987" s="91"/>
      <c r="K987" s="91"/>
      <c r="L987" s="91"/>
      <c r="M987" s="91"/>
      <c r="N987" s="91"/>
      <c r="O987" s="80"/>
      <c r="P987" s="32"/>
      <c r="Q987" s="20">
        <f t="shared" si="154"/>
        <v>0</v>
      </c>
    </row>
    <row r="988" spans="1:17">
      <c r="A988" s="141"/>
      <c r="B988" s="143"/>
      <c r="C988" s="117" t="s">
        <v>92</v>
      </c>
      <c r="D988" s="91"/>
      <c r="E988" s="91"/>
      <c r="F988" s="91"/>
      <c r="G988" s="91"/>
      <c r="H988" s="91"/>
      <c r="I988" s="91"/>
      <c r="J988" s="91"/>
      <c r="K988" s="91"/>
      <c r="L988" s="91"/>
      <c r="M988" s="91"/>
      <c r="N988" s="91"/>
      <c r="O988" s="80"/>
      <c r="P988" s="32"/>
      <c r="Q988" s="20">
        <f t="shared" si="154"/>
        <v>0</v>
      </c>
    </row>
    <row r="989" spans="1:17">
      <c r="A989" s="141"/>
      <c r="B989" s="143"/>
      <c r="C989" s="116" t="s">
        <v>93</v>
      </c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1"/>
      <c r="O989" s="80"/>
      <c r="P989" s="32"/>
      <c r="Q989" s="20">
        <f t="shared" si="154"/>
        <v>0</v>
      </c>
    </row>
    <row r="990" spans="1:17">
      <c r="A990" s="141"/>
      <c r="B990" s="143"/>
      <c r="C990" s="118" t="s">
        <v>94</v>
      </c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18"/>
      <c r="P990" s="33"/>
      <c r="Q990" s="22">
        <f t="shared" si="154"/>
        <v>0</v>
      </c>
    </row>
    <row r="991" spans="1:17">
      <c r="A991" s="141"/>
      <c r="B991" s="143" t="s">
        <v>11</v>
      </c>
      <c r="C991" s="119" t="s">
        <v>7</v>
      </c>
      <c r="D991" s="93"/>
      <c r="E991" s="93"/>
      <c r="F991" s="93"/>
      <c r="G991" s="93"/>
      <c r="H991" s="93"/>
      <c r="I991" s="93"/>
      <c r="J991" s="93"/>
      <c r="K991" s="93"/>
      <c r="L991" s="94"/>
      <c r="M991" s="94"/>
      <c r="N991" s="94"/>
      <c r="O991" s="79"/>
      <c r="P991" s="27"/>
      <c r="Q991" s="21">
        <f t="shared" si="154"/>
        <v>0</v>
      </c>
    </row>
    <row r="992" spans="1:17">
      <c r="A992" s="141"/>
      <c r="B992" s="143"/>
      <c r="C992" s="117" t="s">
        <v>4</v>
      </c>
      <c r="D992" s="95"/>
      <c r="E992" s="95"/>
      <c r="F992" s="95"/>
      <c r="G992" s="95"/>
      <c r="H992" s="95"/>
      <c r="I992" s="95"/>
      <c r="J992" s="95"/>
      <c r="K992" s="95"/>
      <c r="L992" s="91"/>
      <c r="M992" s="91"/>
      <c r="N992" s="91"/>
      <c r="O992" s="80"/>
      <c r="P992" s="32"/>
      <c r="Q992" s="20">
        <f t="shared" si="154"/>
        <v>0</v>
      </c>
    </row>
    <row r="993" spans="1:17">
      <c r="A993" s="141"/>
      <c r="B993" s="143"/>
      <c r="C993" s="117" t="s">
        <v>17</v>
      </c>
      <c r="D993" s="91"/>
      <c r="E993" s="91"/>
      <c r="F993" s="91"/>
      <c r="G993" s="91"/>
      <c r="H993" s="91"/>
      <c r="I993" s="91"/>
      <c r="J993" s="91"/>
      <c r="K993" s="91"/>
      <c r="L993" s="91"/>
      <c r="M993" s="91"/>
      <c r="N993" s="91"/>
      <c r="O993" s="80"/>
      <c r="P993" s="32"/>
      <c r="Q993" s="20">
        <f t="shared" si="154"/>
        <v>0</v>
      </c>
    </row>
    <row r="994" spans="1:17">
      <c r="A994" s="141"/>
      <c r="B994" s="143"/>
      <c r="C994" s="117" t="s">
        <v>18</v>
      </c>
      <c r="D994" s="90"/>
      <c r="E994" s="90"/>
      <c r="F994" s="90"/>
      <c r="G994" s="90"/>
      <c r="H994" s="91"/>
      <c r="I994" s="91"/>
      <c r="J994" s="91"/>
      <c r="K994" s="91"/>
      <c r="L994" s="91"/>
      <c r="M994" s="91"/>
      <c r="N994" s="91"/>
      <c r="O994" s="80"/>
      <c r="P994" s="32"/>
      <c r="Q994" s="20">
        <f t="shared" si="154"/>
        <v>0</v>
      </c>
    </row>
    <row r="995" spans="1:17">
      <c r="A995" s="141"/>
      <c r="B995" s="143"/>
      <c r="C995" s="120" t="s">
        <v>19</v>
      </c>
      <c r="D995" s="96"/>
      <c r="E995" s="96"/>
      <c r="F995" s="96"/>
      <c r="G995" s="96"/>
      <c r="H995" s="92"/>
      <c r="I995" s="92"/>
      <c r="J995" s="92"/>
      <c r="K995" s="92"/>
      <c r="L995" s="92"/>
      <c r="M995" s="92"/>
      <c r="N995" s="92"/>
      <c r="O995" s="18"/>
      <c r="P995" s="33"/>
      <c r="Q995" s="22">
        <f t="shared" si="154"/>
        <v>0</v>
      </c>
    </row>
    <row r="996" spans="1:17">
      <c r="A996" s="141"/>
      <c r="B996" s="143" t="s">
        <v>13</v>
      </c>
      <c r="C996" s="119" t="s">
        <v>10</v>
      </c>
      <c r="D996" s="94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79"/>
      <c r="P996" s="27"/>
      <c r="Q996" s="21">
        <f t="shared" si="154"/>
        <v>0</v>
      </c>
    </row>
    <row r="997" spans="1:17">
      <c r="A997" s="141"/>
      <c r="B997" s="143"/>
      <c r="C997" s="116" t="s">
        <v>55</v>
      </c>
      <c r="D997" s="89"/>
      <c r="E997" s="89"/>
      <c r="F997" s="89"/>
      <c r="G997" s="89"/>
      <c r="H997" s="89"/>
      <c r="I997" s="89"/>
      <c r="J997" s="89"/>
      <c r="K997" s="89"/>
      <c r="L997" s="89"/>
      <c r="M997" s="89"/>
      <c r="N997" s="89"/>
      <c r="O997" s="17"/>
      <c r="P997" s="28"/>
      <c r="Q997" s="20">
        <f t="shared" si="154"/>
        <v>0</v>
      </c>
    </row>
    <row r="998" spans="1:17">
      <c r="A998" s="141"/>
      <c r="B998" s="143"/>
      <c r="C998" s="116" t="s">
        <v>56</v>
      </c>
      <c r="D998" s="89"/>
      <c r="E998" s="89"/>
      <c r="F998" s="89"/>
      <c r="G998" s="89"/>
      <c r="H998" s="89"/>
      <c r="I998" s="89"/>
      <c r="J998" s="89"/>
      <c r="K998" s="89"/>
      <c r="L998" s="89"/>
      <c r="M998" s="89"/>
      <c r="N998" s="89"/>
      <c r="O998" s="17"/>
      <c r="P998" s="28"/>
      <c r="Q998" s="20">
        <f t="shared" si="154"/>
        <v>0</v>
      </c>
    </row>
    <row r="999" spans="1:17">
      <c r="A999" s="141"/>
      <c r="B999" s="143"/>
      <c r="C999" s="120" t="s">
        <v>61</v>
      </c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18"/>
      <c r="P999" s="33"/>
      <c r="Q999" s="22">
        <f t="shared" si="154"/>
        <v>0</v>
      </c>
    </row>
    <row r="1000" spans="1:17">
      <c r="A1000" s="141"/>
      <c r="B1000" s="156" t="s">
        <v>54</v>
      </c>
      <c r="C1000" s="157"/>
      <c r="D1000" s="56">
        <f>SUM(D983:D990)-SUM(D994:D995)</f>
        <v>0</v>
      </c>
      <c r="E1000" s="56">
        <f t="shared" ref="E1000:O1000" si="155">SUM(E983:E990)-SUM(E994:E995)</f>
        <v>0</v>
      </c>
      <c r="F1000" s="56">
        <f t="shared" si="155"/>
        <v>0</v>
      </c>
      <c r="G1000" s="56">
        <f>SUM(G983:G990)-SUM(G994:G995)</f>
        <v>0</v>
      </c>
      <c r="H1000" s="56">
        <f t="shared" si="155"/>
        <v>0</v>
      </c>
      <c r="I1000" s="56">
        <f t="shared" si="155"/>
        <v>0</v>
      </c>
      <c r="J1000" s="56">
        <f t="shared" si="155"/>
        <v>0</v>
      </c>
      <c r="K1000" s="56">
        <f t="shared" si="155"/>
        <v>0</v>
      </c>
      <c r="L1000" s="56">
        <f t="shared" si="155"/>
        <v>0</v>
      </c>
      <c r="M1000" s="56">
        <f t="shared" si="155"/>
        <v>0</v>
      </c>
      <c r="N1000" s="56">
        <f t="shared" si="155"/>
        <v>0</v>
      </c>
      <c r="O1000" s="57">
        <f t="shared" si="155"/>
        <v>0</v>
      </c>
      <c r="P1000" s="60">
        <f>SUM(P983:P990)-SUM(P994:P995)</f>
        <v>0</v>
      </c>
      <c r="Q1000" s="59">
        <f>SUM(D1000:P1000)</f>
        <v>0</v>
      </c>
    </row>
    <row r="1001" spans="1:17" ht="14.25" thickBot="1">
      <c r="A1001" s="142"/>
      <c r="B1001" s="147" t="s">
        <v>5</v>
      </c>
      <c r="C1001" s="148"/>
      <c r="D1001" s="42">
        <f>SUM(D983:D990)-SUM(D991:D995)+SUM(D996:D999)</f>
        <v>0</v>
      </c>
      <c r="E1001" s="42">
        <f>SUM(E983:E990)-SUM(E991:E995)+SUM(E996:E999)</f>
        <v>0</v>
      </c>
      <c r="F1001" s="42">
        <f t="shared" ref="F1001:O1001" si="156">SUM(F983:F990)-SUM(F991:F995)+SUM(F996:F999)</f>
        <v>0</v>
      </c>
      <c r="G1001" s="42">
        <f>SUM(G983:G990)-SUM(G991:G995)+SUM(G996:G999)</f>
        <v>0</v>
      </c>
      <c r="H1001" s="42">
        <f t="shared" si="156"/>
        <v>0</v>
      </c>
      <c r="I1001" s="42">
        <f t="shared" si="156"/>
        <v>0</v>
      </c>
      <c r="J1001" s="42">
        <f t="shared" si="156"/>
        <v>0</v>
      </c>
      <c r="K1001" s="42">
        <f t="shared" si="156"/>
        <v>0</v>
      </c>
      <c r="L1001" s="42">
        <f t="shared" si="156"/>
        <v>0</v>
      </c>
      <c r="M1001" s="42">
        <f t="shared" si="156"/>
        <v>0</v>
      </c>
      <c r="N1001" s="42">
        <f t="shared" si="156"/>
        <v>0</v>
      </c>
      <c r="O1001" s="43">
        <f t="shared" si="156"/>
        <v>0</v>
      </c>
      <c r="P1001" s="44">
        <f>SUM(P983:P990)-SUM(P991:P995)+SUM(P996:P999)</f>
        <v>0</v>
      </c>
      <c r="Q1001" s="46">
        <f t="shared" si="154"/>
        <v>0</v>
      </c>
    </row>
    <row r="1002" spans="1:17">
      <c r="A1002" s="140"/>
      <c r="B1002" s="158" t="s">
        <v>12</v>
      </c>
      <c r="C1002" s="114" t="s">
        <v>87</v>
      </c>
      <c r="D1002" s="87"/>
      <c r="E1002" s="87"/>
      <c r="F1002" s="87"/>
      <c r="G1002" s="87"/>
      <c r="H1002" s="87"/>
      <c r="I1002" s="87"/>
      <c r="J1002" s="87"/>
      <c r="K1002" s="87"/>
      <c r="L1002" s="87"/>
      <c r="M1002" s="87"/>
      <c r="N1002" s="87"/>
      <c r="O1002" s="78"/>
      <c r="P1002" s="30"/>
      <c r="Q1002" s="19">
        <f>SUM(D1002:P1002)</f>
        <v>0</v>
      </c>
    </row>
    <row r="1003" spans="1:17">
      <c r="A1003" s="141"/>
      <c r="B1003" s="154"/>
      <c r="C1003" s="115" t="s">
        <v>89</v>
      </c>
      <c r="D1003" s="88"/>
      <c r="E1003" s="88"/>
      <c r="F1003" s="88"/>
      <c r="G1003" s="88"/>
      <c r="H1003" s="88"/>
      <c r="I1003" s="88"/>
      <c r="J1003" s="88"/>
      <c r="K1003" s="88"/>
      <c r="L1003" s="88"/>
      <c r="M1003" s="88"/>
      <c r="N1003" s="88"/>
      <c r="O1003" s="81"/>
      <c r="P1003" s="31"/>
      <c r="Q1003" s="20">
        <f t="shared" ref="Q1003:Q1020" si="157">SUM(D1003:P1003)</f>
        <v>0</v>
      </c>
    </row>
    <row r="1004" spans="1:17">
      <c r="A1004" s="141"/>
      <c r="B1004" s="143"/>
      <c r="C1004" s="116" t="s">
        <v>88</v>
      </c>
      <c r="D1004" s="89"/>
      <c r="E1004" s="90"/>
      <c r="F1004" s="90"/>
      <c r="G1004" s="90"/>
      <c r="H1004" s="89"/>
      <c r="I1004" s="89"/>
      <c r="J1004" s="89"/>
      <c r="K1004" s="89"/>
      <c r="L1004" s="89"/>
      <c r="M1004" s="89"/>
      <c r="N1004" s="89"/>
      <c r="O1004" s="17"/>
      <c r="P1004" s="28"/>
      <c r="Q1004" s="20">
        <f t="shared" si="157"/>
        <v>0</v>
      </c>
    </row>
    <row r="1005" spans="1:17">
      <c r="A1005" s="141"/>
      <c r="B1005" s="143"/>
      <c r="C1005" s="117" t="s">
        <v>90</v>
      </c>
      <c r="D1005" s="91"/>
      <c r="E1005" s="89"/>
      <c r="F1005" s="89"/>
      <c r="G1005" s="91"/>
      <c r="H1005" s="91"/>
      <c r="I1005" s="91"/>
      <c r="J1005" s="91"/>
      <c r="K1005" s="91"/>
      <c r="L1005" s="91"/>
      <c r="M1005" s="91"/>
      <c r="N1005" s="91"/>
      <c r="O1005" s="80"/>
      <c r="P1005" s="32"/>
      <c r="Q1005" s="20">
        <f t="shared" si="157"/>
        <v>0</v>
      </c>
    </row>
    <row r="1006" spans="1:17">
      <c r="A1006" s="141"/>
      <c r="B1006" s="143"/>
      <c r="C1006" s="117" t="s">
        <v>91</v>
      </c>
      <c r="D1006" s="91"/>
      <c r="E1006" s="91"/>
      <c r="F1006" s="91"/>
      <c r="G1006" s="91"/>
      <c r="H1006" s="91"/>
      <c r="I1006" s="91"/>
      <c r="J1006" s="91"/>
      <c r="K1006" s="91"/>
      <c r="L1006" s="91"/>
      <c r="M1006" s="91"/>
      <c r="N1006" s="91"/>
      <c r="O1006" s="80"/>
      <c r="P1006" s="32"/>
      <c r="Q1006" s="20">
        <f t="shared" si="157"/>
        <v>0</v>
      </c>
    </row>
    <row r="1007" spans="1:17">
      <c r="A1007" s="141"/>
      <c r="B1007" s="143"/>
      <c r="C1007" s="117" t="s">
        <v>92</v>
      </c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1"/>
      <c r="O1007" s="80"/>
      <c r="P1007" s="32"/>
      <c r="Q1007" s="20">
        <f t="shared" si="157"/>
        <v>0</v>
      </c>
    </row>
    <row r="1008" spans="1:17">
      <c r="A1008" s="141"/>
      <c r="B1008" s="143"/>
      <c r="C1008" s="116" t="s">
        <v>93</v>
      </c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80"/>
      <c r="P1008" s="32"/>
      <c r="Q1008" s="20">
        <f t="shared" si="157"/>
        <v>0</v>
      </c>
    </row>
    <row r="1009" spans="1:17">
      <c r="A1009" s="141"/>
      <c r="B1009" s="143"/>
      <c r="C1009" s="118" t="s">
        <v>94</v>
      </c>
      <c r="D1009" s="92"/>
      <c r="E1009" s="92"/>
      <c r="F1009" s="92"/>
      <c r="G1009" s="92"/>
      <c r="H1009" s="92"/>
      <c r="I1009" s="92"/>
      <c r="J1009" s="92"/>
      <c r="K1009" s="92"/>
      <c r="L1009" s="92"/>
      <c r="M1009" s="92"/>
      <c r="N1009" s="92"/>
      <c r="O1009" s="18"/>
      <c r="P1009" s="33"/>
      <c r="Q1009" s="22">
        <f t="shared" si="157"/>
        <v>0</v>
      </c>
    </row>
    <row r="1010" spans="1:17">
      <c r="A1010" s="141"/>
      <c r="B1010" s="143" t="s">
        <v>11</v>
      </c>
      <c r="C1010" s="119" t="s">
        <v>7</v>
      </c>
      <c r="D1010" s="93"/>
      <c r="E1010" s="93"/>
      <c r="F1010" s="93"/>
      <c r="G1010" s="93"/>
      <c r="H1010" s="93"/>
      <c r="I1010" s="93"/>
      <c r="J1010" s="93"/>
      <c r="K1010" s="93"/>
      <c r="L1010" s="94"/>
      <c r="M1010" s="94"/>
      <c r="N1010" s="94"/>
      <c r="O1010" s="79"/>
      <c r="P1010" s="27"/>
      <c r="Q1010" s="21">
        <f t="shared" si="157"/>
        <v>0</v>
      </c>
    </row>
    <row r="1011" spans="1:17">
      <c r="A1011" s="141"/>
      <c r="B1011" s="143"/>
      <c r="C1011" s="117" t="s">
        <v>4</v>
      </c>
      <c r="D1011" s="95"/>
      <c r="E1011" s="95"/>
      <c r="F1011" s="95"/>
      <c r="G1011" s="95"/>
      <c r="H1011" s="95"/>
      <c r="I1011" s="95"/>
      <c r="J1011" s="95"/>
      <c r="K1011" s="95"/>
      <c r="L1011" s="91"/>
      <c r="M1011" s="91"/>
      <c r="N1011" s="91"/>
      <c r="O1011" s="80"/>
      <c r="P1011" s="32"/>
      <c r="Q1011" s="20">
        <f t="shared" si="157"/>
        <v>0</v>
      </c>
    </row>
    <row r="1012" spans="1:17">
      <c r="A1012" s="141"/>
      <c r="B1012" s="143"/>
      <c r="C1012" s="117" t="s">
        <v>17</v>
      </c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80"/>
      <c r="P1012" s="32"/>
      <c r="Q1012" s="20">
        <f t="shared" si="157"/>
        <v>0</v>
      </c>
    </row>
    <row r="1013" spans="1:17">
      <c r="A1013" s="141"/>
      <c r="B1013" s="143"/>
      <c r="C1013" s="117" t="s">
        <v>18</v>
      </c>
      <c r="D1013" s="90"/>
      <c r="E1013" s="90"/>
      <c r="F1013" s="90"/>
      <c r="G1013" s="90"/>
      <c r="H1013" s="91"/>
      <c r="I1013" s="91"/>
      <c r="J1013" s="91"/>
      <c r="K1013" s="91"/>
      <c r="L1013" s="91"/>
      <c r="M1013" s="91"/>
      <c r="N1013" s="91"/>
      <c r="O1013" s="80"/>
      <c r="P1013" s="32"/>
      <c r="Q1013" s="20">
        <f t="shared" si="157"/>
        <v>0</v>
      </c>
    </row>
    <row r="1014" spans="1:17">
      <c r="A1014" s="141"/>
      <c r="B1014" s="143"/>
      <c r="C1014" s="120" t="s">
        <v>19</v>
      </c>
      <c r="D1014" s="96"/>
      <c r="E1014" s="96"/>
      <c r="F1014" s="96"/>
      <c r="G1014" s="96"/>
      <c r="H1014" s="92"/>
      <c r="I1014" s="92"/>
      <c r="J1014" s="92"/>
      <c r="K1014" s="92"/>
      <c r="L1014" s="92"/>
      <c r="M1014" s="92"/>
      <c r="N1014" s="92"/>
      <c r="O1014" s="18"/>
      <c r="P1014" s="33"/>
      <c r="Q1014" s="22">
        <f t="shared" si="157"/>
        <v>0</v>
      </c>
    </row>
    <row r="1015" spans="1:17">
      <c r="A1015" s="141"/>
      <c r="B1015" s="143" t="s">
        <v>13</v>
      </c>
      <c r="C1015" s="119" t="s">
        <v>10</v>
      </c>
      <c r="D1015" s="94"/>
      <c r="E1015" s="94"/>
      <c r="F1015" s="94"/>
      <c r="G1015" s="94"/>
      <c r="H1015" s="94"/>
      <c r="I1015" s="94"/>
      <c r="J1015" s="94"/>
      <c r="K1015" s="94"/>
      <c r="L1015" s="94"/>
      <c r="M1015" s="94"/>
      <c r="N1015" s="94"/>
      <c r="O1015" s="79"/>
      <c r="P1015" s="27"/>
      <c r="Q1015" s="21">
        <f t="shared" si="157"/>
        <v>0</v>
      </c>
    </row>
    <row r="1016" spans="1:17">
      <c r="A1016" s="141"/>
      <c r="B1016" s="143"/>
      <c r="C1016" s="116" t="s">
        <v>55</v>
      </c>
      <c r="D1016" s="89"/>
      <c r="E1016" s="89"/>
      <c r="F1016" s="89"/>
      <c r="G1016" s="89"/>
      <c r="H1016" s="89"/>
      <c r="I1016" s="89"/>
      <c r="J1016" s="89"/>
      <c r="K1016" s="89"/>
      <c r="L1016" s="89"/>
      <c r="M1016" s="89"/>
      <c r="N1016" s="89"/>
      <c r="O1016" s="17"/>
      <c r="P1016" s="28"/>
      <c r="Q1016" s="20">
        <f t="shared" si="157"/>
        <v>0</v>
      </c>
    </row>
    <row r="1017" spans="1:17">
      <c r="A1017" s="141"/>
      <c r="B1017" s="143"/>
      <c r="C1017" s="116" t="s">
        <v>56</v>
      </c>
      <c r="D1017" s="89"/>
      <c r="E1017" s="89"/>
      <c r="F1017" s="89"/>
      <c r="G1017" s="89"/>
      <c r="H1017" s="89"/>
      <c r="I1017" s="89"/>
      <c r="J1017" s="89"/>
      <c r="K1017" s="89"/>
      <c r="L1017" s="89"/>
      <c r="M1017" s="89"/>
      <c r="N1017" s="89"/>
      <c r="O1017" s="17"/>
      <c r="P1017" s="28"/>
      <c r="Q1017" s="20">
        <f t="shared" si="157"/>
        <v>0</v>
      </c>
    </row>
    <row r="1018" spans="1:17">
      <c r="A1018" s="141"/>
      <c r="B1018" s="143"/>
      <c r="C1018" s="120" t="s">
        <v>61</v>
      </c>
      <c r="D1018" s="92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O1018" s="18"/>
      <c r="P1018" s="33"/>
      <c r="Q1018" s="22">
        <f t="shared" si="157"/>
        <v>0</v>
      </c>
    </row>
    <row r="1019" spans="1:17">
      <c r="A1019" s="141"/>
      <c r="B1019" s="156" t="s">
        <v>54</v>
      </c>
      <c r="C1019" s="157"/>
      <c r="D1019" s="56">
        <f>SUM(D1002:D1009)-SUM(D1013:D1014)</f>
        <v>0</v>
      </c>
      <c r="E1019" s="56">
        <f t="shared" ref="E1019:O1019" si="158">SUM(E1002:E1009)-SUM(E1013:E1014)</f>
        <v>0</v>
      </c>
      <c r="F1019" s="56">
        <f t="shared" si="158"/>
        <v>0</v>
      </c>
      <c r="G1019" s="56">
        <f>SUM(G1002:G1009)-SUM(G1013:G1014)</f>
        <v>0</v>
      </c>
      <c r="H1019" s="56">
        <f t="shared" si="158"/>
        <v>0</v>
      </c>
      <c r="I1019" s="56">
        <f t="shared" si="158"/>
        <v>0</v>
      </c>
      <c r="J1019" s="56">
        <f t="shared" si="158"/>
        <v>0</v>
      </c>
      <c r="K1019" s="56">
        <f t="shared" si="158"/>
        <v>0</v>
      </c>
      <c r="L1019" s="56">
        <f t="shared" si="158"/>
        <v>0</v>
      </c>
      <c r="M1019" s="56">
        <f t="shared" si="158"/>
        <v>0</v>
      </c>
      <c r="N1019" s="56">
        <f t="shared" si="158"/>
        <v>0</v>
      </c>
      <c r="O1019" s="57">
        <f t="shared" si="158"/>
        <v>0</v>
      </c>
      <c r="P1019" s="60">
        <f>SUM(P1002:P1009)-SUM(P1013:P1014)</f>
        <v>0</v>
      </c>
      <c r="Q1019" s="59">
        <f>SUM(D1019:P1019)</f>
        <v>0</v>
      </c>
    </row>
    <row r="1020" spans="1:17" ht="14.25" thickBot="1">
      <c r="A1020" s="142"/>
      <c r="B1020" s="147" t="s">
        <v>5</v>
      </c>
      <c r="C1020" s="148"/>
      <c r="D1020" s="42">
        <f>SUM(D1002:D1009)-SUM(D1010:D1014)+SUM(D1015:D1018)</f>
        <v>0</v>
      </c>
      <c r="E1020" s="42">
        <f>SUM(E1002:E1009)-SUM(E1010:E1014)+SUM(E1015:E1018)</f>
        <v>0</v>
      </c>
      <c r="F1020" s="42">
        <f t="shared" ref="F1020:O1020" si="159">SUM(F1002:F1009)-SUM(F1010:F1014)+SUM(F1015:F1018)</f>
        <v>0</v>
      </c>
      <c r="G1020" s="42">
        <f>SUM(G1002:G1009)-SUM(G1010:G1014)+SUM(G1015:G1018)</f>
        <v>0</v>
      </c>
      <c r="H1020" s="42">
        <f t="shared" si="159"/>
        <v>0</v>
      </c>
      <c r="I1020" s="42">
        <f t="shared" si="159"/>
        <v>0</v>
      </c>
      <c r="J1020" s="42">
        <f t="shared" si="159"/>
        <v>0</v>
      </c>
      <c r="K1020" s="42">
        <f t="shared" si="159"/>
        <v>0</v>
      </c>
      <c r="L1020" s="42">
        <f t="shared" si="159"/>
        <v>0</v>
      </c>
      <c r="M1020" s="42">
        <f t="shared" si="159"/>
        <v>0</v>
      </c>
      <c r="N1020" s="42">
        <f t="shared" si="159"/>
        <v>0</v>
      </c>
      <c r="O1020" s="43">
        <f t="shared" si="159"/>
        <v>0</v>
      </c>
      <c r="P1020" s="44">
        <f>SUM(P1002:P1009)-SUM(P1010:P1014)+SUM(P1015:P1018)</f>
        <v>0</v>
      </c>
      <c r="Q1020" s="46">
        <f t="shared" si="157"/>
        <v>0</v>
      </c>
    </row>
    <row r="1021" spans="1:17">
      <c r="A1021" s="140"/>
      <c r="B1021" s="158" t="s">
        <v>12</v>
      </c>
      <c r="C1021" s="114" t="s">
        <v>87</v>
      </c>
      <c r="D1021" s="87"/>
      <c r="E1021" s="87"/>
      <c r="F1021" s="87"/>
      <c r="G1021" s="87"/>
      <c r="H1021" s="87"/>
      <c r="I1021" s="87"/>
      <c r="J1021" s="87"/>
      <c r="K1021" s="87"/>
      <c r="L1021" s="87"/>
      <c r="M1021" s="87"/>
      <c r="N1021" s="87"/>
      <c r="O1021" s="78"/>
      <c r="P1021" s="30"/>
      <c r="Q1021" s="19">
        <f>SUM(D1021:P1021)</f>
        <v>0</v>
      </c>
    </row>
    <row r="1022" spans="1:17">
      <c r="A1022" s="141"/>
      <c r="B1022" s="154"/>
      <c r="C1022" s="115" t="s">
        <v>89</v>
      </c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1"/>
      <c r="P1022" s="31"/>
      <c r="Q1022" s="20">
        <f t="shared" ref="Q1022:Q1039" si="160">SUM(D1022:P1022)</f>
        <v>0</v>
      </c>
    </row>
    <row r="1023" spans="1:17">
      <c r="A1023" s="141"/>
      <c r="B1023" s="143"/>
      <c r="C1023" s="116" t="s">
        <v>88</v>
      </c>
      <c r="D1023" s="89"/>
      <c r="E1023" s="90"/>
      <c r="F1023" s="90"/>
      <c r="G1023" s="90"/>
      <c r="H1023" s="89"/>
      <c r="I1023" s="89"/>
      <c r="J1023" s="89"/>
      <c r="K1023" s="89"/>
      <c r="L1023" s="89"/>
      <c r="M1023" s="89"/>
      <c r="N1023" s="89"/>
      <c r="O1023" s="17"/>
      <c r="P1023" s="28"/>
      <c r="Q1023" s="20">
        <f t="shared" si="160"/>
        <v>0</v>
      </c>
    </row>
    <row r="1024" spans="1:17">
      <c r="A1024" s="141"/>
      <c r="B1024" s="143"/>
      <c r="C1024" s="117" t="s">
        <v>90</v>
      </c>
      <c r="D1024" s="91"/>
      <c r="E1024" s="89"/>
      <c r="F1024" s="89"/>
      <c r="G1024" s="91"/>
      <c r="H1024" s="91"/>
      <c r="I1024" s="91"/>
      <c r="J1024" s="91"/>
      <c r="K1024" s="91"/>
      <c r="L1024" s="91"/>
      <c r="M1024" s="91"/>
      <c r="N1024" s="91"/>
      <c r="O1024" s="80"/>
      <c r="P1024" s="32"/>
      <c r="Q1024" s="20">
        <f t="shared" si="160"/>
        <v>0</v>
      </c>
    </row>
    <row r="1025" spans="1:17">
      <c r="A1025" s="141"/>
      <c r="B1025" s="143"/>
      <c r="C1025" s="117" t="s">
        <v>91</v>
      </c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1"/>
      <c r="O1025" s="80"/>
      <c r="P1025" s="32"/>
      <c r="Q1025" s="20">
        <f t="shared" si="160"/>
        <v>0</v>
      </c>
    </row>
    <row r="1026" spans="1:17">
      <c r="A1026" s="141"/>
      <c r="B1026" s="143"/>
      <c r="C1026" s="117" t="s">
        <v>92</v>
      </c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80"/>
      <c r="P1026" s="32"/>
      <c r="Q1026" s="20">
        <f t="shared" si="160"/>
        <v>0</v>
      </c>
    </row>
    <row r="1027" spans="1:17">
      <c r="A1027" s="141"/>
      <c r="B1027" s="143"/>
      <c r="C1027" s="116" t="s">
        <v>93</v>
      </c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1"/>
      <c r="O1027" s="80"/>
      <c r="P1027" s="32"/>
      <c r="Q1027" s="20">
        <f t="shared" si="160"/>
        <v>0</v>
      </c>
    </row>
    <row r="1028" spans="1:17">
      <c r="A1028" s="141"/>
      <c r="B1028" s="143"/>
      <c r="C1028" s="118" t="s">
        <v>94</v>
      </c>
      <c r="D1028" s="92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18"/>
      <c r="P1028" s="33"/>
      <c r="Q1028" s="22">
        <f t="shared" si="160"/>
        <v>0</v>
      </c>
    </row>
    <row r="1029" spans="1:17">
      <c r="A1029" s="141"/>
      <c r="B1029" s="143" t="s">
        <v>11</v>
      </c>
      <c r="C1029" s="119" t="s">
        <v>7</v>
      </c>
      <c r="D1029" s="93"/>
      <c r="E1029" s="93"/>
      <c r="F1029" s="93"/>
      <c r="G1029" s="93"/>
      <c r="H1029" s="93"/>
      <c r="I1029" s="93"/>
      <c r="J1029" s="93"/>
      <c r="K1029" s="93"/>
      <c r="L1029" s="94"/>
      <c r="M1029" s="94"/>
      <c r="N1029" s="94"/>
      <c r="O1029" s="79"/>
      <c r="P1029" s="27"/>
      <c r="Q1029" s="21">
        <f t="shared" si="160"/>
        <v>0</v>
      </c>
    </row>
    <row r="1030" spans="1:17">
      <c r="A1030" s="141"/>
      <c r="B1030" s="143"/>
      <c r="C1030" s="117" t="s">
        <v>4</v>
      </c>
      <c r="D1030" s="95"/>
      <c r="E1030" s="95"/>
      <c r="F1030" s="95"/>
      <c r="G1030" s="95"/>
      <c r="H1030" s="95"/>
      <c r="I1030" s="95"/>
      <c r="J1030" s="95"/>
      <c r="K1030" s="95"/>
      <c r="L1030" s="91"/>
      <c r="M1030" s="91"/>
      <c r="N1030" s="91"/>
      <c r="O1030" s="80"/>
      <c r="P1030" s="32"/>
      <c r="Q1030" s="20">
        <f t="shared" si="160"/>
        <v>0</v>
      </c>
    </row>
    <row r="1031" spans="1:17">
      <c r="A1031" s="141"/>
      <c r="B1031" s="143"/>
      <c r="C1031" s="117" t="s">
        <v>17</v>
      </c>
      <c r="D1031" s="91"/>
      <c r="E1031" s="91"/>
      <c r="F1031" s="91"/>
      <c r="G1031" s="91"/>
      <c r="H1031" s="91"/>
      <c r="I1031" s="91"/>
      <c r="J1031" s="91"/>
      <c r="K1031" s="91"/>
      <c r="L1031" s="91"/>
      <c r="M1031" s="91"/>
      <c r="N1031" s="91"/>
      <c r="O1031" s="80"/>
      <c r="P1031" s="32"/>
      <c r="Q1031" s="20">
        <f t="shared" si="160"/>
        <v>0</v>
      </c>
    </row>
    <row r="1032" spans="1:17">
      <c r="A1032" s="141"/>
      <c r="B1032" s="143"/>
      <c r="C1032" s="117" t="s">
        <v>18</v>
      </c>
      <c r="D1032" s="90"/>
      <c r="E1032" s="90"/>
      <c r="F1032" s="90"/>
      <c r="G1032" s="90"/>
      <c r="H1032" s="91"/>
      <c r="I1032" s="91"/>
      <c r="J1032" s="91"/>
      <c r="K1032" s="91"/>
      <c r="L1032" s="91"/>
      <c r="M1032" s="91"/>
      <c r="N1032" s="91"/>
      <c r="O1032" s="80"/>
      <c r="P1032" s="32"/>
      <c r="Q1032" s="20">
        <f t="shared" si="160"/>
        <v>0</v>
      </c>
    </row>
    <row r="1033" spans="1:17">
      <c r="A1033" s="141"/>
      <c r="B1033" s="143"/>
      <c r="C1033" s="120" t="s">
        <v>19</v>
      </c>
      <c r="D1033" s="96"/>
      <c r="E1033" s="96"/>
      <c r="F1033" s="96"/>
      <c r="G1033" s="96"/>
      <c r="H1033" s="92"/>
      <c r="I1033" s="92"/>
      <c r="J1033" s="92"/>
      <c r="K1033" s="92"/>
      <c r="L1033" s="92"/>
      <c r="M1033" s="92"/>
      <c r="N1033" s="92"/>
      <c r="O1033" s="18"/>
      <c r="P1033" s="33"/>
      <c r="Q1033" s="22">
        <f t="shared" si="160"/>
        <v>0</v>
      </c>
    </row>
    <row r="1034" spans="1:17">
      <c r="A1034" s="141"/>
      <c r="B1034" s="143" t="s">
        <v>13</v>
      </c>
      <c r="C1034" s="119" t="s">
        <v>10</v>
      </c>
      <c r="D1034" s="94"/>
      <c r="E1034" s="94"/>
      <c r="F1034" s="94"/>
      <c r="G1034" s="94"/>
      <c r="H1034" s="94"/>
      <c r="I1034" s="94"/>
      <c r="J1034" s="94"/>
      <c r="K1034" s="94"/>
      <c r="L1034" s="94"/>
      <c r="M1034" s="94"/>
      <c r="N1034" s="94"/>
      <c r="O1034" s="79"/>
      <c r="P1034" s="27"/>
      <c r="Q1034" s="21">
        <f t="shared" si="160"/>
        <v>0</v>
      </c>
    </row>
    <row r="1035" spans="1:17">
      <c r="A1035" s="141"/>
      <c r="B1035" s="143"/>
      <c r="C1035" s="116" t="s">
        <v>55</v>
      </c>
      <c r="D1035" s="89"/>
      <c r="E1035" s="89"/>
      <c r="F1035" s="89"/>
      <c r="G1035" s="89"/>
      <c r="H1035" s="89"/>
      <c r="I1035" s="89"/>
      <c r="J1035" s="89"/>
      <c r="K1035" s="89"/>
      <c r="L1035" s="89"/>
      <c r="M1035" s="89"/>
      <c r="N1035" s="89"/>
      <c r="O1035" s="17"/>
      <c r="P1035" s="28"/>
      <c r="Q1035" s="20">
        <f t="shared" si="160"/>
        <v>0</v>
      </c>
    </row>
    <row r="1036" spans="1:17">
      <c r="A1036" s="141"/>
      <c r="B1036" s="143"/>
      <c r="C1036" s="116" t="s">
        <v>56</v>
      </c>
      <c r="D1036" s="89"/>
      <c r="E1036" s="89"/>
      <c r="F1036" s="89"/>
      <c r="G1036" s="89"/>
      <c r="H1036" s="89"/>
      <c r="I1036" s="89"/>
      <c r="J1036" s="89"/>
      <c r="K1036" s="89"/>
      <c r="L1036" s="89"/>
      <c r="M1036" s="89"/>
      <c r="N1036" s="89"/>
      <c r="O1036" s="17"/>
      <c r="P1036" s="28"/>
      <c r="Q1036" s="20">
        <f t="shared" si="160"/>
        <v>0</v>
      </c>
    </row>
    <row r="1037" spans="1:17">
      <c r="A1037" s="141"/>
      <c r="B1037" s="143"/>
      <c r="C1037" s="120" t="s">
        <v>61</v>
      </c>
      <c r="D1037" s="92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18"/>
      <c r="P1037" s="33"/>
      <c r="Q1037" s="22">
        <f t="shared" si="160"/>
        <v>0</v>
      </c>
    </row>
    <row r="1038" spans="1:17">
      <c r="A1038" s="141"/>
      <c r="B1038" s="156" t="s">
        <v>54</v>
      </c>
      <c r="C1038" s="157"/>
      <c r="D1038" s="56">
        <f>SUM(D1021:D1028)-SUM(D1032:D1033)</f>
        <v>0</v>
      </c>
      <c r="E1038" s="56">
        <f t="shared" ref="E1038:O1038" si="161">SUM(E1021:E1028)-SUM(E1032:E1033)</f>
        <v>0</v>
      </c>
      <c r="F1038" s="56">
        <f t="shared" si="161"/>
        <v>0</v>
      </c>
      <c r="G1038" s="56">
        <f>SUM(G1021:G1028)-SUM(G1032:G1033)</f>
        <v>0</v>
      </c>
      <c r="H1038" s="56">
        <f t="shared" si="161"/>
        <v>0</v>
      </c>
      <c r="I1038" s="56">
        <f t="shared" si="161"/>
        <v>0</v>
      </c>
      <c r="J1038" s="56">
        <f t="shared" si="161"/>
        <v>0</v>
      </c>
      <c r="K1038" s="56">
        <f t="shared" si="161"/>
        <v>0</v>
      </c>
      <c r="L1038" s="56">
        <f t="shared" si="161"/>
        <v>0</v>
      </c>
      <c r="M1038" s="56">
        <f t="shared" si="161"/>
        <v>0</v>
      </c>
      <c r="N1038" s="56">
        <f t="shared" si="161"/>
        <v>0</v>
      </c>
      <c r="O1038" s="57">
        <f t="shared" si="161"/>
        <v>0</v>
      </c>
      <c r="P1038" s="60">
        <f>SUM(P1021:P1028)-SUM(P1032:P1033)</f>
        <v>0</v>
      </c>
      <c r="Q1038" s="59">
        <f>SUM(D1038:P1038)</f>
        <v>0</v>
      </c>
    </row>
    <row r="1039" spans="1:17" ht="14.25" thickBot="1">
      <c r="A1039" s="142"/>
      <c r="B1039" s="147" t="s">
        <v>5</v>
      </c>
      <c r="C1039" s="148"/>
      <c r="D1039" s="42">
        <f>SUM(D1021:D1028)-SUM(D1029:D1033)+SUM(D1034:D1037)</f>
        <v>0</v>
      </c>
      <c r="E1039" s="42">
        <f>SUM(E1021:E1028)-SUM(E1029:E1033)+SUM(E1034:E1037)</f>
        <v>0</v>
      </c>
      <c r="F1039" s="42">
        <f t="shared" ref="F1039:O1039" si="162">SUM(F1021:F1028)-SUM(F1029:F1033)+SUM(F1034:F1037)</f>
        <v>0</v>
      </c>
      <c r="G1039" s="42">
        <f>SUM(G1021:G1028)-SUM(G1029:G1033)+SUM(G1034:G1037)</f>
        <v>0</v>
      </c>
      <c r="H1039" s="42">
        <f t="shared" si="162"/>
        <v>0</v>
      </c>
      <c r="I1039" s="42">
        <f t="shared" si="162"/>
        <v>0</v>
      </c>
      <c r="J1039" s="42">
        <f t="shared" si="162"/>
        <v>0</v>
      </c>
      <c r="K1039" s="42">
        <f t="shared" si="162"/>
        <v>0</v>
      </c>
      <c r="L1039" s="42">
        <f t="shared" si="162"/>
        <v>0</v>
      </c>
      <c r="M1039" s="42">
        <f t="shared" si="162"/>
        <v>0</v>
      </c>
      <c r="N1039" s="42">
        <f t="shared" si="162"/>
        <v>0</v>
      </c>
      <c r="O1039" s="43">
        <f t="shared" si="162"/>
        <v>0</v>
      </c>
      <c r="P1039" s="44">
        <f>SUM(P1021:P1028)-SUM(P1029:P1033)+SUM(P1034:P1037)</f>
        <v>0</v>
      </c>
      <c r="Q1039" s="46">
        <f t="shared" si="160"/>
        <v>0</v>
      </c>
    </row>
    <row r="1040" spans="1:17">
      <c r="A1040" s="140"/>
      <c r="B1040" s="158" t="s">
        <v>12</v>
      </c>
      <c r="C1040" s="114" t="s">
        <v>87</v>
      </c>
      <c r="D1040" s="87"/>
      <c r="E1040" s="87"/>
      <c r="F1040" s="87"/>
      <c r="G1040" s="87"/>
      <c r="H1040" s="87"/>
      <c r="I1040" s="87"/>
      <c r="J1040" s="87"/>
      <c r="K1040" s="87"/>
      <c r="L1040" s="87"/>
      <c r="M1040" s="87"/>
      <c r="N1040" s="87"/>
      <c r="O1040" s="78"/>
      <c r="P1040" s="30"/>
      <c r="Q1040" s="19">
        <f>SUM(D1040:P1040)</f>
        <v>0</v>
      </c>
    </row>
    <row r="1041" spans="1:17">
      <c r="A1041" s="141"/>
      <c r="B1041" s="154"/>
      <c r="C1041" s="115" t="s">
        <v>89</v>
      </c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1"/>
      <c r="P1041" s="31"/>
      <c r="Q1041" s="20">
        <f t="shared" ref="Q1041:Q1058" si="163">SUM(D1041:P1041)</f>
        <v>0</v>
      </c>
    </row>
    <row r="1042" spans="1:17">
      <c r="A1042" s="141"/>
      <c r="B1042" s="143"/>
      <c r="C1042" s="116" t="s">
        <v>88</v>
      </c>
      <c r="D1042" s="89"/>
      <c r="E1042" s="90"/>
      <c r="F1042" s="90"/>
      <c r="G1042" s="90"/>
      <c r="H1042" s="89"/>
      <c r="I1042" s="89"/>
      <c r="J1042" s="89"/>
      <c r="K1042" s="89"/>
      <c r="L1042" s="89"/>
      <c r="M1042" s="89"/>
      <c r="N1042" s="89"/>
      <c r="O1042" s="17"/>
      <c r="P1042" s="28"/>
      <c r="Q1042" s="20">
        <f t="shared" si="163"/>
        <v>0</v>
      </c>
    </row>
    <row r="1043" spans="1:17">
      <c r="A1043" s="141"/>
      <c r="B1043" s="143"/>
      <c r="C1043" s="117" t="s">
        <v>90</v>
      </c>
      <c r="D1043" s="91"/>
      <c r="E1043" s="89"/>
      <c r="F1043" s="89"/>
      <c r="G1043" s="91"/>
      <c r="H1043" s="91"/>
      <c r="I1043" s="91"/>
      <c r="J1043" s="91"/>
      <c r="K1043" s="91"/>
      <c r="L1043" s="91"/>
      <c r="M1043" s="91"/>
      <c r="N1043" s="91"/>
      <c r="O1043" s="80"/>
      <c r="P1043" s="32"/>
      <c r="Q1043" s="20">
        <f t="shared" si="163"/>
        <v>0</v>
      </c>
    </row>
    <row r="1044" spans="1:17">
      <c r="A1044" s="141"/>
      <c r="B1044" s="143"/>
      <c r="C1044" s="117" t="s">
        <v>91</v>
      </c>
      <c r="D1044" s="91"/>
      <c r="E1044" s="91"/>
      <c r="F1044" s="91"/>
      <c r="G1044" s="91"/>
      <c r="H1044" s="91"/>
      <c r="I1044" s="91"/>
      <c r="J1044" s="91"/>
      <c r="K1044" s="91"/>
      <c r="L1044" s="91"/>
      <c r="M1044" s="91"/>
      <c r="N1044" s="91"/>
      <c r="O1044" s="80"/>
      <c r="P1044" s="32"/>
      <c r="Q1044" s="20">
        <f t="shared" si="163"/>
        <v>0</v>
      </c>
    </row>
    <row r="1045" spans="1:17">
      <c r="A1045" s="141"/>
      <c r="B1045" s="143"/>
      <c r="C1045" s="117" t="s">
        <v>92</v>
      </c>
      <c r="D1045" s="91"/>
      <c r="E1045" s="91"/>
      <c r="F1045" s="91"/>
      <c r="G1045" s="91"/>
      <c r="H1045" s="91"/>
      <c r="I1045" s="91"/>
      <c r="J1045" s="91"/>
      <c r="K1045" s="91"/>
      <c r="L1045" s="91"/>
      <c r="M1045" s="91"/>
      <c r="N1045" s="91"/>
      <c r="O1045" s="80"/>
      <c r="P1045" s="32"/>
      <c r="Q1045" s="20">
        <f t="shared" si="163"/>
        <v>0</v>
      </c>
    </row>
    <row r="1046" spans="1:17">
      <c r="A1046" s="141"/>
      <c r="B1046" s="143"/>
      <c r="C1046" s="116" t="s">
        <v>93</v>
      </c>
      <c r="D1046" s="91"/>
      <c r="E1046" s="91"/>
      <c r="F1046" s="91"/>
      <c r="G1046" s="91"/>
      <c r="H1046" s="91"/>
      <c r="I1046" s="91"/>
      <c r="J1046" s="91"/>
      <c r="K1046" s="91"/>
      <c r="L1046" s="91"/>
      <c r="M1046" s="91"/>
      <c r="N1046" s="91"/>
      <c r="O1046" s="80"/>
      <c r="P1046" s="32"/>
      <c r="Q1046" s="20">
        <f t="shared" si="163"/>
        <v>0</v>
      </c>
    </row>
    <row r="1047" spans="1:17">
      <c r="A1047" s="141"/>
      <c r="B1047" s="143"/>
      <c r="C1047" s="118" t="s">
        <v>94</v>
      </c>
      <c r="D1047" s="92"/>
      <c r="E1047" s="92"/>
      <c r="F1047" s="92"/>
      <c r="G1047" s="92"/>
      <c r="H1047" s="92"/>
      <c r="I1047" s="92"/>
      <c r="J1047" s="92"/>
      <c r="K1047" s="92"/>
      <c r="L1047" s="92"/>
      <c r="M1047" s="92"/>
      <c r="N1047" s="92"/>
      <c r="O1047" s="18"/>
      <c r="P1047" s="33"/>
      <c r="Q1047" s="22">
        <f t="shared" si="163"/>
        <v>0</v>
      </c>
    </row>
    <row r="1048" spans="1:17">
      <c r="A1048" s="141"/>
      <c r="B1048" s="143" t="s">
        <v>11</v>
      </c>
      <c r="C1048" s="119" t="s">
        <v>7</v>
      </c>
      <c r="D1048" s="93"/>
      <c r="E1048" s="93"/>
      <c r="F1048" s="93"/>
      <c r="G1048" s="93"/>
      <c r="H1048" s="93"/>
      <c r="I1048" s="93"/>
      <c r="J1048" s="93"/>
      <c r="K1048" s="93"/>
      <c r="L1048" s="94"/>
      <c r="M1048" s="94"/>
      <c r="N1048" s="94"/>
      <c r="O1048" s="79"/>
      <c r="P1048" s="27"/>
      <c r="Q1048" s="21">
        <f t="shared" si="163"/>
        <v>0</v>
      </c>
    </row>
    <row r="1049" spans="1:17">
      <c r="A1049" s="141"/>
      <c r="B1049" s="143"/>
      <c r="C1049" s="117" t="s">
        <v>4</v>
      </c>
      <c r="D1049" s="95"/>
      <c r="E1049" s="95"/>
      <c r="F1049" s="95"/>
      <c r="G1049" s="95"/>
      <c r="H1049" s="95"/>
      <c r="I1049" s="95"/>
      <c r="J1049" s="95"/>
      <c r="K1049" s="95"/>
      <c r="L1049" s="91"/>
      <c r="M1049" s="91"/>
      <c r="N1049" s="91"/>
      <c r="O1049" s="80"/>
      <c r="P1049" s="32"/>
      <c r="Q1049" s="20">
        <f t="shared" si="163"/>
        <v>0</v>
      </c>
    </row>
    <row r="1050" spans="1:17">
      <c r="A1050" s="141"/>
      <c r="B1050" s="143"/>
      <c r="C1050" s="117" t="s">
        <v>17</v>
      </c>
      <c r="D1050" s="91"/>
      <c r="E1050" s="91"/>
      <c r="F1050" s="91"/>
      <c r="G1050" s="91"/>
      <c r="H1050" s="91"/>
      <c r="I1050" s="91"/>
      <c r="J1050" s="91"/>
      <c r="K1050" s="91"/>
      <c r="L1050" s="91"/>
      <c r="M1050" s="91"/>
      <c r="N1050" s="91"/>
      <c r="O1050" s="80"/>
      <c r="P1050" s="32"/>
      <c r="Q1050" s="20">
        <f t="shared" si="163"/>
        <v>0</v>
      </c>
    </row>
    <row r="1051" spans="1:17">
      <c r="A1051" s="141"/>
      <c r="B1051" s="143"/>
      <c r="C1051" s="117" t="s">
        <v>18</v>
      </c>
      <c r="D1051" s="90"/>
      <c r="E1051" s="90"/>
      <c r="F1051" s="90"/>
      <c r="G1051" s="90"/>
      <c r="H1051" s="91"/>
      <c r="I1051" s="91"/>
      <c r="J1051" s="91"/>
      <c r="K1051" s="91"/>
      <c r="L1051" s="91"/>
      <c r="M1051" s="91"/>
      <c r="N1051" s="91"/>
      <c r="O1051" s="80"/>
      <c r="P1051" s="32"/>
      <c r="Q1051" s="20">
        <f t="shared" si="163"/>
        <v>0</v>
      </c>
    </row>
    <row r="1052" spans="1:17">
      <c r="A1052" s="141"/>
      <c r="B1052" s="143"/>
      <c r="C1052" s="120" t="s">
        <v>19</v>
      </c>
      <c r="D1052" s="96"/>
      <c r="E1052" s="96"/>
      <c r="F1052" s="96"/>
      <c r="G1052" s="96"/>
      <c r="H1052" s="92"/>
      <c r="I1052" s="92"/>
      <c r="J1052" s="92"/>
      <c r="K1052" s="92"/>
      <c r="L1052" s="92"/>
      <c r="M1052" s="92"/>
      <c r="N1052" s="92"/>
      <c r="O1052" s="18"/>
      <c r="P1052" s="33"/>
      <c r="Q1052" s="22">
        <f t="shared" si="163"/>
        <v>0</v>
      </c>
    </row>
    <row r="1053" spans="1:17">
      <c r="A1053" s="141"/>
      <c r="B1053" s="143" t="s">
        <v>13</v>
      </c>
      <c r="C1053" s="119" t="s">
        <v>10</v>
      </c>
      <c r="D1053" s="94"/>
      <c r="E1053" s="94"/>
      <c r="F1053" s="94"/>
      <c r="G1053" s="94"/>
      <c r="H1053" s="94"/>
      <c r="I1053" s="94"/>
      <c r="J1053" s="94"/>
      <c r="K1053" s="94"/>
      <c r="L1053" s="94"/>
      <c r="M1053" s="94"/>
      <c r="N1053" s="94"/>
      <c r="O1053" s="79"/>
      <c r="P1053" s="27"/>
      <c r="Q1053" s="21">
        <f t="shared" si="163"/>
        <v>0</v>
      </c>
    </row>
    <row r="1054" spans="1:17">
      <c r="A1054" s="141"/>
      <c r="B1054" s="143"/>
      <c r="C1054" s="116" t="s">
        <v>55</v>
      </c>
      <c r="D1054" s="89"/>
      <c r="E1054" s="89"/>
      <c r="F1054" s="89"/>
      <c r="G1054" s="89"/>
      <c r="H1054" s="89"/>
      <c r="I1054" s="89"/>
      <c r="J1054" s="89"/>
      <c r="K1054" s="89"/>
      <c r="L1054" s="89"/>
      <c r="M1054" s="89"/>
      <c r="N1054" s="89"/>
      <c r="O1054" s="17"/>
      <c r="P1054" s="28"/>
      <c r="Q1054" s="20">
        <f t="shared" si="163"/>
        <v>0</v>
      </c>
    </row>
    <row r="1055" spans="1:17">
      <c r="A1055" s="141"/>
      <c r="B1055" s="143"/>
      <c r="C1055" s="116" t="s">
        <v>56</v>
      </c>
      <c r="D1055" s="89"/>
      <c r="E1055" s="89"/>
      <c r="F1055" s="89"/>
      <c r="G1055" s="89"/>
      <c r="H1055" s="89"/>
      <c r="I1055" s="89"/>
      <c r="J1055" s="89"/>
      <c r="K1055" s="89"/>
      <c r="L1055" s="89"/>
      <c r="M1055" s="89"/>
      <c r="N1055" s="89"/>
      <c r="O1055" s="17"/>
      <c r="P1055" s="28"/>
      <c r="Q1055" s="20">
        <f t="shared" si="163"/>
        <v>0</v>
      </c>
    </row>
    <row r="1056" spans="1:17">
      <c r="A1056" s="141"/>
      <c r="B1056" s="143"/>
      <c r="C1056" s="120" t="s">
        <v>61</v>
      </c>
      <c r="D1056" s="92"/>
      <c r="E1056" s="92"/>
      <c r="F1056" s="92"/>
      <c r="G1056" s="92"/>
      <c r="H1056" s="92"/>
      <c r="I1056" s="92"/>
      <c r="J1056" s="92"/>
      <c r="K1056" s="92"/>
      <c r="L1056" s="92"/>
      <c r="M1056" s="92"/>
      <c r="N1056" s="92"/>
      <c r="O1056" s="18"/>
      <c r="P1056" s="33"/>
      <c r="Q1056" s="22">
        <f t="shared" si="163"/>
        <v>0</v>
      </c>
    </row>
    <row r="1057" spans="1:17">
      <c r="A1057" s="141"/>
      <c r="B1057" s="156" t="s">
        <v>54</v>
      </c>
      <c r="C1057" s="157"/>
      <c r="D1057" s="56">
        <f>SUM(D1040:D1047)-SUM(D1051:D1052)</f>
        <v>0</v>
      </c>
      <c r="E1057" s="56">
        <f t="shared" ref="E1057:O1057" si="164">SUM(E1040:E1047)-SUM(E1051:E1052)</f>
        <v>0</v>
      </c>
      <c r="F1057" s="56">
        <f t="shared" si="164"/>
        <v>0</v>
      </c>
      <c r="G1057" s="56">
        <f>SUM(G1040:G1047)-SUM(G1051:G1052)</f>
        <v>0</v>
      </c>
      <c r="H1057" s="56">
        <f t="shared" si="164"/>
        <v>0</v>
      </c>
      <c r="I1057" s="56">
        <f t="shared" si="164"/>
        <v>0</v>
      </c>
      <c r="J1057" s="56">
        <f t="shared" si="164"/>
        <v>0</v>
      </c>
      <c r="K1057" s="56">
        <f t="shared" si="164"/>
        <v>0</v>
      </c>
      <c r="L1057" s="56">
        <f t="shared" si="164"/>
        <v>0</v>
      </c>
      <c r="M1057" s="56">
        <f t="shared" si="164"/>
        <v>0</v>
      </c>
      <c r="N1057" s="56">
        <f t="shared" si="164"/>
        <v>0</v>
      </c>
      <c r="O1057" s="57">
        <f t="shared" si="164"/>
        <v>0</v>
      </c>
      <c r="P1057" s="60">
        <f>SUM(P1040:P1047)-SUM(P1051:P1052)</f>
        <v>0</v>
      </c>
      <c r="Q1057" s="59">
        <f>SUM(D1057:P1057)</f>
        <v>0</v>
      </c>
    </row>
    <row r="1058" spans="1:17" ht="14.25" thickBot="1">
      <c r="A1058" s="142"/>
      <c r="B1058" s="147" t="s">
        <v>5</v>
      </c>
      <c r="C1058" s="148"/>
      <c r="D1058" s="42">
        <f>SUM(D1040:D1047)-SUM(D1048:D1052)+SUM(D1053:D1056)</f>
        <v>0</v>
      </c>
      <c r="E1058" s="42">
        <f>SUM(E1040:E1047)-SUM(E1048:E1052)+SUM(E1053:E1056)</f>
        <v>0</v>
      </c>
      <c r="F1058" s="42">
        <f t="shared" ref="F1058:O1058" si="165">SUM(F1040:F1047)-SUM(F1048:F1052)+SUM(F1053:F1056)</f>
        <v>0</v>
      </c>
      <c r="G1058" s="42">
        <f>SUM(G1040:G1047)-SUM(G1048:G1052)+SUM(G1053:G1056)</f>
        <v>0</v>
      </c>
      <c r="H1058" s="42">
        <f t="shared" si="165"/>
        <v>0</v>
      </c>
      <c r="I1058" s="42">
        <f t="shared" si="165"/>
        <v>0</v>
      </c>
      <c r="J1058" s="42">
        <f t="shared" si="165"/>
        <v>0</v>
      </c>
      <c r="K1058" s="42">
        <f t="shared" si="165"/>
        <v>0</v>
      </c>
      <c r="L1058" s="42">
        <f t="shared" si="165"/>
        <v>0</v>
      </c>
      <c r="M1058" s="42">
        <f t="shared" si="165"/>
        <v>0</v>
      </c>
      <c r="N1058" s="42">
        <f t="shared" si="165"/>
        <v>0</v>
      </c>
      <c r="O1058" s="43">
        <f t="shared" si="165"/>
        <v>0</v>
      </c>
      <c r="P1058" s="44">
        <f>SUM(P1040:P1047)-SUM(P1048:P1052)+SUM(P1053:P1056)</f>
        <v>0</v>
      </c>
      <c r="Q1058" s="46">
        <f t="shared" si="163"/>
        <v>0</v>
      </c>
    </row>
    <row r="1059" spans="1:17">
      <c r="A1059" s="140"/>
      <c r="B1059" s="158" t="s">
        <v>12</v>
      </c>
      <c r="C1059" s="114" t="s">
        <v>87</v>
      </c>
      <c r="D1059" s="87"/>
      <c r="E1059" s="87"/>
      <c r="F1059" s="87"/>
      <c r="G1059" s="87"/>
      <c r="H1059" s="87"/>
      <c r="I1059" s="87"/>
      <c r="J1059" s="87"/>
      <c r="K1059" s="87"/>
      <c r="L1059" s="87"/>
      <c r="M1059" s="87"/>
      <c r="N1059" s="87"/>
      <c r="O1059" s="78"/>
      <c r="P1059" s="30"/>
      <c r="Q1059" s="19">
        <f>SUM(D1059:P1059)</f>
        <v>0</v>
      </c>
    </row>
    <row r="1060" spans="1:17">
      <c r="A1060" s="141"/>
      <c r="B1060" s="154"/>
      <c r="C1060" s="115" t="s">
        <v>89</v>
      </c>
      <c r="D1060" s="88"/>
      <c r="E1060" s="88"/>
      <c r="F1060" s="88"/>
      <c r="G1060" s="88"/>
      <c r="H1060" s="88"/>
      <c r="I1060" s="88"/>
      <c r="J1060" s="88"/>
      <c r="K1060" s="88"/>
      <c r="L1060" s="88"/>
      <c r="M1060" s="88"/>
      <c r="N1060" s="88"/>
      <c r="O1060" s="81"/>
      <c r="P1060" s="31"/>
      <c r="Q1060" s="20">
        <f t="shared" ref="Q1060:Q1077" si="166">SUM(D1060:P1060)</f>
        <v>0</v>
      </c>
    </row>
    <row r="1061" spans="1:17">
      <c r="A1061" s="141"/>
      <c r="B1061" s="143"/>
      <c r="C1061" s="116" t="s">
        <v>88</v>
      </c>
      <c r="D1061" s="89"/>
      <c r="E1061" s="90"/>
      <c r="F1061" s="90"/>
      <c r="G1061" s="90"/>
      <c r="H1061" s="89"/>
      <c r="I1061" s="89"/>
      <c r="J1061" s="89"/>
      <c r="K1061" s="89"/>
      <c r="L1061" s="89"/>
      <c r="M1061" s="89"/>
      <c r="N1061" s="89"/>
      <c r="O1061" s="17"/>
      <c r="P1061" s="28"/>
      <c r="Q1061" s="20">
        <f t="shared" si="166"/>
        <v>0</v>
      </c>
    </row>
    <row r="1062" spans="1:17">
      <c r="A1062" s="141"/>
      <c r="B1062" s="143"/>
      <c r="C1062" s="117" t="s">
        <v>90</v>
      </c>
      <c r="D1062" s="91"/>
      <c r="E1062" s="89"/>
      <c r="F1062" s="89"/>
      <c r="G1062" s="91"/>
      <c r="H1062" s="91"/>
      <c r="I1062" s="91"/>
      <c r="J1062" s="91"/>
      <c r="K1062" s="91"/>
      <c r="L1062" s="91"/>
      <c r="M1062" s="91"/>
      <c r="N1062" s="91"/>
      <c r="O1062" s="80"/>
      <c r="P1062" s="32"/>
      <c r="Q1062" s="20">
        <f t="shared" si="166"/>
        <v>0</v>
      </c>
    </row>
    <row r="1063" spans="1:17">
      <c r="A1063" s="141"/>
      <c r="B1063" s="143"/>
      <c r="C1063" s="117" t="s">
        <v>91</v>
      </c>
      <c r="D1063" s="91"/>
      <c r="E1063" s="91"/>
      <c r="F1063" s="91"/>
      <c r="G1063" s="91"/>
      <c r="H1063" s="91"/>
      <c r="I1063" s="91"/>
      <c r="J1063" s="91"/>
      <c r="K1063" s="91"/>
      <c r="L1063" s="91"/>
      <c r="M1063" s="91"/>
      <c r="N1063" s="91"/>
      <c r="O1063" s="80"/>
      <c r="P1063" s="32"/>
      <c r="Q1063" s="20">
        <f t="shared" si="166"/>
        <v>0</v>
      </c>
    </row>
    <row r="1064" spans="1:17">
      <c r="A1064" s="141"/>
      <c r="B1064" s="143"/>
      <c r="C1064" s="117" t="s">
        <v>92</v>
      </c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91"/>
      <c r="O1064" s="80"/>
      <c r="P1064" s="32"/>
      <c r="Q1064" s="20">
        <f t="shared" si="166"/>
        <v>0</v>
      </c>
    </row>
    <row r="1065" spans="1:17">
      <c r="A1065" s="141"/>
      <c r="B1065" s="143"/>
      <c r="C1065" s="116" t="s">
        <v>93</v>
      </c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1"/>
      <c r="O1065" s="80"/>
      <c r="P1065" s="32"/>
      <c r="Q1065" s="20">
        <f t="shared" si="166"/>
        <v>0</v>
      </c>
    </row>
    <row r="1066" spans="1:17">
      <c r="A1066" s="141"/>
      <c r="B1066" s="143"/>
      <c r="C1066" s="118" t="s">
        <v>94</v>
      </c>
      <c r="D1066" s="92"/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18"/>
      <c r="P1066" s="33"/>
      <c r="Q1066" s="22">
        <f t="shared" si="166"/>
        <v>0</v>
      </c>
    </row>
    <row r="1067" spans="1:17">
      <c r="A1067" s="141"/>
      <c r="B1067" s="143" t="s">
        <v>11</v>
      </c>
      <c r="C1067" s="119" t="s">
        <v>7</v>
      </c>
      <c r="D1067" s="93"/>
      <c r="E1067" s="93"/>
      <c r="F1067" s="93"/>
      <c r="G1067" s="93"/>
      <c r="H1067" s="93"/>
      <c r="I1067" s="93"/>
      <c r="J1067" s="93"/>
      <c r="K1067" s="93"/>
      <c r="L1067" s="94"/>
      <c r="M1067" s="94"/>
      <c r="N1067" s="94"/>
      <c r="O1067" s="79"/>
      <c r="P1067" s="27"/>
      <c r="Q1067" s="21">
        <f t="shared" si="166"/>
        <v>0</v>
      </c>
    </row>
    <row r="1068" spans="1:17">
      <c r="A1068" s="141"/>
      <c r="B1068" s="143"/>
      <c r="C1068" s="117" t="s">
        <v>4</v>
      </c>
      <c r="D1068" s="95"/>
      <c r="E1068" s="95"/>
      <c r="F1068" s="95"/>
      <c r="G1068" s="95"/>
      <c r="H1068" s="95"/>
      <c r="I1068" s="95"/>
      <c r="J1068" s="95"/>
      <c r="K1068" s="95"/>
      <c r="L1068" s="91"/>
      <c r="M1068" s="91"/>
      <c r="N1068" s="91"/>
      <c r="O1068" s="80"/>
      <c r="P1068" s="32"/>
      <c r="Q1068" s="20">
        <f t="shared" si="166"/>
        <v>0</v>
      </c>
    </row>
    <row r="1069" spans="1:17">
      <c r="A1069" s="141"/>
      <c r="B1069" s="143"/>
      <c r="C1069" s="117" t="s">
        <v>17</v>
      </c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80"/>
      <c r="P1069" s="32"/>
      <c r="Q1069" s="20">
        <f t="shared" si="166"/>
        <v>0</v>
      </c>
    </row>
    <row r="1070" spans="1:17">
      <c r="A1070" s="141"/>
      <c r="B1070" s="143"/>
      <c r="C1070" s="117" t="s">
        <v>18</v>
      </c>
      <c r="D1070" s="90"/>
      <c r="E1070" s="90"/>
      <c r="F1070" s="90"/>
      <c r="G1070" s="90"/>
      <c r="H1070" s="91"/>
      <c r="I1070" s="91"/>
      <c r="J1070" s="91"/>
      <c r="K1070" s="91"/>
      <c r="L1070" s="91"/>
      <c r="M1070" s="91"/>
      <c r="N1070" s="91"/>
      <c r="O1070" s="80"/>
      <c r="P1070" s="32"/>
      <c r="Q1070" s="20">
        <f t="shared" si="166"/>
        <v>0</v>
      </c>
    </row>
    <row r="1071" spans="1:17">
      <c r="A1071" s="141"/>
      <c r="B1071" s="143"/>
      <c r="C1071" s="120" t="s">
        <v>19</v>
      </c>
      <c r="D1071" s="96"/>
      <c r="E1071" s="96"/>
      <c r="F1071" s="96"/>
      <c r="G1071" s="96"/>
      <c r="H1071" s="92"/>
      <c r="I1071" s="92"/>
      <c r="J1071" s="92"/>
      <c r="K1071" s="92"/>
      <c r="L1071" s="92"/>
      <c r="M1071" s="92"/>
      <c r="N1071" s="92"/>
      <c r="O1071" s="18"/>
      <c r="P1071" s="33"/>
      <c r="Q1071" s="22">
        <f t="shared" si="166"/>
        <v>0</v>
      </c>
    </row>
    <row r="1072" spans="1:17">
      <c r="A1072" s="141"/>
      <c r="B1072" s="143" t="s">
        <v>13</v>
      </c>
      <c r="C1072" s="119" t="s">
        <v>10</v>
      </c>
      <c r="D1072" s="94"/>
      <c r="E1072" s="94"/>
      <c r="F1072" s="94"/>
      <c r="G1072" s="94"/>
      <c r="H1072" s="94"/>
      <c r="I1072" s="94"/>
      <c r="J1072" s="94"/>
      <c r="K1072" s="94"/>
      <c r="L1072" s="94"/>
      <c r="M1072" s="94"/>
      <c r="N1072" s="94"/>
      <c r="O1072" s="79"/>
      <c r="P1072" s="27"/>
      <c r="Q1072" s="21">
        <f t="shared" si="166"/>
        <v>0</v>
      </c>
    </row>
    <row r="1073" spans="1:17">
      <c r="A1073" s="141"/>
      <c r="B1073" s="143"/>
      <c r="C1073" s="116" t="s">
        <v>55</v>
      </c>
      <c r="D1073" s="89"/>
      <c r="E1073" s="89"/>
      <c r="F1073" s="89"/>
      <c r="G1073" s="89"/>
      <c r="H1073" s="89"/>
      <c r="I1073" s="89"/>
      <c r="J1073" s="89"/>
      <c r="K1073" s="89"/>
      <c r="L1073" s="89"/>
      <c r="M1073" s="89"/>
      <c r="N1073" s="89"/>
      <c r="O1073" s="17"/>
      <c r="P1073" s="28"/>
      <c r="Q1073" s="20">
        <f t="shared" si="166"/>
        <v>0</v>
      </c>
    </row>
    <row r="1074" spans="1:17">
      <c r="A1074" s="141"/>
      <c r="B1074" s="143"/>
      <c r="C1074" s="116" t="s">
        <v>56</v>
      </c>
      <c r="D1074" s="89"/>
      <c r="E1074" s="89"/>
      <c r="F1074" s="89"/>
      <c r="G1074" s="89"/>
      <c r="H1074" s="89"/>
      <c r="I1074" s="89"/>
      <c r="J1074" s="89"/>
      <c r="K1074" s="89"/>
      <c r="L1074" s="89"/>
      <c r="M1074" s="89"/>
      <c r="N1074" s="89"/>
      <c r="O1074" s="17"/>
      <c r="P1074" s="28"/>
      <c r="Q1074" s="20">
        <f t="shared" si="166"/>
        <v>0</v>
      </c>
    </row>
    <row r="1075" spans="1:17">
      <c r="A1075" s="141"/>
      <c r="B1075" s="143"/>
      <c r="C1075" s="120" t="s">
        <v>61</v>
      </c>
      <c r="D1075" s="92"/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O1075" s="18"/>
      <c r="P1075" s="33"/>
      <c r="Q1075" s="22">
        <f t="shared" si="166"/>
        <v>0</v>
      </c>
    </row>
    <row r="1076" spans="1:17">
      <c r="A1076" s="141"/>
      <c r="B1076" s="156" t="s">
        <v>54</v>
      </c>
      <c r="C1076" s="157"/>
      <c r="D1076" s="56">
        <f>SUM(D1059:D1066)-SUM(D1070:D1071)</f>
        <v>0</v>
      </c>
      <c r="E1076" s="56">
        <f t="shared" ref="E1076:O1076" si="167">SUM(E1059:E1066)-SUM(E1070:E1071)</f>
        <v>0</v>
      </c>
      <c r="F1076" s="56">
        <f t="shared" si="167"/>
        <v>0</v>
      </c>
      <c r="G1076" s="56">
        <f>SUM(G1059:G1066)-SUM(G1070:G1071)</f>
        <v>0</v>
      </c>
      <c r="H1076" s="56">
        <f t="shared" si="167"/>
        <v>0</v>
      </c>
      <c r="I1076" s="56">
        <f t="shared" si="167"/>
        <v>0</v>
      </c>
      <c r="J1076" s="56">
        <f t="shared" si="167"/>
        <v>0</v>
      </c>
      <c r="K1076" s="56">
        <f t="shared" si="167"/>
        <v>0</v>
      </c>
      <c r="L1076" s="56">
        <f t="shared" si="167"/>
        <v>0</v>
      </c>
      <c r="M1076" s="56">
        <f t="shared" si="167"/>
        <v>0</v>
      </c>
      <c r="N1076" s="56">
        <f t="shared" si="167"/>
        <v>0</v>
      </c>
      <c r="O1076" s="57">
        <f t="shared" si="167"/>
        <v>0</v>
      </c>
      <c r="P1076" s="60">
        <f>SUM(P1059:P1066)-SUM(P1070:P1071)</f>
        <v>0</v>
      </c>
      <c r="Q1076" s="59">
        <f>SUM(D1076:P1076)</f>
        <v>0</v>
      </c>
    </row>
    <row r="1077" spans="1:17" ht="14.25" thickBot="1">
      <c r="A1077" s="142"/>
      <c r="B1077" s="147" t="s">
        <v>5</v>
      </c>
      <c r="C1077" s="148"/>
      <c r="D1077" s="42">
        <f>SUM(D1059:D1066)-SUM(D1067:D1071)+SUM(D1072:D1075)</f>
        <v>0</v>
      </c>
      <c r="E1077" s="42">
        <f>SUM(E1059:E1066)-SUM(E1067:E1071)+SUM(E1072:E1075)</f>
        <v>0</v>
      </c>
      <c r="F1077" s="42">
        <f t="shared" ref="F1077:O1077" si="168">SUM(F1059:F1066)-SUM(F1067:F1071)+SUM(F1072:F1075)</f>
        <v>0</v>
      </c>
      <c r="G1077" s="42">
        <f>SUM(G1059:G1066)-SUM(G1067:G1071)+SUM(G1072:G1075)</f>
        <v>0</v>
      </c>
      <c r="H1077" s="42">
        <f t="shared" si="168"/>
        <v>0</v>
      </c>
      <c r="I1077" s="42">
        <f t="shared" si="168"/>
        <v>0</v>
      </c>
      <c r="J1077" s="42">
        <f t="shared" si="168"/>
        <v>0</v>
      </c>
      <c r="K1077" s="42">
        <f t="shared" si="168"/>
        <v>0</v>
      </c>
      <c r="L1077" s="42">
        <f t="shared" si="168"/>
        <v>0</v>
      </c>
      <c r="M1077" s="42">
        <f t="shared" si="168"/>
        <v>0</v>
      </c>
      <c r="N1077" s="42">
        <f t="shared" si="168"/>
        <v>0</v>
      </c>
      <c r="O1077" s="43">
        <f t="shared" si="168"/>
        <v>0</v>
      </c>
      <c r="P1077" s="44">
        <f>SUM(P1059:P1066)-SUM(P1067:P1071)+SUM(P1072:P1075)</f>
        <v>0</v>
      </c>
      <c r="Q1077" s="46">
        <f t="shared" si="166"/>
        <v>0</v>
      </c>
    </row>
    <row r="1078" spans="1:17">
      <c r="A1078" s="140"/>
      <c r="B1078" s="158" t="s">
        <v>12</v>
      </c>
      <c r="C1078" s="114" t="s">
        <v>87</v>
      </c>
      <c r="D1078" s="87"/>
      <c r="E1078" s="87"/>
      <c r="F1078" s="87"/>
      <c r="G1078" s="87"/>
      <c r="H1078" s="87"/>
      <c r="I1078" s="87"/>
      <c r="J1078" s="87"/>
      <c r="K1078" s="87"/>
      <c r="L1078" s="87"/>
      <c r="M1078" s="87"/>
      <c r="N1078" s="87"/>
      <c r="O1078" s="78"/>
      <c r="P1078" s="30"/>
      <c r="Q1078" s="19">
        <f>SUM(D1078:P1078)</f>
        <v>0</v>
      </c>
    </row>
    <row r="1079" spans="1:17">
      <c r="A1079" s="141"/>
      <c r="B1079" s="154"/>
      <c r="C1079" s="115" t="s">
        <v>89</v>
      </c>
      <c r="D1079" s="88"/>
      <c r="E1079" s="88"/>
      <c r="F1079" s="88"/>
      <c r="G1079" s="88"/>
      <c r="H1079" s="88"/>
      <c r="I1079" s="88"/>
      <c r="J1079" s="88"/>
      <c r="K1079" s="88"/>
      <c r="L1079" s="88"/>
      <c r="M1079" s="88"/>
      <c r="N1079" s="88"/>
      <c r="O1079" s="81"/>
      <c r="P1079" s="31"/>
      <c r="Q1079" s="20">
        <f t="shared" ref="Q1079:Q1096" si="169">SUM(D1079:P1079)</f>
        <v>0</v>
      </c>
    </row>
    <row r="1080" spans="1:17">
      <c r="A1080" s="141"/>
      <c r="B1080" s="143"/>
      <c r="C1080" s="116" t="s">
        <v>88</v>
      </c>
      <c r="D1080" s="89"/>
      <c r="E1080" s="90"/>
      <c r="F1080" s="90"/>
      <c r="G1080" s="90"/>
      <c r="H1080" s="89"/>
      <c r="I1080" s="89"/>
      <c r="J1080" s="89"/>
      <c r="K1080" s="89"/>
      <c r="L1080" s="89"/>
      <c r="M1080" s="89"/>
      <c r="N1080" s="89"/>
      <c r="O1080" s="17"/>
      <c r="P1080" s="28"/>
      <c r="Q1080" s="20">
        <f t="shared" si="169"/>
        <v>0</v>
      </c>
    </row>
    <row r="1081" spans="1:17">
      <c r="A1081" s="141"/>
      <c r="B1081" s="143"/>
      <c r="C1081" s="117" t="s">
        <v>90</v>
      </c>
      <c r="D1081" s="91"/>
      <c r="E1081" s="89"/>
      <c r="F1081" s="89"/>
      <c r="G1081" s="91"/>
      <c r="H1081" s="91"/>
      <c r="I1081" s="91"/>
      <c r="J1081" s="91"/>
      <c r="K1081" s="91"/>
      <c r="L1081" s="91"/>
      <c r="M1081" s="91"/>
      <c r="N1081" s="91"/>
      <c r="O1081" s="80"/>
      <c r="P1081" s="32"/>
      <c r="Q1081" s="20">
        <f t="shared" si="169"/>
        <v>0</v>
      </c>
    </row>
    <row r="1082" spans="1:17">
      <c r="A1082" s="141"/>
      <c r="B1082" s="143"/>
      <c r="C1082" s="117" t="s">
        <v>91</v>
      </c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80"/>
      <c r="P1082" s="32"/>
      <c r="Q1082" s="20">
        <f t="shared" si="169"/>
        <v>0</v>
      </c>
    </row>
    <row r="1083" spans="1:17">
      <c r="A1083" s="141"/>
      <c r="B1083" s="143"/>
      <c r="C1083" s="117" t="s">
        <v>92</v>
      </c>
      <c r="D1083" s="91"/>
      <c r="E1083" s="91"/>
      <c r="F1083" s="91"/>
      <c r="G1083" s="91"/>
      <c r="H1083" s="91"/>
      <c r="I1083" s="91"/>
      <c r="J1083" s="91"/>
      <c r="K1083" s="91"/>
      <c r="L1083" s="91"/>
      <c r="M1083" s="91"/>
      <c r="N1083" s="91"/>
      <c r="O1083" s="80"/>
      <c r="P1083" s="32"/>
      <c r="Q1083" s="20">
        <f t="shared" si="169"/>
        <v>0</v>
      </c>
    </row>
    <row r="1084" spans="1:17">
      <c r="A1084" s="141"/>
      <c r="B1084" s="143"/>
      <c r="C1084" s="116" t="s">
        <v>93</v>
      </c>
      <c r="D1084" s="91"/>
      <c r="E1084" s="91"/>
      <c r="F1084" s="91"/>
      <c r="G1084" s="91"/>
      <c r="H1084" s="91"/>
      <c r="I1084" s="91"/>
      <c r="J1084" s="91"/>
      <c r="K1084" s="91"/>
      <c r="L1084" s="91"/>
      <c r="M1084" s="91"/>
      <c r="N1084" s="91"/>
      <c r="O1084" s="80"/>
      <c r="P1084" s="32"/>
      <c r="Q1084" s="20">
        <f t="shared" si="169"/>
        <v>0</v>
      </c>
    </row>
    <row r="1085" spans="1:17">
      <c r="A1085" s="141"/>
      <c r="B1085" s="143"/>
      <c r="C1085" s="118" t="s">
        <v>94</v>
      </c>
      <c r="D1085" s="92"/>
      <c r="E1085" s="92"/>
      <c r="F1085" s="92"/>
      <c r="G1085" s="92"/>
      <c r="H1085" s="92"/>
      <c r="I1085" s="92"/>
      <c r="J1085" s="92"/>
      <c r="K1085" s="92"/>
      <c r="L1085" s="92"/>
      <c r="M1085" s="92"/>
      <c r="N1085" s="92"/>
      <c r="O1085" s="18"/>
      <c r="P1085" s="33"/>
      <c r="Q1085" s="22">
        <f t="shared" si="169"/>
        <v>0</v>
      </c>
    </row>
    <row r="1086" spans="1:17">
      <c r="A1086" s="141"/>
      <c r="B1086" s="143" t="s">
        <v>11</v>
      </c>
      <c r="C1086" s="119" t="s">
        <v>7</v>
      </c>
      <c r="D1086" s="93"/>
      <c r="E1086" s="93"/>
      <c r="F1086" s="93"/>
      <c r="G1086" s="93"/>
      <c r="H1086" s="93"/>
      <c r="I1086" s="93"/>
      <c r="J1086" s="93"/>
      <c r="K1086" s="93"/>
      <c r="L1086" s="94"/>
      <c r="M1086" s="94"/>
      <c r="N1086" s="94"/>
      <c r="O1086" s="79"/>
      <c r="P1086" s="27"/>
      <c r="Q1086" s="21">
        <f t="shared" si="169"/>
        <v>0</v>
      </c>
    </row>
    <row r="1087" spans="1:17">
      <c r="A1087" s="141"/>
      <c r="B1087" s="143"/>
      <c r="C1087" s="117" t="s">
        <v>4</v>
      </c>
      <c r="D1087" s="95"/>
      <c r="E1087" s="95"/>
      <c r="F1087" s="95"/>
      <c r="G1087" s="95"/>
      <c r="H1087" s="95"/>
      <c r="I1087" s="95"/>
      <c r="J1087" s="95"/>
      <c r="K1087" s="95"/>
      <c r="L1087" s="91"/>
      <c r="M1087" s="91"/>
      <c r="N1087" s="91"/>
      <c r="O1087" s="80"/>
      <c r="P1087" s="32"/>
      <c r="Q1087" s="20">
        <f t="shared" si="169"/>
        <v>0</v>
      </c>
    </row>
    <row r="1088" spans="1:17">
      <c r="A1088" s="141"/>
      <c r="B1088" s="143"/>
      <c r="C1088" s="117" t="s">
        <v>17</v>
      </c>
      <c r="D1088" s="91"/>
      <c r="E1088" s="91"/>
      <c r="F1088" s="91"/>
      <c r="G1088" s="91"/>
      <c r="H1088" s="91"/>
      <c r="I1088" s="91"/>
      <c r="J1088" s="91"/>
      <c r="K1088" s="91"/>
      <c r="L1088" s="91"/>
      <c r="M1088" s="91"/>
      <c r="N1088" s="91"/>
      <c r="O1088" s="80"/>
      <c r="P1088" s="32"/>
      <c r="Q1088" s="20">
        <f t="shared" si="169"/>
        <v>0</v>
      </c>
    </row>
    <row r="1089" spans="1:17">
      <c r="A1089" s="141"/>
      <c r="B1089" s="143"/>
      <c r="C1089" s="117" t="s">
        <v>18</v>
      </c>
      <c r="D1089" s="90"/>
      <c r="E1089" s="90"/>
      <c r="F1089" s="90"/>
      <c r="G1089" s="90"/>
      <c r="H1089" s="91"/>
      <c r="I1089" s="91"/>
      <c r="J1089" s="91"/>
      <c r="K1089" s="91"/>
      <c r="L1089" s="91"/>
      <c r="M1089" s="91"/>
      <c r="N1089" s="91"/>
      <c r="O1089" s="80"/>
      <c r="P1089" s="32"/>
      <c r="Q1089" s="20">
        <f t="shared" si="169"/>
        <v>0</v>
      </c>
    </row>
    <row r="1090" spans="1:17">
      <c r="A1090" s="141"/>
      <c r="B1090" s="143"/>
      <c r="C1090" s="120" t="s">
        <v>19</v>
      </c>
      <c r="D1090" s="96"/>
      <c r="E1090" s="96"/>
      <c r="F1090" s="96"/>
      <c r="G1090" s="96"/>
      <c r="H1090" s="92"/>
      <c r="I1090" s="92"/>
      <c r="J1090" s="92"/>
      <c r="K1090" s="92"/>
      <c r="L1090" s="92"/>
      <c r="M1090" s="92"/>
      <c r="N1090" s="92"/>
      <c r="O1090" s="18"/>
      <c r="P1090" s="33"/>
      <c r="Q1090" s="22">
        <f t="shared" si="169"/>
        <v>0</v>
      </c>
    </row>
    <row r="1091" spans="1:17">
      <c r="A1091" s="141"/>
      <c r="B1091" s="143" t="s">
        <v>13</v>
      </c>
      <c r="C1091" s="119" t="s">
        <v>10</v>
      </c>
      <c r="D1091" s="94"/>
      <c r="E1091" s="94"/>
      <c r="F1091" s="94"/>
      <c r="G1091" s="94"/>
      <c r="H1091" s="94"/>
      <c r="I1091" s="94"/>
      <c r="J1091" s="94"/>
      <c r="K1091" s="94"/>
      <c r="L1091" s="94"/>
      <c r="M1091" s="94"/>
      <c r="N1091" s="94"/>
      <c r="O1091" s="79"/>
      <c r="P1091" s="27"/>
      <c r="Q1091" s="21">
        <f t="shared" si="169"/>
        <v>0</v>
      </c>
    </row>
    <row r="1092" spans="1:17">
      <c r="A1092" s="141"/>
      <c r="B1092" s="143"/>
      <c r="C1092" s="116" t="s">
        <v>55</v>
      </c>
      <c r="D1092" s="89"/>
      <c r="E1092" s="89"/>
      <c r="F1092" s="89"/>
      <c r="G1092" s="89"/>
      <c r="H1092" s="89"/>
      <c r="I1092" s="89"/>
      <c r="J1092" s="89"/>
      <c r="K1092" s="89"/>
      <c r="L1092" s="89"/>
      <c r="M1092" s="89"/>
      <c r="N1092" s="89"/>
      <c r="O1092" s="17"/>
      <c r="P1092" s="28"/>
      <c r="Q1092" s="20">
        <f t="shared" si="169"/>
        <v>0</v>
      </c>
    </row>
    <row r="1093" spans="1:17">
      <c r="A1093" s="141"/>
      <c r="B1093" s="143"/>
      <c r="C1093" s="116" t="s">
        <v>56</v>
      </c>
      <c r="D1093" s="89"/>
      <c r="E1093" s="89"/>
      <c r="F1093" s="89"/>
      <c r="G1093" s="89"/>
      <c r="H1093" s="89"/>
      <c r="I1093" s="89"/>
      <c r="J1093" s="89"/>
      <c r="K1093" s="89"/>
      <c r="L1093" s="89"/>
      <c r="M1093" s="89"/>
      <c r="N1093" s="89"/>
      <c r="O1093" s="17"/>
      <c r="P1093" s="28"/>
      <c r="Q1093" s="20">
        <f t="shared" si="169"/>
        <v>0</v>
      </c>
    </row>
    <row r="1094" spans="1:17">
      <c r="A1094" s="141"/>
      <c r="B1094" s="143"/>
      <c r="C1094" s="120" t="s">
        <v>61</v>
      </c>
      <c r="D1094" s="92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18"/>
      <c r="P1094" s="33"/>
      <c r="Q1094" s="22">
        <f t="shared" si="169"/>
        <v>0</v>
      </c>
    </row>
    <row r="1095" spans="1:17">
      <c r="A1095" s="141"/>
      <c r="B1095" s="156" t="s">
        <v>54</v>
      </c>
      <c r="C1095" s="157"/>
      <c r="D1095" s="56">
        <f>SUM(D1078:D1085)-SUM(D1089:D1090)</f>
        <v>0</v>
      </c>
      <c r="E1095" s="56">
        <f t="shared" ref="E1095:O1095" si="170">SUM(E1078:E1085)-SUM(E1089:E1090)</f>
        <v>0</v>
      </c>
      <c r="F1095" s="56">
        <f t="shared" si="170"/>
        <v>0</v>
      </c>
      <c r="G1095" s="56">
        <f>SUM(G1078:G1085)-SUM(G1089:G1090)</f>
        <v>0</v>
      </c>
      <c r="H1095" s="56">
        <f t="shared" si="170"/>
        <v>0</v>
      </c>
      <c r="I1095" s="56">
        <f t="shared" si="170"/>
        <v>0</v>
      </c>
      <c r="J1095" s="56">
        <f t="shared" si="170"/>
        <v>0</v>
      </c>
      <c r="K1095" s="56">
        <f t="shared" si="170"/>
        <v>0</v>
      </c>
      <c r="L1095" s="56">
        <f t="shared" si="170"/>
        <v>0</v>
      </c>
      <c r="M1095" s="56">
        <f t="shared" si="170"/>
        <v>0</v>
      </c>
      <c r="N1095" s="56">
        <f t="shared" si="170"/>
        <v>0</v>
      </c>
      <c r="O1095" s="57">
        <f t="shared" si="170"/>
        <v>0</v>
      </c>
      <c r="P1095" s="60">
        <f>SUM(P1078:P1085)-SUM(P1089:P1090)</f>
        <v>0</v>
      </c>
      <c r="Q1095" s="59">
        <f>SUM(D1095:P1095)</f>
        <v>0</v>
      </c>
    </row>
    <row r="1096" spans="1:17" ht="14.25" thickBot="1">
      <c r="A1096" s="142"/>
      <c r="B1096" s="147" t="s">
        <v>5</v>
      </c>
      <c r="C1096" s="148"/>
      <c r="D1096" s="42">
        <f>SUM(D1078:D1085)-SUM(D1086:D1090)+SUM(D1091:D1094)</f>
        <v>0</v>
      </c>
      <c r="E1096" s="42">
        <f>SUM(E1078:E1085)-SUM(E1086:E1090)+SUM(E1091:E1094)</f>
        <v>0</v>
      </c>
      <c r="F1096" s="42">
        <f t="shared" ref="F1096:O1096" si="171">SUM(F1078:F1085)-SUM(F1086:F1090)+SUM(F1091:F1094)</f>
        <v>0</v>
      </c>
      <c r="G1096" s="42">
        <f>SUM(G1078:G1085)-SUM(G1086:G1090)+SUM(G1091:G1094)</f>
        <v>0</v>
      </c>
      <c r="H1096" s="42">
        <f t="shared" si="171"/>
        <v>0</v>
      </c>
      <c r="I1096" s="42">
        <f t="shared" si="171"/>
        <v>0</v>
      </c>
      <c r="J1096" s="42">
        <f t="shared" si="171"/>
        <v>0</v>
      </c>
      <c r="K1096" s="42">
        <f t="shared" si="171"/>
        <v>0</v>
      </c>
      <c r="L1096" s="42">
        <f t="shared" si="171"/>
        <v>0</v>
      </c>
      <c r="M1096" s="42">
        <f t="shared" si="171"/>
        <v>0</v>
      </c>
      <c r="N1096" s="42">
        <f t="shared" si="171"/>
        <v>0</v>
      </c>
      <c r="O1096" s="43">
        <f t="shared" si="171"/>
        <v>0</v>
      </c>
      <c r="P1096" s="44">
        <f>SUM(P1078:P1085)-SUM(P1086:P1090)+SUM(P1091:P1094)</f>
        <v>0</v>
      </c>
      <c r="Q1096" s="46">
        <f t="shared" si="169"/>
        <v>0</v>
      </c>
    </row>
    <row r="1097" spans="1:17">
      <c r="A1097" s="140"/>
      <c r="B1097" s="158" t="s">
        <v>12</v>
      </c>
      <c r="C1097" s="114" t="s">
        <v>87</v>
      </c>
      <c r="D1097" s="87"/>
      <c r="E1097" s="87"/>
      <c r="F1097" s="87"/>
      <c r="G1097" s="87"/>
      <c r="H1097" s="87"/>
      <c r="I1097" s="87"/>
      <c r="J1097" s="87"/>
      <c r="K1097" s="87"/>
      <c r="L1097" s="87"/>
      <c r="M1097" s="87"/>
      <c r="N1097" s="87"/>
      <c r="O1097" s="78"/>
      <c r="P1097" s="30"/>
      <c r="Q1097" s="19">
        <f>SUM(D1097:P1097)</f>
        <v>0</v>
      </c>
    </row>
    <row r="1098" spans="1:17">
      <c r="A1098" s="141"/>
      <c r="B1098" s="154"/>
      <c r="C1098" s="115" t="s">
        <v>89</v>
      </c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1"/>
      <c r="P1098" s="31"/>
      <c r="Q1098" s="20">
        <f t="shared" ref="Q1098:Q1115" si="172">SUM(D1098:P1098)</f>
        <v>0</v>
      </c>
    </row>
    <row r="1099" spans="1:17">
      <c r="A1099" s="141"/>
      <c r="B1099" s="143"/>
      <c r="C1099" s="116" t="s">
        <v>88</v>
      </c>
      <c r="D1099" s="89"/>
      <c r="E1099" s="90"/>
      <c r="F1099" s="90"/>
      <c r="G1099" s="90"/>
      <c r="H1099" s="89"/>
      <c r="I1099" s="89"/>
      <c r="J1099" s="89"/>
      <c r="K1099" s="89"/>
      <c r="L1099" s="89"/>
      <c r="M1099" s="89"/>
      <c r="N1099" s="89"/>
      <c r="O1099" s="17"/>
      <c r="P1099" s="28"/>
      <c r="Q1099" s="20">
        <f t="shared" si="172"/>
        <v>0</v>
      </c>
    </row>
    <row r="1100" spans="1:17">
      <c r="A1100" s="141"/>
      <c r="B1100" s="143"/>
      <c r="C1100" s="117" t="s">
        <v>90</v>
      </c>
      <c r="D1100" s="91"/>
      <c r="E1100" s="89"/>
      <c r="F1100" s="89"/>
      <c r="G1100" s="91"/>
      <c r="H1100" s="91"/>
      <c r="I1100" s="91"/>
      <c r="J1100" s="91"/>
      <c r="K1100" s="91"/>
      <c r="L1100" s="91"/>
      <c r="M1100" s="91"/>
      <c r="N1100" s="91"/>
      <c r="O1100" s="80"/>
      <c r="P1100" s="32"/>
      <c r="Q1100" s="20">
        <f t="shared" si="172"/>
        <v>0</v>
      </c>
    </row>
    <row r="1101" spans="1:17">
      <c r="A1101" s="141"/>
      <c r="B1101" s="143"/>
      <c r="C1101" s="117" t="s">
        <v>91</v>
      </c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80"/>
      <c r="P1101" s="32"/>
      <c r="Q1101" s="20">
        <f t="shared" si="172"/>
        <v>0</v>
      </c>
    </row>
    <row r="1102" spans="1:17">
      <c r="A1102" s="141"/>
      <c r="B1102" s="143"/>
      <c r="C1102" s="117" t="s">
        <v>92</v>
      </c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80"/>
      <c r="P1102" s="32"/>
      <c r="Q1102" s="20">
        <f t="shared" si="172"/>
        <v>0</v>
      </c>
    </row>
    <row r="1103" spans="1:17">
      <c r="A1103" s="141"/>
      <c r="B1103" s="143"/>
      <c r="C1103" s="116" t="s">
        <v>93</v>
      </c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80"/>
      <c r="P1103" s="32"/>
      <c r="Q1103" s="20">
        <f t="shared" si="172"/>
        <v>0</v>
      </c>
    </row>
    <row r="1104" spans="1:17">
      <c r="A1104" s="141"/>
      <c r="B1104" s="143"/>
      <c r="C1104" s="118" t="s">
        <v>94</v>
      </c>
      <c r="D1104" s="92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O1104" s="18"/>
      <c r="P1104" s="33"/>
      <c r="Q1104" s="22">
        <f t="shared" si="172"/>
        <v>0</v>
      </c>
    </row>
    <row r="1105" spans="1:17">
      <c r="A1105" s="141"/>
      <c r="B1105" s="143" t="s">
        <v>11</v>
      </c>
      <c r="C1105" s="119" t="s">
        <v>7</v>
      </c>
      <c r="D1105" s="93"/>
      <c r="E1105" s="93"/>
      <c r="F1105" s="93"/>
      <c r="G1105" s="93"/>
      <c r="H1105" s="93"/>
      <c r="I1105" s="93"/>
      <c r="J1105" s="93"/>
      <c r="K1105" s="93"/>
      <c r="L1105" s="94"/>
      <c r="M1105" s="94"/>
      <c r="N1105" s="94"/>
      <c r="O1105" s="79"/>
      <c r="P1105" s="27"/>
      <c r="Q1105" s="21">
        <f t="shared" si="172"/>
        <v>0</v>
      </c>
    </row>
    <row r="1106" spans="1:17">
      <c r="A1106" s="141"/>
      <c r="B1106" s="143"/>
      <c r="C1106" s="117" t="s">
        <v>4</v>
      </c>
      <c r="D1106" s="95"/>
      <c r="E1106" s="95"/>
      <c r="F1106" s="95"/>
      <c r="G1106" s="95"/>
      <c r="H1106" s="95"/>
      <c r="I1106" s="95"/>
      <c r="J1106" s="95"/>
      <c r="K1106" s="95"/>
      <c r="L1106" s="91"/>
      <c r="M1106" s="91"/>
      <c r="N1106" s="91"/>
      <c r="O1106" s="80"/>
      <c r="P1106" s="32"/>
      <c r="Q1106" s="20">
        <f t="shared" si="172"/>
        <v>0</v>
      </c>
    </row>
    <row r="1107" spans="1:17">
      <c r="A1107" s="141"/>
      <c r="B1107" s="143"/>
      <c r="C1107" s="117" t="s">
        <v>17</v>
      </c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80"/>
      <c r="P1107" s="32"/>
      <c r="Q1107" s="20">
        <f t="shared" si="172"/>
        <v>0</v>
      </c>
    </row>
    <row r="1108" spans="1:17">
      <c r="A1108" s="141"/>
      <c r="B1108" s="143"/>
      <c r="C1108" s="117" t="s">
        <v>18</v>
      </c>
      <c r="D1108" s="90"/>
      <c r="E1108" s="90"/>
      <c r="F1108" s="90"/>
      <c r="G1108" s="90"/>
      <c r="H1108" s="91"/>
      <c r="I1108" s="91"/>
      <c r="J1108" s="91"/>
      <c r="K1108" s="91"/>
      <c r="L1108" s="91"/>
      <c r="M1108" s="91"/>
      <c r="N1108" s="91"/>
      <c r="O1108" s="80"/>
      <c r="P1108" s="32"/>
      <c r="Q1108" s="20">
        <f t="shared" si="172"/>
        <v>0</v>
      </c>
    </row>
    <row r="1109" spans="1:17">
      <c r="A1109" s="141"/>
      <c r="B1109" s="143"/>
      <c r="C1109" s="120" t="s">
        <v>19</v>
      </c>
      <c r="D1109" s="96"/>
      <c r="E1109" s="96"/>
      <c r="F1109" s="96"/>
      <c r="G1109" s="96"/>
      <c r="H1109" s="92"/>
      <c r="I1109" s="92"/>
      <c r="J1109" s="92"/>
      <c r="K1109" s="92"/>
      <c r="L1109" s="92"/>
      <c r="M1109" s="92"/>
      <c r="N1109" s="92"/>
      <c r="O1109" s="18"/>
      <c r="P1109" s="33"/>
      <c r="Q1109" s="22">
        <f t="shared" si="172"/>
        <v>0</v>
      </c>
    </row>
    <row r="1110" spans="1:17">
      <c r="A1110" s="141"/>
      <c r="B1110" s="143" t="s">
        <v>13</v>
      </c>
      <c r="C1110" s="119" t="s">
        <v>10</v>
      </c>
      <c r="D1110" s="94"/>
      <c r="E1110" s="94"/>
      <c r="F1110" s="94"/>
      <c r="G1110" s="94"/>
      <c r="H1110" s="94"/>
      <c r="I1110" s="94"/>
      <c r="J1110" s="94"/>
      <c r="K1110" s="94"/>
      <c r="L1110" s="94"/>
      <c r="M1110" s="94"/>
      <c r="N1110" s="94"/>
      <c r="O1110" s="79"/>
      <c r="P1110" s="27"/>
      <c r="Q1110" s="21">
        <f t="shared" si="172"/>
        <v>0</v>
      </c>
    </row>
    <row r="1111" spans="1:17">
      <c r="A1111" s="141"/>
      <c r="B1111" s="143"/>
      <c r="C1111" s="116" t="s">
        <v>55</v>
      </c>
      <c r="D1111" s="89"/>
      <c r="E1111" s="89"/>
      <c r="F1111" s="89"/>
      <c r="G1111" s="89"/>
      <c r="H1111" s="89"/>
      <c r="I1111" s="89"/>
      <c r="J1111" s="89"/>
      <c r="K1111" s="89"/>
      <c r="L1111" s="89"/>
      <c r="M1111" s="89"/>
      <c r="N1111" s="89"/>
      <c r="O1111" s="17"/>
      <c r="P1111" s="28"/>
      <c r="Q1111" s="20">
        <f t="shared" si="172"/>
        <v>0</v>
      </c>
    </row>
    <row r="1112" spans="1:17">
      <c r="A1112" s="141"/>
      <c r="B1112" s="143"/>
      <c r="C1112" s="116" t="s">
        <v>56</v>
      </c>
      <c r="D1112" s="89"/>
      <c r="E1112" s="89"/>
      <c r="F1112" s="89"/>
      <c r="G1112" s="89"/>
      <c r="H1112" s="89"/>
      <c r="I1112" s="89"/>
      <c r="J1112" s="89"/>
      <c r="K1112" s="89"/>
      <c r="L1112" s="89"/>
      <c r="M1112" s="89"/>
      <c r="N1112" s="89"/>
      <c r="O1112" s="17"/>
      <c r="P1112" s="28"/>
      <c r="Q1112" s="20">
        <f t="shared" si="172"/>
        <v>0</v>
      </c>
    </row>
    <row r="1113" spans="1:17">
      <c r="A1113" s="141"/>
      <c r="B1113" s="143"/>
      <c r="C1113" s="120" t="s">
        <v>61</v>
      </c>
      <c r="D1113" s="92"/>
      <c r="E1113" s="92"/>
      <c r="F1113" s="92"/>
      <c r="G1113" s="92"/>
      <c r="H1113" s="92"/>
      <c r="I1113" s="92"/>
      <c r="J1113" s="92"/>
      <c r="K1113" s="92"/>
      <c r="L1113" s="92"/>
      <c r="M1113" s="92"/>
      <c r="N1113" s="92"/>
      <c r="O1113" s="18"/>
      <c r="P1113" s="33"/>
      <c r="Q1113" s="22">
        <f t="shared" si="172"/>
        <v>0</v>
      </c>
    </row>
    <row r="1114" spans="1:17">
      <c r="A1114" s="141"/>
      <c r="B1114" s="156" t="s">
        <v>54</v>
      </c>
      <c r="C1114" s="157"/>
      <c r="D1114" s="56">
        <f>SUM(D1097:D1104)-SUM(D1108:D1109)</f>
        <v>0</v>
      </c>
      <c r="E1114" s="56">
        <f t="shared" ref="E1114:O1114" si="173">SUM(E1097:E1104)-SUM(E1108:E1109)</f>
        <v>0</v>
      </c>
      <c r="F1114" s="56">
        <f t="shared" si="173"/>
        <v>0</v>
      </c>
      <c r="G1114" s="56">
        <f>SUM(G1097:G1104)-SUM(G1108:G1109)</f>
        <v>0</v>
      </c>
      <c r="H1114" s="56">
        <f t="shared" si="173"/>
        <v>0</v>
      </c>
      <c r="I1114" s="56">
        <f t="shared" si="173"/>
        <v>0</v>
      </c>
      <c r="J1114" s="56">
        <f t="shared" si="173"/>
        <v>0</v>
      </c>
      <c r="K1114" s="56">
        <f t="shared" si="173"/>
        <v>0</v>
      </c>
      <c r="L1114" s="56">
        <f t="shared" si="173"/>
        <v>0</v>
      </c>
      <c r="M1114" s="56">
        <f t="shared" si="173"/>
        <v>0</v>
      </c>
      <c r="N1114" s="56">
        <f t="shared" si="173"/>
        <v>0</v>
      </c>
      <c r="O1114" s="57">
        <f t="shared" si="173"/>
        <v>0</v>
      </c>
      <c r="P1114" s="60">
        <f>SUM(P1097:P1104)-SUM(P1108:P1109)</f>
        <v>0</v>
      </c>
      <c r="Q1114" s="59">
        <f>SUM(D1114:P1114)</f>
        <v>0</v>
      </c>
    </row>
    <row r="1115" spans="1:17" ht="14.25" thickBot="1">
      <c r="A1115" s="142"/>
      <c r="B1115" s="147" t="s">
        <v>5</v>
      </c>
      <c r="C1115" s="148"/>
      <c r="D1115" s="42">
        <f>SUM(D1097:D1104)-SUM(D1105:D1109)+SUM(D1110:D1113)</f>
        <v>0</v>
      </c>
      <c r="E1115" s="42">
        <f>SUM(E1097:E1104)-SUM(E1105:E1109)+SUM(E1110:E1113)</f>
        <v>0</v>
      </c>
      <c r="F1115" s="42">
        <f t="shared" ref="F1115:O1115" si="174">SUM(F1097:F1104)-SUM(F1105:F1109)+SUM(F1110:F1113)</f>
        <v>0</v>
      </c>
      <c r="G1115" s="42">
        <f>SUM(G1097:G1104)-SUM(G1105:G1109)+SUM(G1110:G1113)</f>
        <v>0</v>
      </c>
      <c r="H1115" s="42">
        <f t="shared" si="174"/>
        <v>0</v>
      </c>
      <c r="I1115" s="42">
        <f t="shared" si="174"/>
        <v>0</v>
      </c>
      <c r="J1115" s="42">
        <f t="shared" si="174"/>
        <v>0</v>
      </c>
      <c r="K1115" s="42">
        <f t="shared" si="174"/>
        <v>0</v>
      </c>
      <c r="L1115" s="42">
        <f t="shared" si="174"/>
        <v>0</v>
      </c>
      <c r="M1115" s="42">
        <f t="shared" si="174"/>
        <v>0</v>
      </c>
      <c r="N1115" s="42">
        <f t="shared" si="174"/>
        <v>0</v>
      </c>
      <c r="O1115" s="43">
        <f t="shared" si="174"/>
        <v>0</v>
      </c>
      <c r="P1115" s="44">
        <f>SUM(P1097:P1104)-SUM(P1105:P1109)+SUM(P1110:P1113)</f>
        <v>0</v>
      </c>
      <c r="Q1115" s="46">
        <f t="shared" si="172"/>
        <v>0</v>
      </c>
    </row>
    <row r="1116" spans="1:17">
      <c r="A1116" s="140"/>
      <c r="B1116" s="158" t="s">
        <v>12</v>
      </c>
      <c r="C1116" s="114" t="s">
        <v>87</v>
      </c>
      <c r="D1116" s="87"/>
      <c r="E1116" s="87"/>
      <c r="F1116" s="87"/>
      <c r="G1116" s="87"/>
      <c r="H1116" s="87"/>
      <c r="I1116" s="87"/>
      <c r="J1116" s="87"/>
      <c r="K1116" s="87"/>
      <c r="L1116" s="87"/>
      <c r="M1116" s="87"/>
      <c r="N1116" s="87"/>
      <c r="O1116" s="78"/>
      <c r="P1116" s="30"/>
      <c r="Q1116" s="19">
        <f>SUM(D1116:P1116)</f>
        <v>0</v>
      </c>
    </row>
    <row r="1117" spans="1:17">
      <c r="A1117" s="141"/>
      <c r="B1117" s="154"/>
      <c r="C1117" s="115" t="s">
        <v>89</v>
      </c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1"/>
      <c r="P1117" s="31"/>
      <c r="Q1117" s="20">
        <f t="shared" ref="Q1117:Q1134" si="175">SUM(D1117:P1117)</f>
        <v>0</v>
      </c>
    </row>
    <row r="1118" spans="1:17">
      <c r="A1118" s="141"/>
      <c r="B1118" s="143"/>
      <c r="C1118" s="116" t="s">
        <v>88</v>
      </c>
      <c r="D1118" s="89"/>
      <c r="E1118" s="90"/>
      <c r="F1118" s="90"/>
      <c r="G1118" s="90"/>
      <c r="H1118" s="89"/>
      <c r="I1118" s="89"/>
      <c r="J1118" s="89"/>
      <c r="K1118" s="89"/>
      <c r="L1118" s="89"/>
      <c r="M1118" s="89"/>
      <c r="N1118" s="89"/>
      <c r="O1118" s="17"/>
      <c r="P1118" s="28"/>
      <c r="Q1118" s="20">
        <f t="shared" si="175"/>
        <v>0</v>
      </c>
    </row>
    <row r="1119" spans="1:17">
      <c r="A1119" s="141"/>
      <c r="B1119" s="143"/>
      <c r="C1119" s="117" t="s">
        <v>90</v>
      </c>
      <c r="D1119" s="91"/>
      <c r="E1119" s="89"/>
      <c r="F1119" s="89"/>
      <c r="G1119" s="91"/>
      <c r="H1119" s="91"/>
      <c r="I1119" s="91"/>
      <c r="J1119" s="91"/>
      <c r="K1119" s="91"/>
      <c r="L1119" s="91"/>
      <c r="M1119" s="91"/>
      <c r="N1119" s="91"/>
      <c r="O1119" s="80"/>
      <c r="P1119" s="32"/>
      <c r="Q1119" s="20">
        <f t="shared" si="175"/>
        <v>0</v>
      </c>
    </row>
    <row r="1120" spans="1:17">
      <c r="A1120" s="141"/>
      <c r="B1120" s="143"/>
      <c r="C1120" s="117" t="s">
        <v>91</v>
      </c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80"/>
      <c r="P1120" s="32"/>
      <c r="Q1120" s="20">
        <f t="shared" si="175"/>
        <v>0</v>
      </c>
    </row>
    <row r="1121" spans="1:17">
      <c r="A1121" s="141"/>
      <c r="B1121" s="143"/>
      <c r="C1121" s="117" t="s">
        <v>92</v>
      </c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1"/>
      <c r="O1121" s="80"/>
      <c r="P1121" s="32"/>
      <c r="Q1121" s="20">
        <f t="shared" si="175"/>
        <v>0</v>
      </c>
    </row>
    <row r="1122" spans="1:17">
      <c r="A1122" s="141"/>
      <c r="B1122" s="143"/>
      <c r="C1122" s="116" t="s">
        <v>93</v>
      </c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80"/>
      <c r="P1122" s="32"/>
      <c r="Q1122" s="20">
        <f t="shared" si="175"/>
        <v>0</v>
      </c>
    </row>
    <row r="1123" spans="1:17">
      <c r="A1123" s="141"/>
      <c r="B1123" s="143"/>
      <c r="C1123" s="118" t="s">
        <v>94</v>
      </c>
      <c r="D1123" s="92"/>
      <c r="E1123" s="92"/>
      <c r="F1123" s="92"/>
      <c r="G1123" s="92"/>
      <c r="H1123" s="92"/>
      <c r="I1123" s="92"/>
      <c r="J1123" s="92"/>
      <c r="K1123" s="92"/>
      <c r="L1123" s="92"/>
      <c r="M1123" s="92"/>
      <c r="N1123" s="92"/>
      <c r="O1123" s="18"/>
      <c r="P1123" s="33"/>
      <c r="Q1123" s="22">
        <f t="shared" si="175"/>
        <v>0</v>
      </c>
    </row>
    <row r="1124" spans="1:17">
      <c r="A1124" s="141"/>
      <c r="B1124" s="143" t="s">
        <v>11</v>
      </c>
      <c r="C1124" s="119" t="s">
        <v>7</v>
      </c>
      <c r="D1124" s="93"/>
      <c r="E1124" s="93"/>
      <c r="F1124" s="93"/>
      <c r="G1124" s="93"/>
      <c r="H1124" s="93"/>
      <c r="I1124" s="93"/>
      <c r="J1124" s="93"/>
      <c r="K1124" s="93"/>
      <c r="L1124" s="94"/>
      <c r="M1124" s="94"/>
      <c r="N1124" s="94"/>
      <c r="O1124" s="79"/>
      <c r="P1124" s="27"/>
      <c r="Q1124" s="21">
        <f t="shared" si="175"/>
        <v>0</v>
      </c>
    </row>
    <row r="1125" spans="1:17">
      <c r="A1125" s="141"/>
      <c r="B1125" s="143"/>
      <c r="C1125" s="117" t="s">
        <v>4</v>
      </c>
      <c r="D1125" s="95"/>
      <c r="E1125" s="95"/>
      <c r="F1125" s="95"/>
      <c r="G1125" s="95"/>
      <c r="H1125" s="95"/>
      <c r="I1125" s="95"/>
      <c r="J1125" s="95"/>
      <c r="K1125" s="95"/>
      <c r="L1125" s="91"/>
      <c r="M1125" s="91"/>
      <c r="N1125" s="91"/>
      <c r="O1125" s="80"/>
      <c r="P1125" s="32"/>
      <c r="Q1125" s="20">
        <f t="shared" si="175"/>
        <v>0</v>
      </c>
    </row>
    <row r="1126" spans="1:17">
      <c r="A1126" s="141"/>
      <c r="B1126" s="143"/>
      <c r="C1126" s="117" t="s">
        <v>17</v>
      </c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80"/>
      <c r="P1126" s="32"/>
      <c r="Q1126" s="20">
        <f t="shared" si="175"/>
        <v>0</v>
      </c>
    </row>
    <row r="1127" spans="1:17">
      <c r="A1127" s="141"/>
      <c r="B1127" s="143"/>
      <c r="C1127" s="117" t="s">
        <v>18</v>
      </c>
      <c r="D1127" s="90"/>
      <c r="E1127" s="90"/>
      <c r="F1127" s="90"/>
      <c r="G1127" s="90"/>
      <c r="H1127" s="91"/>
      <c r="I1127" s="91"/>
      <c r="J1127" s="91"/>
      <c r="K1127" s="91"/>
      <c r="L1127" s="91"/>
      <c r="M1127" s="91"/>
      <c r="N1127" s="91"/>
      <c r="O1127" s="80"/>
      <c r="P1127" s="32"/>
      <c r="Q1127" s="20">
        <f t="shared" si="175"/>
        <v>0</v>
      </c>
    </row>
    <row r="1128" spans="1:17">
      <c r="A1128" s="141"/>
      <c r="B1128" s="143"/>
      <c r="C1128" s="120" t="s">
        <v>19</v>
      </c>
      <c r="D1128" s="96"/>
      <c r="E1128" s="96"/>
      <c r="F1128" s="96"/>
      <c r="G1128" s="96"/>
      <c r="H1128" s="92"/>
      <c r="I1128" s="92"/>
      <c r="J1128" s="92"/>
      <c r="K1128" s="92"/>
      <c r="L1128" s="92"/>
      <c r="M1128" s="92"/>
      <c r="N1128" s="92"/>
      <c r="O1128" s="18"/>
      <c r="P1128" s="33"/>
      <c r="Q1128" s="22">
        <f t="shared" si="175"/>
        <v>0</v>
      </c>
    </row>
    <row r="1129" spans="1:17">
      <c r="A1129" s="141"/>
      <c r="B1129" s="143" t="s">
        <v>13</v>
      </c>
      <c r="C1129" s="119" t="s">
        <v>10</v>
      </c>
      <c r="D1129" s="94"/>
      <c r="E1129" s="94"/>
      <c r="F1129" s="94"/>
      <c r="G1129" s="94"/>
      <c r="H1129" s="94"/>
      <c r="I1129" s="94"/>
      <c r="J1129" s="94"/>
      <c r="K1129" s="94"/>
      <c r="L1129" s="94"/>
      <c r="M1129" s="94"/>
      <c r="N1129" s="94"/>
      <c r="O1129" s="79"/>
      <c r="P1129" s="27"/>
      <c r="Q1129" s="21">
        <f t="shared" si="175"/>
        <v>0</v>
      </c>
    </row>
    <row r="1130" spans="1:17">
      <c r="A1130" s="141"/>
      <c r="B1130" s="143"/>
      <c r="C1130" s="116" t="s">
        <v>55</v>
      </c>
      <c r="D1130" s="89"/>
      <c r="E1130" s="89"/>
      <c r="F1130" s="89"/>
      <c r="G1130" s="89"/>
      <c r="H1130" s="89"/>
      <c r="I1130" s="89"/>
      <c r="J1130" s="89"/>
      <c r="K1130" s="89"/>
      <c r="L1130" s="89"/>
      <c r="M1130" s="89"/>
      <c r="N1130" s="89"/>
      <c r="O1130" s="17"/>
      <c r="P1130" s="28"/>
      <c r="Q1130" s="20">
        <f t="shared" si="175"/>
        <v>0</v>
      </c>
    </row>
    <row r="1131" spans="1:17">
      <c r="A1131" s="141"/>
      <c r="B1131" s="143"/>
      <c r="C1131" s="116" t="s">
        <v>56</v>
      </c>
      <c r="D1131" s="89"/>
      <c r="E1131" s="89"/>
      <c r="F1131" s="89"/>
      <c r="G1131" s="89"/>
      <c r="H1131" s="89"/>
      <c r="I1131" s="89"/>
      <c r="J1131" s="89"/>
      <c r="K1131" s="89"/>
      <c r="L1131" s="89"/>
      <c r="M1131" s="89"/>
      <c r="N1131" s="89"/>
      <c r="O1131" s="17"/>
      <c r="P1131" s="28"/>
      <c r="Q1131" s="20">
        <f t="shared" si="175"/>
        <v>0</v>
      </c>
    </row>
    <row r="1132" spans="1:17">
      <c r="A1132" s="141"/>
      <c r="B1132" s="143"/>
      <c r="C1132" s="120" t="s">
        <v>61</v>
      </c>
      <c r="D1132" s="92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O1132" s="18"/>
      <c r="P1132" s="33"/>
      <c r="Q1132" s="22">
        <f t="shared" si="175"/>
        <v>0</v>
      </c>
    </row>
    <row r="1133" spans="1:17">
      <c r="A1133" s="141"/>
      <c r="B1133" s="156" t="s">
        <v>54</v>
      </c>
      <c r="C1133" s="157"/>
      <c r="D1133" s="56">
        <f>SUM(D1116:D1123)-SUM(D1127:D1128)</f>
        <v>0</v>
      </c>
      <c r="E1133" s="56">
        <f t="shared" ref="E1133:O1133" si="176">SUM(E1116:E1123)-SUM(E1127:E1128)</f>
        <v>0</v>
      </c>
      <c r="F1133" s="56">
        <f t="shared" si="176"/>
        <v>0</v>
      </c>
      <c r="G1133" s="56">
        <f>SUM(G1116:G1123)-SUM(G1127:G1128)</f>
        <v>0</v>
      </c>
      <c r="H1133" s="56">
        <f t="shared" si="176"/>
        <v>0</v>
      </c>
      <c r="I1133" s="56">
        <f t="shared" si="176"/>
        <v>0</v>
      </c>
      <c r="J1133" s="56">
        <f t="shared" si="176"/>
        <v>0</v>
      </c>
      <c r="K1133" s="56">
        <f t="shared" si="176"/>
        <v>0</v>
      </c>
      <c r="L1133" s="56">
        <f t="shared" si="176"/>
        <v>0</v>
      </c>
      <c r="M1133" s="56">
        <f t="shared" si="176"/>
        <v>0</v>
      </c>
      <c r="N1133" s="56">
        <f t="shared" si="176"/>
        <v>0</v>
      </c>
      <c r="O1133" s="57">
        <f t="shared" si="176"/>
        <v>0</v>
      </c>
      <c r="P1133" s="60">
        <f>SUM(P1116:P1123)-SUM(P1127:P1128)</f>
        <v>0</v>
      </c>
      <c r="Q1133" s="59">
        <f>SUM(D1133:P1133)</f>
        <v>0</v>
      </c>
    </row>
    <row r="1134" spans="1:17" ht="14.25" thickBot="1">
      <c r="A1134" s="142"/>
      <c r="B1134" s="147" t="s">
        <v>5</v>
      </c>
      <c r="C1134" s="148"/>
      <c r="D1134" s="42">
        <f>SUM(D1116:D1123)-SUM(D1124:D1128)+SUM(D1129:D1132)</f>
        <v>0</v>
      </c>
      <c r="E1134" s="42">
        <f>SUM(E1116:E1123)-SUM(E1124:E1128)+SUM(E1129:E1132)</f>
        <v>0</v>
      </c>
      <c r="F1134" s="42">
        <f t="shared" ref="F1134:O1134" si="177">SUM(F1116:F1123)-SUM(F1124:F1128)+SUM(F1129:F1132)</f>
        <v>0</v>
      </c>
      <c r="G1134" s="42">
        <f>SUM(G1116:G1123)-SUM(G1124:G1128)+SUM(G1129:G1132)</f>
        <v>0</v>
      </c>
      <c r="H1134" s="42">
        <f t="shared" si="177"/>
        <v>0</v>
      </c>
      <c r="I1134" s="42">
        <f t="shared" si="177"/>
        <v>0</v>
      </c>
      <c r="J1134" s="42">
        <f t="shared" si="177"/>
        <v>0</v>
      </c>
      <c r="K1134" s="42">
        <f t="shared" si="177"/>
        <v>0</v>
      </c>
      <c r="L1134" s="42">
        <f t="shared" si="177"/>
        <v>0</v>
      </c>
      <c r="M1134" s="42">
        <f t="shared" si="177"/>
        <v>0</v>
      </c>
      <c r="N1134" s="42">
        <f t="shared" si="177"/>
        <v>0</v>
      </c>
      <c r="O1134" s="43">
        <f t="shared" si="177"/>
        <v>0</v>
      </c>
      <c r="P1134" s="44">
        <f>SUM(P1116:P1123)-SUM(P1124:P1128)+SUM(P1129:P1132)</f>
        <v>0</v>
      </c>
      <c r="Q1134" s="46">
        <f t="shared" si="175"/>
        <v>0</v>
      </c>
    </row>
    <row r="1135" spans="1:17">
      <c r="A1135" s="140"/>
      <c r="B1135" s="158" t="s">
        <v>12</v>
      </c>
      <c r="C1135" s="114" t="s">
        <v>87</v>
      </c>
      <c r="D1135" s="87"/>
      <c r="E1135" s="87"/>
      <c r="F1135" s="87"/>
      <c r="G1135" s="87"/>
      <c r="H1135" s="87"/>
      <c r="I1135" s="87"/>
      <c r="J1135" s="87"/>
      <c r="K1135" s="87"/>
      <c r="L1135" s="87"/>
      <c r="M1135" s="87"/>
      <c r="N1135" s="87"/>
      <c r="O1135" s="78"/>
      <c r="P1135" s="30"/>
      <c r="Q1135" s="19">
        <f>SUM(D1135:P1135)</f>
        <v>0</v>
      </c>
    </row>
    <row r="1136" spans="1:17">
      <c r="A1136" s="141"/>
      <c r="B1136" s="154"/>
      <c r="C1136" s="115" t="s">
        <v>89</v>
      </c>
      <c r="D1136" s="88"/>
      <c r="E1136" s="88"/>
      <c r="F1136" s="88"/>
      <c r="G1136" s="88"/>
      <c r="H1136" s="88"/>
      <c r="I1136" s="88"/>
      <c r="J1136" s="88"/>
      <c r="K1136" s="88"/>
      <c r="L1136" s="88"/>
      <c r="M1136" s="88"/>
      <c r="N1136" s="88"/>
      <c r="O1136" s="81"/>
      <c r="P1136" s="31"/>
      <c r="Q1136" s="20">
        <f t="shared" ref="Q1136:Q1153" si="178">SUM(D1136:P1136)</f>
        <v>0</v>
      </c>
    </row>
    <row r="1137" spans="1:17">
      <c r="A1137" s="141"/>
      <c r="B1137" s="143"/>
      <c r="C1137" s="116" t="s">
        <v>88</v>
      </c>
      <c r="D1137" s="89"/>
      <c r="E1137" s="90"/>
      <c r="F1137" s="90"/>
      <c r="G1137" s="90"/>
      <c r="H1137" s="89"/>
      <c r="I1137" s="89"/>
      <c r="J1137" s="89"/>
      <c r="K1137" s="89"/>
      <c r="L1137" s="89"/>
      <c r="M1137" s="89"/>
      <c r="N1137" s="89"/>
      <c r="O1137" s="17"/>
      <c r="P1137" s="28"/>
      <c r="Q1137" s="20">
        <f t="shared" si="178"/>
        <v>0</v>
      </c>
    </row>
    <row r="1138" spans="1:17">
      <c r="A1138" s="141"/>
      <c r="B1138" s="143"/>
      <c r="C1138" s="117" t="s">
        <v>90</v>
      </c>
      <c r="D1138" s="91"/>
      <c r="E1138" s="89"/>
      <c r="F1138" s="89"/>
      <c r="G1138" s="91"/>
      <c r="H1138" s="91"/>
      <c r="I1138" s="91"/>
      <c r="J1138" s="91"/>
      <c r="K1138" s="91"/>
      <c r="L1138" s="91"/>
      <c r="M1138" s="91"/>
      <c r="N1138" s="91"/>
      <c r="O1138" s="80"/>
      <c r="P1138" s="32"/>
      <c r="Q1138" s="20">
        <f t="shared" si="178"/>
        <v>0</v>
      </c>
    </row>
    <row r="1139" spans="1:17">
      <c r="A1139" s="141"/>
      <c r="B1139" s="143"/>
      <c r="C1139" s="117" t="s">
        <v>91</v>
      </c>
      <c r="D1139" s="91"/>
      <c r="E1139" s="91"/>
      <c r="F1139" s="91"/>
      <c r="G1139" s="91"/>
      <c r="H1139" s="91"/>
      <c r="I1139" s="91"/>
      <c r="J1139" s="91"/>
      <c r="K1139" s="91"/>
      <c r="L1139" s="91"/>
      <c r="M1139" s="91"/>
      <c r="N1139" s="91"/>
      <c r="O1139" s="80"/>
      <c r="P1139" s="32"/>
      <c r="Q1139" s="20">
        <f t="shared" si="178"/>
        <v>0</v>
      </c>
    </row>
    <row r="1140" spans="1:17">
      <c r="A1140" s="141"/>
      <c r="B1140" s="143"/>
      <c r="C1140" s="117" t="s">
        <v>92</v>
      </c>
      <c r="D1140" s="91"/>
      <c r="E1140" s="91"/>
      <c r="F1140" s="91"/>
      <c r="G1140" s="91"/>
      <c r="H1140" s="91"/>
      <c r="I1140" s="91"/>
      <c r="J1140" s="91"/>
      <c r="K1140" s="91"/>
      <c r="L1140" s="91"/>
      <c r="M1140" s="91"/>
      <c r="N1140" s="91"/>
      <c r="O1140" s="80"/>
      <c r="P1140" s="32"/>
      <c r="Q1140" s="20">
        <f t="shared" si="178"/>
        <v>0</v>
      </c>
    </row>
    <row r="1141" spans="1:17">
      <c r="A1141" s="141"/>
      <c r="B1141" s="143"/>
      <c r="C1141" s="116" t="s">
        <v>93</v>
      </c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91"/>
      <c r="O1141" s="80"/>
      <c r="P1141" s="32"/>
      <c r="Q1141" s="20">
        <f t="shared" si="178"/>
        <v>0</v>
      </c>
    </row>
    <row r="1142" spans="1:17">
      <c r="A1142" s="141"/>
      <c r="B1142" s="143"/>
      <c r="C1142" s="118" t="s">
        <v>94</v>
      </c>
      <c r="D1142" s="92"/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O1142" s="18"/>
      <c r="P1142" s="33"/>
      <c r="Q1142" s="22">
        <f t="shared" si="178"/>
        <v>0</v>
      </c>
    </row>
    <row r="1143" spans="1:17">
      <c r="A1143" s="141"/>
      <c r="B1143" s="143" t="s">
        <v>11</v>
      </c>
      <c r="C1143" s="119" t="s">
        <v>7</v>
      </c>
      <c r="D1143" s="93"/>
      <c r="E1143" s="93"/>
      <c r="F1143" s="93"/>
      <c r="G1143" s="93"/>
      <c r="H1143" s="93"/>
      <c r="I1143" s="93"/>
      <c r="J1143" s="93"/>
      <c r="K1143" s="93"/>
      <c r="L1143" s="94"/>
      <c r="M1143" s="94"/>
      <c r="N1143" s="94"/>
      <c r="O1143" s="79"/>
      <c r="P1143" s="27"/>
      <c r="Q1143" s="21">
        <f t="shared" si="178"/>
        <v>0</v>
      </c>
    </row>
    <row r="1144" spans="1:17">
      <c r="A1144" s="141"/>
      <c r="B1144" s="143"/>
      <c r="C1144" s="117" t="s">
        <v>4</v>
      </c>
      <c r="D1144" s="95"/>
      <c r="E1144" s="95"/>
      <c r="F1144" s="95"/>
      <c r="G1144" s="95"/>
      <c r="H1144" s="95"/>
      <c r="I1144" s="95"/>
      <c r="J1144" s="95"/>
      <c r="K1144" s="95"/>
      <c r="L1144" s="91"/>
      <c r="M1144" s="91"/>
      <c r="N1144" s="91"/>
      <c r="O1144" s="80"/>
      <c r="P1144" s="32"/>
      <c r="Q1144" s="20">
        <f t="shared" si="178"/>
        <v>0</v>
      </c>
    </row>
    <row r="1145" spans="1:17">
      <c r="A1145" s="141"/>
      <c r="B1145" s="143"/>
      <c r="C1145" s="117" t="s">
        <v>17</v>
      </c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91"/>
      <c r="O1145" s="80"/>
      <c r="P1145" s="32"/>
      <c r="Q1145" s="20">
        <f t="shared" si="178"/>
        <v>0</v>
      </c>
    </row>
    <row r="1146" spans="1:17">
      <c r="A1146" s="141"/>
      <c r="B1146" s="143"/>
      <c r="C1146" s="117" t="s">
        <v>18</v>
      </c>
      <c r="D1146" s="90"/>
      <c r="E1146" s="90"/>
      <c r="F1146" s="90"/>
      <c r="G1146" s="90"/>
      <c r="H1146" s="91"/>
      <c r="I1146" s="91"/>
      <c r="J1146" s="91"/>
      <c r="K1146" s="91"/>
      <c r="L1146" s="91"/>
      <c r="M1146" s="91"/>
      <c r="N1146" s="91"/>
      <c r="O1146" s="80"/>
      <c r="P1146" s="32"/>
      <c r="Q1146" s="20">
        <f t="shared" si="178"/>
        <v>0</v>
      </c>
    </row>
    <row r="1147" spans="1:17">
      <c r="A1147" s="141"/>
      <c r="B1147" s="143"/>
      <c r="C1147" s="120" t="s">
        <v>19</v>
      </c>
      <c r="D1147" s="96"/>
      <c r="E1147" s="96"/>
      <c r="F1147" s="96"/>
      <c r="G1147" s="96"/>
      <c r="H1147" s="92"/>
      <c r="I1147" s="92"/>
      <c r="J1147" s="92"/>
      <c r="K1147" s="92"/>
      <c r="L1147" s="92"/>
      <c r="M1147" s="92"/>
      <c r="N1147" s="92"/>
      <c r="O1147" s="18"/>
      <c r="P1147" s="33"/>
      <c r="Q1147" s="22">
        <f t="shared" si="178"/>
        <v>0</v>
      </c>
    </row>
    <row r="1148" spans="1:17">
      <c r="A1148" s="141"/>
      <c r="B1148" s="143" t="s">
        <v>13</v>
      </c>
      <c r="C1148" s="119" t="s">
        <v>10</v>
      </c>
      <c r="D1148" s="94"/>
      <c r="E1148" s="94"/>
      <c r="F1148" s="94"/>
      <c r="G1148" s="94"/>
      <c r="H1148" s="94"/>
      <c r="I1148" s="94"/>
      <c r="J1148" s="94"/>
      <c r="K1148" s="94"/>
      <c r="L1148" s="94"/>
      <c r="M1148" s="94"/>
      <c r="N1148" s="94"/>
      <c r="O1148" s="79"/>
      <c r="P1148" s="27"/>
      <c r="Q1148" s="21">
        <f t="shared" si="178"/>
        <v>0</v>
      </c>
    </row>
    <row r="1149" spans="1:17">
      <c r="A1149" s="141"/>
      <c r="B1149" s="143"/>
      <c r="C1149" s="116" t="s">
        <v>55</v>
      </c>
      <c r="D1149" s="89"/>
      <c r="E1149" s="89"/>
      <c r="F1149" s="89"/>
      <c r="G1149" s="89"/>
      <c r="H1149" s="89"/>
      <c r="I1149" s="89"/>
      <c r="J1149" s="89"/>
      <c r="K1149" s="89"/>
      <c r="L1149" s="89"/>
      <c r="M1149" s="89"/>
      <c r="N1149" s="89"/>
      <c r="O1149" s="17"/>
      <c r="P1149" s="28"/>
      <c r="Q1149" s="20">
        <f t="shared" si="178"/>
        <v>0</v>
      </c>
    </row>
    <row r="1150" spans="1:17">
      <c r="A1150" s="141"/>
      <c r="B1150" s="143"/>
      <c r="C1150" s="116" t="s">
        <v>56</v>
      </c>
      <c r="D1150" s="89"/>
      <c r="E1150" s="89"/>
      <c r="F1150" s="89"/>
      <c r="G1150" s="89"/>
      <c r="H1150" s="89"/>
      <c r="I1150" s="89"/>
      <c r="J1150" s="89"/>
      <c r="K1150" s="89"/>
      <c r="L1150" s="89"/>
      <c r="M1150" s="89"/>
      <c r="N1150" s="89"/>
      <c r="O1150" s="17"/>
      <c r="P1150" s="28"/>
      <c r="Q1150" s="20">
        <f t="shared" si="178"/>
        <v>0</v>
      </c>
    </row>
    <row r="1151" spans="1:17">
      <c r="A1151" s="141"/>
      <c r="B1151" s="143"/>
      <c r="C1151" s="120" t="s">
        <v>61</v>
      </c>
      <c r="D1151" s="92"/>
      <c r="E1151" s="92"/>
      <c r="F1151" s="92"/>
      <c r="G1151" s="92"/>
      <c r="H1151" s="92"/>
      <c r="I1151" s="92"/>
      <c r="J1151" s="92"/>
      <c r="K1151" s="92"/>
      <c r="L1151" s="92"/>
      <c r="M1151" s="92"/>
      <c r="N1151" s="92"/>
      <c r="O1151" s="18"/>
      <c r="P1151" s="33"/>
      <c r="Q1151" s="22">
        <f t="shared" si="178"/>
        <v>0</v>
      </c>
    </row>
    <row r="1152" spans="1:17">
      <c r="A1152" s="141"/>
      <c r="B1152" s="156" t="s">
        <v>54</v>
      </c>
      <c r="C1152" s="157"/>
      <c r="D1152" s="56">
        <f>SUM(D1135:D1142)-SUM(D1146:D1147)</f>
        <v>0</v>
      </c>
      <c r="E1152" s="56">
        <f t="shared" ref="E1152:O1152" si="179">SUM(E1135:E1142)-SUM(E1146:E1147)</f>
        <v>0</v>
      </c>
      <c r="F1152" s="56">
        <f t="shared" si="179"/>
        <v>0</v>
      </c>
      <c r="G1152" s="56">
        <f>SUM(G1135:G1142)-SUM(G1146:G1147)</f>
        <v>0</v>
      </c>
      <c r="H1152" s="56">
        <f t="shared" si="179"/>
        <v>0</v>
      </c>
      <c r="I1152" s="56">
        <f t="shared" si="179"/>
        <v>0</v>
      </c>
      <c r="J1152" s="56">
        <f t="shared" si="179"/>
        <v>0</v>
      </c>
      <c r="K1152" s="56">
        <f t="shared" si="179"/>
        <v>0</v>
      </c>
      <c r="L1152" s="56">
        <f t="shared" si="179"/>
        <v>0</v>
      </c>
      <c r="M1152" s="56">
        <f t="shared" si="179"/>
        <v>0</v>
      </c>
      <c r="N1152" s="56">
        <f t="shared" si="179"/>
        <v>0</v>
      </c>
      <c r="O1152" s="57">
        <f t="shared" si="179"/>
        <v>0</v>
      </c>
      <c r="P1152" s="60">
        <f>SUM(P1135:P1142)-SUM(P1146:P1147)</f>
        <v>0</v>
      </c>
      <c r="Q1152" s="59">
        <f>SUM(D1152:P1152)</f>
        <v>0</v>
      </c>
    </row>
    <row r="1153" spans="1:17" ht="14.25" thickBot="1">
      <c r="A1153" s="142"/>
      <c r="B1153" s="147" t="s">
        <v>5</v>
      </c>
      <c r="C1153" s="148"/>
      <c r="D1153" s="42">
        <f>SUM(D1135:D1142)-SUM(D1143:D1147)+SUM(D1148:D1151)</f>
        <v>0</v>
      </c>
      <c r="E1153" s="42">
        <f>SUM(E1135:E1142)-SUM(E1143:E1147)+SUM(E1148:E1151)</f>
        <v>0</v>
      </c>
      <c r="F1153" s="42">
        <f t="shared" ref="F1153:O1153" si="180">SUM(F1135:F1142)-SUM(F1143:F1147)+SUM(F1148:F1151)</f>
        <v>0</v>
      </c>
      <c r="G1153" s="42">
        <f>SUM(G1135:G1142)-SUM(G1143:G1147)+SUM(G1148:G1151)</f>
        <v>0</v>
      </c>
      <c r="H1153" s="42">
        <f t="shared" si="180"/>
        <v>0</v>
      </c>
      <c r="I1153" s="42">
        <f t="shared" si="180"/>
        <v>0</v>
      </c>
      <c r="J1153" s="42">
        <f t="shared" si="180"/>
        <v>0</v>
      </c>
      <c r="K1153" s="42">
        <f t="shared" si="180"/>
        <v>0</v>
      </c>
      <c r="L1153" s="42">
        <f t="shared" si="180"/>
        <v>0</v>
      </c>
      <c r="M1153" s="42">
        <f t="shared" si="180"/>
        <v>0</v>
      </c>
      <c r="N1153" s="42">
        <f t="shared" si="180"/>
        <v>0</v>
      </c>
      <c r="O1153" s="43">
        <f t="shared" si="180"/>
        <v>0</v>
      </c>
      <c r="P1153" s="44">
        <f>SUM(P1135:P1142)-SUM(P1143:P1147)+SUM(P1148:P1151)</f>
        <v>0</v>
      </c>
      <c r="Q1153" s="46">
        <f t="shared" si="178"/>
        <v>0</v>
      </c>
    </row>
    <row r="1154" spans="1:17">
      <c r="A1154" s="140"/>
      <c r="B1154" s="158" t="s">
        <v>12</v>
      </c>
      <c r="C1154" s="114" t="s">
        <v>87</v>
      </c>
      <c r="D1154" s="87"/>
      <c r="E1154" s="87"/>
      <c r="F1154" s="87"/>
      <c r="G1154" s="87"/>
      <c r="H1154" s="87"/>
      <c r="I1154" s="87"/>
      <c r="J1154" s="87"/>
      <c r="K1154" s="87"/>
      <c r="L1154" s="87"/>
      <c r="M1154" s="87"/>
      <c r="N1154" s="87"/>
      <c r="O1154" s="78"/>
      <c r="P1154" s="30"/>
      <c r="Q1154" s="19">
        <f>SUM(D1154:P1154)</f>
        <v>0</v>
      </c>
    </row>
    <row r="1155" spans="1:17">
      <c r="A1155" s="141"/>
      <c r="B1155" s="154"/>
      <c r="C1155" s="115" t="s">
        <v>89</v>
      </c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1"/>
      <c r="P1155" s="31"/>
      <c r="Q1155" s="20">
        <f t="shared" ref="Q1155:Q1172" si="181">SUM(D1155:P1155)</f>
        <v>0</v>
      </c>
    </row>
    <row r="1156" spans="1:17">
      <c r="A1156" s="141"/>
      <c r="B1156" s="143"/>
      <c r="C1156" s="116" t="s">
        <v>88</v>
      </c>
      <c r="D1156" s="89"/>
      <c r="E1156" s="90"/>
      <c r="F1156" s="90"/>
      <c r="G1156" s="90"/>
      <c r="H1156" s="89"/>
      <c r="I1156" s="89"/>
      <c r="J1156" s="89"/>
      <c r="K1156" s="89"/>
      <c r="L1156" s="89"/>
      <c r="M1156" s="89"/>
      <c r="N1156" s="89"/>
      <c r="O1156" s="17"/>
      <c r="P1156" s="28"/>
      <c r="Q1156" s="20">
        <f t="shared" si="181"/>
        <v>0</v>
      </c>
    </row>
    <row r="1157" spans="1:17">
      <c r="A1157" s="141"/>
      <c r="B1157" s="143"/>
      <c r="C1157" s="117" t="s">
        <v>90</v>
      </c>
      <c r="D1157" s="91"/>
      <c r="E1157" s="89"/>
      <c r="F1157" s="89"/>
      <c r="G1157" s="91"/>
      <c r="H1157" s="91"/>
      <c r="I1157" s="91"/>
      <c r="J1157" s="91"/>
      <c r="K1157" s="91"/>
      <c r="L1157" s="91"/>
      <c r="M1157" s="91"/>
      <c r="N1157" s="91"/>
      <c r="O1157" s="80"/>
      <c r="P1157" s="32"/>
      <c r="Q1157" s="20">
        <f t="shared" si="181"/>
        <v>0</v>
      </c>
    </row>
    <row r="1158" spans="1:17">
      <c r="A1158" s="141"/>
      <c r="B1158" s="143"/>
      <c r="C1158" s="117" t="s">
        <v>91</v>
      </c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91"/>
      <c r="O1158" s="80"/>
      <c r="P1158" s="32"/>
      <c r="Q1158" s="20">
        <f t="shared" si="181"/>
        <v>0</v>
      </c>
    </row>
    <row r="1159" spans="1:17">
      <c r="A1159" s="141"/>
      <c r="B1159" s="143"/>
      <c r="C1159" s="117" t="s">
        <v>92</v>
      </c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91"/>
      <c r="O1159" s="80"/>
      <c r="P1159" s="32"/>
      <c r="Q1159" s="20">
        <f t="shared" si="181"/>
        <v>0</v>
      </c>
    </row>
    <row r="1160" spans="1:17">
      <c r="A1160" s="141"/>
      <c r="B1160" s="143"/>
      <c r="C1160" s="116" t="s">
        <v>93</v>
      </c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91"/>
      <c r="O1160" s="80"/>
      <c r="P1160" s="32"/>
      <c r="Q1160" s="20">
        <f t="shared" si="181"/>
        <v>0</v>
      </c>
    </row>
    <row r="1161" spans="1:17">
      <c r="A1161" s="141"/>
      <c r="B1161" s="143"/>
      <c r="C1161" s="118" t="s">
        <v>94</v>
      </c>
      <c r="D1161" s="92"/>
      <c r="E1161" s="92"/>
      <c r="F1161" s="92"/>
      <c r="G1161" s="92"/>
      <c r="H1161" s="92"/>
      <c r="I1161" s="92"/>
      <c r="J1161" s="92"/>
      <c r="K1161" s="92"/>
      <c r="L1161" s="92"/>
      <c r="M1161" s="92"/>
      <c r="N1161" s="92"/>
      <c r="O1161" s="18"/>
      <c r="P1161" s="33"/>
      <c r="Q1161" s="22">
        <f t="shared" si="181"/>
        <v>0</v>
      </c>
    </row>
    <row r="1162" spans="1:17">
      <c r="A1162" s="141"/>
      <c r="B1162" s="143" t="s">
        <v>11</v>
      </c>
      <c r="C1162" s="119" t="s">
        <v>7</v>
      </c>
      <c r="D1162" s="93"/>
      <c r="E1162" s="93"/>
      <c r="F1162" s="93"/>
      <c r="G1162" s="93"/>
      <c r="H1162" s="93"/>
      <c r="I1162" s="93"/>
      <c r="J1162" s="93"/>
      <c r="K1162" s="93"/>
      <c r="L1162" s="94"/>
      <c r="M1162" s="94"/>
      <c r="N1162" s="94"/>
      <c r="O1162" s="79"/>
      <c r="P1162" s="27"/>
      <c r="Q1162" s="21">
        <f t="shared" si="181"/>
        <v>0</v>
      </c>
    </row>
    <row r="1163" spans="1:17">
      <c r="A1163" s="141"/>
      <c r="B1163" s="143"/>
      <c r="C1163" s="117" t="s">
        <v>4</v>
      </c>
      <c r="D1163" s="95"/>
      <c r="E1163" s="95"/>
      <c r="F1163" s="95"/>
      <c r="G1163" s="95"/>
      <c r="H1163" s="95"/>
      <c r="I1163" s="95"/>
      <c r="J1163" s="95"/>
      <c r="K1163" s="95"/>
      <c r="L1163" s="91"/>
      <c r="M1163" s="91"/>
      <c r="N1163" s="91"/>
      <c r="O1163" s="80"/>
      <c r="P1163" s="32"/>
      <c r="Q1163" s="20">
        <f t="shared" si="181"/>
        <v>0</v>
      </c>
    </row>
    <row r="1164" spans="1:17">
      <c r="A1164" s="141"/>
      <c r="B1164" s="143"/>
      <c r="C1164" s="117" t="s">
        <v>17</v>
      </c>
      <c r="D1164" s="91"/>
      <c r="E1164" s="91"/>
      <c r="F1164" s="91"/>
      <c r="G1164" s="91"/>
      <c r="H1164" s="91"/>
      <c r="I1164" s="91"/>
      <c r="J1164" s="91"/>
      <c r="K1164" s="91"/>
      <c r="L1164" s="91"/>
      <c r="M1164" s="91"/>
      <c r="N1164" s="91"/>
      <c r="O1164" s="80"/>
      <c r="P1164" s="32"/>
      <c r="Q1164" s="20">
        <f t="shared" si="181"/>
        <v>0</v>
      </c>
    </row>
    <row r="1165" spans="1:17">
      <c r="A1165" s="141"/>
      <c r="B1165" s="143"/>
      <c r="C1165" s="117" t="s">
        <v>18</v>
      </c>
      <c r="D1165" s="90"/>
      <c r="E1165" s="90"/>
      <c r="F1165" s="90"/>
      <c r="G1165" s="90"/>
      <c r="H1165" s="91"/>
      <c r="I1165" s="91"/>
      <c r="J1165" s="91"/>
      <c r="K1165" s="91"/>
      <c r="L1165" s="91"/>
      <c r="M1165" s="91"/>
      <c r="N1165" s="91"/>
      <c r="O1165" s="80"/>
      <c r="P1165" s="32"/>
      <c r="Q1165" s="20">
        <f t="shared" si="181"/>
        <v>0</v>
      </c>
    </row>
    <row r="1166" spans="1:17">
      <c r="A1166" s="141"/>
      <c r="B1166" s="143"/>
      <c r="C1166" s="120" t="s">
        <v>19</v>
      </c>
      <c r="D1166" s="96"/>
      <c r="E1166" s="96"/>
      <c r="F1166" s="96"/>
      <c r="G1166" s="96"/>
      <c r="H1166" s="92"/>
      <c r="I1166" s="92"/>
      <c r="J1166" s="92"/>
      <c r="K1166" s="92"/>
      <c r="L1166" s="92"/>
      <c r="M1166" s="92"/>
      <c r="N1166" s="92"/>
      <c r="O1166" s="18"/>
      <c r="P1166" s="33"/>
      <c r="Q1166" s="22">
        <f t="shared" si="181"/>
        <v>0</v>
      </c>
    </row>
    <row r="1167" spans="1:17">
      <c r="A1167" s="141"/>
      <c r="B1167" s="143" t="s">
        <v>13</v>
      </c>
      <c r="C1167" s="119" t="s">
        <v>10</v>
      </c>
      <c r="D1167" s="94"/>
      <c r="E1167" s="94"/>
      <c r="F1167" s="94"/>
      <c r="G1167" s="94"/>
      <c r="H1167" s="94"/>
      <c r="I1167" s="94"/>
      <c r="J1167" s="94"/>
      <c r="K1167" s="94"/>
      <c r="L1167" s="94"/>
      <c r="M1167" s="94"/>
      <c r="N1167" s="94"/>
      <c r="O1167" s="79"/>
      <c r="P1167" s="27"/>
      <c r="Q1167" s="21">
        <f t="shared" si="181"/>
        <v>0</v>
      </c>
    </row>
    <row r="1168" spans="1:17">
      <c r="A1168" s="141"/>
      <c r="B1168" s="143"/>
      <c r="C1168" s="116" t="s">
        <v>55</v>
      </c>
      <c r="D1168" s="89"/>
      <c r="E1168" s="89"/>
      <c r="F1168" s="89"/>
      <c r="G1168" s="89"/>
      <c r="H1168" s="89"/>
      <c r="I1168" s="89"/>
      <c r="J1168" s="89"/>
      <c r="K1168" s="89"/>
      <c r="L1168" s="89"/>
      <c r="M1168" s="89"/>
      <c r="N1168" s="89"/>
      <c r="O1168" s="17"/>
      <c r="P1168" s="28"/>
      <c r="Q1168" s="20">
        <f t="shared" si="181"/>
        <v>0</v>
      </c>
    </row>
    <row r="1169" spans="1:17">
      <c r="A1169" s="141"/>
      <c r="B1169" s="143"/>
      <c r="C1169" s="116" t="s">
        <v>56</v>
      </c>
      <c r="D1169" s="89"/>
      <c r="E1169" s="89"/>
      <c r="F1169" s="89"/>
      <c r="G1169" s="89"/>
      <c r="H1169" s="89"/>
      <c r="I1169" s="89"/>
      <c r="J1169" s="89"/>
      <c r="K1169" s="89"/>
      <c r="L1169" s="89"/>
      <c r="M1169" s="89"/>
      <c r="N1169" s="89"/>
      <c r="O1169" s="17"/>
      <c r="P1169" s="28"/>
      <c r="Q1169" s="20">
        <f t="shared" si="181"/>
        <v>0</v>
      </c>
    </row>
    <row r="1170" spans="1:17">
      <c r="A1170" s="141"/>
      <c r="B1170" s="143"/>
      <c r="C1170" s="120" t="s">
        <v>61</v>
      </c>
      <c r="D1170" s="92"/>
      <c r="E1170" s="92"/>
      <c r="F1170" s="92"/>
      <c r="G1170" s="92"/>
      <c r="H1170" s="92"/>
      <c r="I1170" s="92"/>
      <c r="J1170" s="92"/>
      <c r="K1170" s="92"/>
      <c r="L1170" s="92"/>
      <c r="M1170" s="92"/>
      <c r="N1170" s="92"/>
      <c r="O1170" s="18"/>
      <c r="P1170" s="33"/>
      <c r="Q1170" s="22">
        <f t="shared" si="181"/>
        <v>0</v>
      </c>
    </row>
    <row r="1171" spans="1:17">
      <c r="A1171" s="141"/>
      <c r="B1171" s="156" t="s">
        <v>54</v>
      </c>
      <c r="C1171" s="157"/>
      <c r="D1171" s="56">
        <f>SUM(D1154:D1161)-SUM(D1165:D1166)</f>
        <v>0</v>
      </c>
      <c r="E1171" s="56">
        <f t="shared" ref="E1171:O1171" si="182">SUM(E1154:E1161)-SUM(E1165:E1166)</f>
        <v>0</v>
      </c>
      <c r="F1171" s="56">
        <f t="shared" si="182"/>
        <v>0</v>
      </c>
      <c r="G1171" s="56">
        <f>SUM(G1154:G1161)-SUM(G1165:G1166)</f>
        <v>0</v>
      </c>
      <c r="H1171" s="56">
        <f t="shared" si="182"/>
        <v>0</v>
      </c>
      <c r="I1171" s="56">
        <f t="shared" si="182"/>
        <v>0</v>
      </c>
      <c r="J1171" s="56">
        <f t="shared" si="182"/>
        <v>0</v>
      </c>
      <c r="K1171" s="56">
        <f t="shared" si="182"/>
        <v>0</v>
      </c>
      <c r="L1171" s="56">
        <f t="shared" si="182"/>
        <v>0</v>
      </c>
      <c r="M1171" s="56">
        <f t="shared" si="182"/>
        <v>0</v>
      </c>
      <c r="N1171" s="56">
        <f t="shared" si="182"/>
        <v>0</v>
      </c>
      <c r="O1171" s="57">
        <f t="shared" si="182"/>
        <v>0</v>
      </c>
      <c r="P1171" s="60">
        <f>SUM(P1154:P1161)-SUM(P1165:P1166)</f>
        <v>0</v>
      </c>
      <c r="Q1171" s="59">
        <f>SUM(D1171:P1171)</f>
        <v>0</v>
      </c>
    </row>
    <row r="1172" spans="1:17" ht="14.25" thickBot="1">
      <c r="A1172" s="142"/>
      <c r="B1172" s="147" t="s">
        <v>5</v>
      </c>
      <c r="C1172" s="148"/>
      <c r="D1172" s="42">
        <f>SUM(D1154:D1161)-SUM(D1162:D1166)+SUM(D1167:D1170)</f>
        <v>0</v>
      </c>
      <c r="E1172" s="42">
        <f>SUM(E1154:E1161)-SUM(E1162:E1166)+SUM(E1167:E1170)</f>
        <v>0</v>
      </c>
      <c r="F1172" s="42">
        <f t="shared" ref="F1172:O1172" si="183">SUM(F1154:F1161)-SUM(F1162:F1166)+SUM(F1167:F1170)</f>
        <v>0</v>
      </c>
      <c r="G1172" s="42">
        <f>SUM(G1154:G1161)-SUM(G1162:G1166)+SUM(G1167:G1170)</f>
        <v>0</v>
      </c>
      <c r="H1172" s="42">
        <f t="shared" si="183"/>
        <v>0</v>
      </c>
      <c r="I1172" s="42">
        <f t="shared" si="183"/>
        <v>0</v>
      </c>
      <c r="J1172" s="42">
        <f t="shared" si="183"/>
        <v>0</v>
      </c>
      <c r="K1172" s="42">
        <f t="shared" si="183"/>
        <v>0</v>
      </c>
      <c r="L1172" s="42">
        <f t="shared" si="183"/>
        <v>0</v>
      </c>
      <c r="M1172" s="42">
        <f t="shared" si="183"/>
        <v>0</v>
      </c>
      <c r="N1172" s="42">
        <f t="shared" si="183"/>
        <v>0</v>
      </c>
      <c r="O1172" s="43">
        <f t="shared" si="183"/>
        <v>0</v>
      </c>
      <c r="P1172" s="44">
        <f>SUM(P1154:P1161)-SUM(P1162:P1166)+SUM(P1167:P1170)</f>
        <v>0</v>
      </c>
      <c r="Q1172" s="46">
        <f t="shared" si="181"/>
        <v>0</v>
      </c>
    </row>
    <row r="1173" spans="1:17">
      <c r="A1173" s="140"/>
      <c r="B1173" s="158" t="s">
        <v>12</v>
      </c>
      <c r="C1173" s="114" t="s">
        <v>87</v>
      </c>
      <c r="D1173" s="87"/>
      <c r="E1173" s="87"/>
      <c r="F1173" s="87"/>
      <c r="G1173" s="87"/>
      <c r="H1173" s="87"/>
      <c r="I1173" s="87"/>
      <c r="J1173" s="87"/>
      <c r="K1173" s="87"/>
      <c r="L1173" s="87"/>
      <c r="M1173" s="87"/>
      <c r="N1173" s="87"/>
      <c r="O1173" s="78"/>
      <c r="P1173" s="30"/>
      <c r="Q1173" s="19">
        <f>SUM(D1173:P1173)</f>
        <v>0</v>
      </c>
    </row>
    <row r="1174" spans="1:17">
      <c r="A1174" s="141"/>
      <c r="B1174" s="154"/>
      <c r="C1174" s="115" t="s">
        <v>89</v>
      </c>
      <c r="D1174" s="88"/>
      <c r="E1174" s="88"/>
      <c r="F1174" s="88"/>
      <c r="G1174" s="88"/>
      <c r="H1174" s="88"/>
      <c r="I1174" s="88"/>
      <c r="J1174" s="88"/>
      <c r="K1174" s="88"/>
      <c r="L1174" s="88"/>
      <c r="M1174" s="88"/>
      <c r="N1174" s="88"/>
      <c r="O1174" s="81"/>
      <c r="P1174" s="31"/>
      <c r="Q1174" s="20">
        <f t="shared" ref="Q1174:Q1191" si="184">SUM(D1174:P1174)</f>
        <v>0</v>
      </c>
    </row>
    <row r="1175" spans="1:17">
      <c r="A1175" s="141"/>
      <c r="B1175" s="143"/>
      <c r="C1175" s="116" t="s">
        <v>88</v>
      </c>
      <c r="D1175" s="89"/>
      <c r="E1175" s="90"/>
      <c r="F1175" s="90"/>
      <c r="G1175" s="90"/>
      <c r="H1175" s="89"/>
      <c r="I1175" s="89"/>
      <c r="J1175" s="89"/>
      <c r="K1175" s="89"/>
      <c r="L1175" s="89"/>
      <c r="M1175" s="89"/>
      <c r="N1175" s="89"/>
      <c r="O1175" s="17"/>
      <c r="P1175" s="28"/>
      <c r="Q1175" s="20">
        <f t="shared" si="184"/>
        <v>0</v>
      </c>
    </row>
    <row r="1176" spans="1:17">
      <c r="A1176" s="141"/>
      <c r="B1176" s="143"/>
      <c r="C1176" s="117" t="s">
        <v>90</v>
      </c>
      <c r="D1176" s="91"/>
      <c r="E1176" s="89"/>
      <c r="F1176" s="89"/>
      <c r="G1176" s="91"/>
      <c r="H1176" s="91"/>
      <c r="I1176" s="91"/>
      <c r="J1176" s="91"/>
      <c r="K1176" s="91"/>
      <c r="L1176" s="91"/>
      <c r="M1176" s="91"/>
      <c r="N1176" s="91"/>
      <c r="O1176" s="80"/>
      <c r="P1176" s="32"/>
      <c r="Q1176" s="20">
        <f t="shared" si="184"/>
        <v>0</v>
      </c>
    </row>
    <row r="1177" spans="1:17">
      <c r="A1177" s="141"/>
      <c r="B1177" s="143"/>
      <c r="C1177" s="117" t="s">
        <v>91</v>
      </c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91"/>
      <c r="O1177" s="80"/>
      <c r="P1177" s="32"/>
      <c r="Q1177" s="20">
        <f t="shared" si="184"/>
        <v>0</v>
      </c>
    </row>
    <row r="1178" spans="1:17">
      <c r="A1178" s="141"/>
      <c r="B1178" s="143"/>
      <c r="C1178" s="117" t="s">
        <v>92</v>
      </c>
      <c r="D1178" s="91"/>
      <c r="E1178" s="91"/>
      <c r="F1178" s="91"/>
      <c r="G1178" s="91"/>
      <c r="H1178" s="91"/>
      <c r="I1178" s="91"/>
      <c r="J1178" s="91"/>
      <c r="K1178" s="91"/>
      <c r="L1178" s="91"/>
      <c r="M1178" s="91"/>
      <c r="N1178" s="91"/>
      <c r="O1178" s="80"/>
      <c r="P1178" s="32"/>
      <c r="Q1178" s="20">
        <f t="shared" si="184"/>
        <v>0</v>
      </c>
    </row>
    <row r="1179" spans="1:17">
      <c r="A1179" s="141"/>
      <c r="B1179" s="143"/>
      <c r="C1179" s="116" t="s">
        <v>93</v>
      </c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91"/>
      <c r="O1179" s="80"/>
      <c r="P1179" s="32"/>
      <c r="Q1179" s="20">
        <f t="shared" si="184"/>
        <v>0</v>
      </c>
    </row>
    <row r="1180" spans="1:17">
      <c r="A1180" s="141"/>
      <c r="B1180" s="143"/>
      <c r="C1180" s="118" t="s">
        <v>94</v>
      </c>
      <c r="D1180" s="92"/>
      <c r="E1180" s="92"/>
      <c r="F1180" s="92"/>
      <c r="G1180" s="92"/>
      <c r="H1180" s="92"/>
      <c r="I1180" s="92"/>
      <c r="J1180" s="92"/>
      <c r="K1180" s="92"/>
      <c r="L1180" s="92"/>
      <c r="M1180" s="92"/>
      <c r="N1180" s="92"/>
      <c r="O1180" s="18"/>
      <c r="P1180" s="33"/>
      <c r="Q1180" s="22">
        <f t="shared" si="184"/>
        <v>0</v>
      </c>
    </row>
    <row r="1181" spans="1:17">
      <c r="A1181" s="141"/>
      <c r="B1181" s="143" t="s">
        <v>11</v>
      </c>
      <c r="C1181" s="119" t="s">
        <v>7</v>
      </c>
      <c r="D1181" s="93"/>
      <c r="E1181" s="93"/>
      <c r="F1181" s="93"/>
      <c r="G1181" s="93"/>
      <c r="H1181" s="93"/>
      <c r="I1181" s="93"/>
      <c r="J1181" s="93"/>
      <c r="K1181" s="93"/>
      <c r="L1181" s="94"/>
      <c r="M1181" s="94"/>
      <c r="N1181" s="94"/>
      <c r="O1181" s="79"/>
      <c r="P1181" s="27"/>
      <c r="Q1181" s="21">
        <f t="shared" si="184"/>
        <v>0</v>
      </c>
    </row>
    <row r="1182" spans="1:17">
      <c r="A1182" s="141"/>
      <c r="B1182" s="143"/>
      <c r="C1182" s="117" t="s">
        <v>4</v>
      </c>
      <c r="D1182" s="95"/>
      <c r="E1182" s="95"/>
      <c r="F1182" s="95"/>
      <c r="G1182" s="95"/>
      <c r="H1182" s="95"/>
      <c r="I1182" s="95"/>
      <c r="J1182" s="95"/>
      <c r="K1182" s="95"/>
      <c r="L1182" s="91"/>
      <c r="M1182" s="91"/>
      <c r="N1182" s="91"/>
      <c r="O1182" s="80"/>
      <c r="P1182" s="32"/>
      <c r="Q1182" s="20">
        <f t="shared" si="184"/>
        <v>0</v>
      </c>
    </row>
    <row r="1183" spans="1:17">
      <c r="A1183" s="141"/>
      <c r="B1183" s="143"/>
      <c r="C1183" s="117" t="s">
        <v>17</v>
      </c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1"/>
      <c r="O1183" s="80"/>
      <c r="P1183" s="32"/>
      <c r="Q1183" s="20">
        <f t="shared" si="184"/>
        <v>0</v>
      </c>
    </row>
    <row r="1184" spans="1:17">
      <c r="A1184" s="141"/>
      <c r="B1184" s="143"/>
      <c r="C1184" s="117" t="s">
        <v>18</v>
      </c>
      <c r="D1184" s="90"/>
      <c r="E1184" s="90"/>
      <c r="F1184" s="90"/>
      <c r="G1184" s="90"/>
      <c r="H1184" s="91"/>
      <c r="I1184" s="91"/>
      <c r="J1184" s="91"/>
      <c r="K1184" s="91"/>
      <c r="L1184" s="91"/>
      <c r="M1184" s="91"/>
      <c r="N1184" s="91"/>
      <c r="O1184" s="80"/>
      <c r="P1184" s="32"/>
      <c r="Q1184" s="20">
        <f t="shared" si="184"/>
        <v>0</v>
      </c>
    </row>
    <row r="1185" spans="1:17">
      <c r="A1185" s="141"/>
      <c r="B1185" s="143"/>
      <c r="C1185" s="120" t="s">
        <v>19</v>
      </c>
      <c r="D1185" s="96"/>
      <c r="E1185" s="96"/>
      <c r="F1185" s="96"/>
      <c r="G1185" s="96"/>
      <c r="H1185" s="92"/>
      <c r="I1185" s="92"/>
      <c r="J1185" s="92"/>
      <c r="K1185" s="92"/>
      <c r="L1185" s="92"/>
      <c r="M1185" s="92"/>
      <c r="N1185" s="92"/>
      <c r="O1185" s="18"/>
      <c r="P1185" s="33"/>
      <c r="Q1185" s="22">
        <f t="shared" si="184"/>
        <v>0</v>
      </c>
    </row>
    <row r="1186" spans="1:17">
      <c r="A1186" s="141"/>
      <c r="B1186" s="143" t="s">
        <v>13</v>
      </c>
      <c r="C1186" s="119" t="s">
        <v>10</v>
      </c>
      <c r="D1186" s="94"/>
      <c r="E1186" s="94"/>
      <c r="F1186" s="94"/>
      <c r="G1186" s="94"/>
      <c r="H1186" s="94"/>
      <c r="I1186" s="94"/>
      <c r="J1186" s="94"/>
      <c r="K1186" s="94"/>
      <c r="L1186" s="94"/>
      <c r="M1186" s="94"/>
      <c r="N1186" s="94"/>
      <c r="O1186" s="79"/>
      <c r="P1186" s="27"/>
      <c r="Q1186" s="21">
        <f t="shared" si="184"/>
        <v>0</v>
      </c>
    </row>
    <row r="1187" spans="1:17">
      <c r="A1187" s="141"/>
      <c r="B1187" s="143"/>
      <c r="C1187" s="116" t="s">
        <v>55</v>
      </c>
      <c r="D1187" s="89"/>
      <c r="E1187" s="89"/>
      <c r="F1187" s="89"/>
      <c r="G1187" s="89"/>
      <c r="H1187" s="89"/>
      <c r="I1187" s="89"/>
      <c r="J1187" s="89"/>
      <c r="K1187" s="89"/>
      <c r="L1187" s="89"/>
      <c r="M1187" s="89"/>
      <c r="N1187" s="89"/>
      <c r="O1187" s="17"/>
      <c r="P1187" s="28"/>
      <c r="Q1187" s="20">
        <f t="shared" si="184"/>
        <v>0</v>
      </c>
    </row>
    <row r="1188" spans="1:17">
      <c r="A1188" s="141"/>
      <c r="B1188" s="143"/>
      <c r="C1188" s="116" t="s">
        <v>56</v>
      </c>
      <c r="D1188" s="89"/>
      <c r="E1188" s="89"/>
      <c r="F1188" s="89"/>
      <c r="G1188" s="89"/>
      <c r="H1188" s="89"/>
      <c r="I1188" s="89"/>
      <c r="J1188" s="89"/>
      <c r="K1188" s="89"/>
      <c r="L1188" s="89"/>
      <c r="M1188" s="89"/>
      <c r="N1188" s="89"/>
      <c r="O1188" s="17"/>
      <c r="P1188" s="28"/>
      <c r="Q1188" s="20">
        <f t="shared" si="184"/>
        <v>0</v>
      </c>
    </row>
    <row r="1189" spans="1:17">
      <c r="A1189" s="141"/>
      <c r="B1189" s="143"/>
      <c r="C1189" s="120" t="s">
        <v>61</v>
      </c>
      <c r="D1189" s="92"/>
      <c r="E1189" s="92"/>
      <c r="F1189" s="92"/>
      <c r="G1189" s="92"/>
      <c r="H1189" s="92"/>
      <c r="I1189" s="92"/>
      <c r="J1189" s="92"/>
      <c r="K1189" s="92"/>
      <c r="L1189" s="92"/>
      <c r="M1189" s="92"/>
      <c r="N1189" s="92"/>
      <c r="O1189" s="18"/>
      <c r="P1189" s="33"/>
      <c r="Q1189" s="22">
        <f t="shared" si="184"/>
        <v>0</v>
      </c>
    </row>
    <row r="1190" spans="1:17">
      <c r="A1190" s="141"/>
      <c r="B1190" s="156" t="s">
        <v>54</v>
      </c>
      <c r="C1190" s="157"/>
      <c r="D1190" s="56">
        <f>SUM(D1173:D1180)-SUM(D1184:D1185)</f>
        <v>0</v>
      </c>
      <c r="E1190" s="56">
        <f t="shared" ref="E1190:O1190" si="185">SUM(E1173:E1180)-SUM(E1184:E1185)</f>
        <v>0</v>
      </c>
      <c r="F1190" s="56">
        <f t="shared" si="185"/>
        <v>0</v>
      </c>
      <c r="G1190" s="56">
        <f>SUM(G1173:G1180)-SUM(G1184:G1185)</f>
        <v>0</v>
      </c>
      <c r="H1190" s="56">
        <f t="shared" si="185"/>
        <v>0</v>
      </c>
      <c r="I1190" s="56">
        <f t="shared" si="185"/>
        <v>0</v>
      </c>
      <c r="J1190" s="56">
        <f t="shared" si="185"/>
        <v>0</v>
      </c>
      <c r="K1190" s="56">
        <f t="shared" si="185"/>
        <v>0</v>
      </c>
      <c r="L1190" s="56">
        <f t="shared" si="185"/>
        <v>0</v>
      </c>
      <c r="M1190" s="56">
        <f t="shared" si="185"/>
        <v>0</v>
      </c>
      <c r="N1190" s="56">
        <f t="shared" si="185"/>
        <v>0</v>
      </c>
      <c r="O1190" s="57">
        <f t="shared" si="185"/>
        <v>0</v>
      </c>
      <c r="P1190" s="60">
        <f>SUM(P1173:P1180)-SUM(P1184:P1185)</f>
        <v>0</v>
      </c>
      <c r="Q1190" s="59">
        <f>SUM(D1190:P1190)</f>
        <v>0</v>
      </c>
    </row>
    <row r="1191" spans="1:17" ht="14.25" thickBot="1">
      <c r="A1191" s="142"/>
      <c r="B1191" s="147" t="s">
        <v>5</v>
      </c>
      <c r="C1191" s="148"/>
      <c r="D1191" s="42">
        <f>SUM(D1173:D1180)-SUM(D1181:D1185)+SUM(D1186:D1189)</f>
        <v>0</v>
      </c>
      <c r="E1191" s="42">
        <f>SUM(E1173:E1180)-SUM(E1181:E1185)+SUM(E1186:E1189)</f>
        <v>0</v>
      </c>
      <c r="F1191" s="42">
        <f t="shared" ref="F1191:O1191" si="186">SUM(F1173:F1180)-SUM(F1181:F1185)+SUM(F1186:F1189)</f>
        <v>0</v>
      </c>
      <c r="G1191" s="42">
        <f>SUM(G1173:G1180)-SUM(G1181:G1185)+SUM(G1186:G1189)</f>
        <v>0</v>
      </c>
      <c r="H1191" s="42">
        <f t="shared" si="186"/>
        <v>0</v>
      </c>
      <c r="I1191" s="42">
        <f t="shared" si="186"/>
        <v>0</v>
      </c>
      <c r="J1191" s="42">
        <f t="shared" si="186"/>
        <v>0</v>
      </c>
      <c r="K1191" s="42">
        <f t="shared" si="186"/>
        <v>0</v>
      </c>
      <c r="L1191" s="42">
        <f t="shared" si="186"/>
        <v>0</v>
      </c>
      <c r="M1191" s="42">
        <f t="shared" si="186"/>
        <v>0</v>
      </c>
      <c r="N1191" s="42">
        <f t="shared" si="186"/>
        <v>0</v>
      </c>
      <c r="O1191" s="43">
        <f t="shared" si="186"/>
        <v>0</v>
      </c>
      <c r="P1191" s="44">
        <f>SUM(P1173:P1180)-SUM(P1181:P1185)+SUM(P1186:P1189)</f>
        <v>0</v>
      </c>
      <c r="Q1191" s="46">
        <f t="shared" si="184"/>
        <v>0</v>
      </c>
    </row>
    <row r="1192" spans="1:17">
      <c r="A1192" s="140"/>
      <c r="B1192" s="158" t="s">
        <v>12</v>
      </c>
      <c r="C1192" s="114" t="s">
        <v>87</v>
      </c>
      <c r="D1192" s="87"/>
      <c r="E1192" s="87"/>
      <c r="F1192" s="87"/>
      <c r="G1192" s="87"/>
      <c r="H1192" s="87"/>
      <c r="I1192" s="87"/>
      <c r="J1192" s="87"/>
      <c r="K1192" s="87"/>
      <c r="L1192" s="87"/>
      <c r="M1192" s="87"/>
      <c r="N1192" s="87"/>
      <c r="O1192" s="78"/>
      <c r="P1192" s="30"/>
      <c r="Q1192" s="19">
        <f>SUM(D1192:P1192)</f>
        <v>0</v>
      </c>
    </row>
    <row r="1193" spans="1:17">
      <c r="A1193" s="141"/>
      <c r="B1193" s="154"/>
      <c r="C1193" s="115" t="s">
        <v>89</v>
      </c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1"/>
      <c r="P1193" s="31"/>
      <c r="Q1193" s="20">
        <f t="shared" ref="Q1193:Q1210" si="187">SUM(D1193:P1193)</f>
        <v>0</v>
      </c>
    </row>
    <row r="1194" spans="1:17">
      <c r="A1194" s="141"/>
      <c r="B1194" s="143"/>
      <c r="C1194" s="116" t="s">
        <v>88</v>
      </c>
      <c r="D1194" s="89"/>
      <c r="E1194" s="90"/>
      <c r="F1194" s="90"/>
      <c r="G1194" s="90"/>
      <c r="H1194" s="89"/>
      <c r="I1194" s="89"/>
      <c r="J1194" s="89"/>
      <c r="K1194" s="89"/>
      <c r="L1194" s="89"/>
      <c r="M1194" s="89"/>
      <c r="N1194" s="89"/>
      <c r="O1194" s="17"/>
      <c r="P1194" s="28"/>
      <c r="Q1194" s="20">
        <f t="shared" si="187"/>
        <v>0</v>
      </c>
    </row>
    <row r="1195" spans="1:17">
      <c r="A1195" s="141"/>
      <c r="B1195" s="143"/>
      <c r="C1195" s="117" t="s">
        <v>90</v>
      </c>
      <c r="D1195" s="91"/>
      <c r="E1195" s="89"/>
      <c r="F1195" s="89"/>
      <c r="G1195" s="91"/>
      <c r="H1195" s="91"/>
      <c r="I1195" s="91"/>
      <c r="J1195" s="91"/>
      <c r="K1195" s="91"/>
      <c r="L1195" s="91"/>
      <c r="M1195" s="91"/>
      <c r="N1195" s="91"/>
      <c r="O1195" s="80"/>
      <c r="P1195" s="32"/>
      <c r="Q1195" s="20">
        <f t="shared" si="187"/>
        <v>0</v>
      </c>
    </row>
    <row r="1196" spans="1:17">
      <c r="A1196" s="141"/>
      <c r="B1196" s="143"/>
      <c r="C1196" s="117" t="s">
        <v>91</v>
      </c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80"/>
      <c r="P1196" s="32"/>
      <c r="Q1196" s="20">
        <f t="shared" si="187"/>
        <v>0</v>
      </c>
    </row>
    <row r="1197" spans="1:17">
      <c r="A1197" s="141"/>
      <c r="B1197" s="143"/>
      <c r="C1197" s="117" t="s">
        <v>92</v>
      </c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80"/>
      <c r="P1197" s="32"/>
      <c r="Q1197" s="20">
        <f t="shared" si="187"/>
        <v>0</v>
      </c>
    </row>
    <row r="1198" spans="1:17">
      <c r="A1198" s="141"/>
      <c r="B1198" s="143"/>
      <c r="C1198" s="116" t="s">
        <v>93</v>
      </c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80"/>
      <c r="P1198" s="32"/>
      <c r="Q1198" s="20">
        <f t="shared" si="187"/>
        <v>0</v>
      </c>
    </row>
    <row r="1199" spans="1:17">
      <c r="A1199" s="141"/>
      <c r="B1199" s="143"/>
      <c r="C1199" s="118" t="s">
        <v>94</v>
      </c>
      <c r="D1199" s="92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18"/>
      <c r="P1199" s="33"/>
      <c r="Q1199" s="22">
        <f t="shared" si="187"/>
        <v>0</v>
      </c>
    </row>
    <row r="1200" spans="1:17">
      <c r="A1200" s="141"/>
      <c r="B1200" s="143" t="s">
        <v>11</v>
      </c>
      <c r="C1200" s="119" t="s">
        <v>7</v>
      </c>
      <c r="D1200" s="93"/>
      <c r="E1200" s="93"/>
      <c r="F1200" s="93"/>
      <c r="G1200" s="93"/>
      <c r="H1200" s="93"/>
      <c r="I1200" s="93"/>
      <c r="J1200" s="93"/>
      <c r="K1200" s="93"/>
      <c r="L1200" s="94"/>
      <c r="M1200" s="94"/>
      <c r="N1200" s="94"/>
      <c r="O1200" s="79"/>
      <c r="P1200" s="27"/>
      <c r="Q1200" s="21">
        <f t="shared" si="187"/>
        <v>0</v>
      </c>
    </row>
    <row r="1201" spans="1:17">
      <c r="A1201" s="141"/>
      <c r="B1201" s="143"/>
      <c r="C1201" s="117" t="s">
        <v>4</v>
      </c>
      <c r="D1201" s="95"/>
      <c r="E1201" s="95"/>
      <c r="F1201" s="95"/>
      <c r="G1201" s="95"/>
      <c r="H1201" s="95"/>
      <c r="I1201" s="95"/>
      <c r="J1201" s="95"/>
      <c r="K1201" s="95"/>
      <c r="L1201" s="91"/>
      <c r="M1201" s="91"/>
      <c r="N1201" s="91"/>
      <c r="O1201" s="80"/>
      <c r="P1201" s="32"/>
      <c r="Q1201" s="20">
        <f t="shared" si="187"/>
        <v>0</v>
      </c>
    </row>
    <row r="1202" spans="1:17">
      <c r="A1202" s="141"/>
      <c r="B1202" s="143"/>
      <c r="C1202" s="117" t="s">
        <v>17</v>
      </c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80"/>
      <c r="P1202" s="32"/>
      <c r="Q1202" s="20">
        <f t="shared" si="187"/>
        <v>0</v>
      </c>
    </row>
    <row r="1203" spans="1:17">
      <c r="A1203" s="141"/>
      <c r="B1203" s="143"/>
      <c r="C1203" s="117" t="s">
        <v>18</v>
      </c>
      <c r="D1203" s="90"/>
      <c r="E1203" s="90"/>
      <c r="F1203" s="90"/>
      <c r="G1203" s="90"/>
      <c r="H1203" s="91"/>
      <c r="I1203" s="91"/>
      <c r="J1203" s="91"/>
      <c r="K1203" s="91"/>
      <c r="L1203" s="91"/>
      <c r="M1203" s="91"/>
      <c r="N1203" s="91"/>
      <c r="O1203" s="80"/>
      <c r="P1203" s="32"/>
      <c r="Q1203" s="20">
        <f t="shared" si="187"/>
        <v>0</v>
      </c>
    </row>
    <row r="1204" spans="1:17">
      <c r="A1204" s="141"/>
      <c r="B1204" s="143"/>
      <c r="C1204" s="120" t="s">
        <v>19</v>
      </c>
      <c r="D1204" s="96"/>
      <c r="E1204" s="96"/>
      <c r="F1204" s="96"/>
      <c r="G1204" s="96"/>
      <c r="H1204" s="92"/>
      <c r="I1204" s="92"/>
      <c r="J1204" s="92"/>
      <c r="K1204" s="92"/>
      <c r="L1204" s="92"/>
      <c r="M1204" s="92"/>
      <c r="N1204" s="92"/>
      <c r="O1204" s="18"/>
      <c r="P1204" s="33"/>
      <c r="Q1204" s="22">
        <f t="shared" si="187"/>
        <v>0</v>
      </c>
    </row>
    <row r="1205" spans="1:17">
      <c r="A1205" s="141"/>
      <c r="B1205" s="143" t="s">
        <v>13</v>
      </c>
      <c r="C1205" s="119" t="s">
        <v>10</v>
      </c>
      <c r="D1205" s="94"/>
      <c r="E1205" s="94"/>
      <c r="F1205" s="94"/>
      <c r="G1205" s="94"/>
      <c r="H1205" s="94"/>
      <c r="I1205" s="94"/>
      <c r="J1205" s="94"/>
      <c r="K1205" s="94"/>
      <c r="L1205" s="94"/>
      <c r="M1205" s="94"/>
      <c r="N1205" s="94"/>
      <c r="O1205" s="79"/>
      <c r="P1205" s="27"/>
      <c r="Q1205" s="21">
        <f t="shared" si="187"/>
        <v>0</v>
      </c>
    </row>
    <row r="1206" spans="1:17">
      <c r="A1206" s="141"/>
      <c r="B1206" s="143"/>
      <c r="C1206" s="116" t="s">
        <v>55</v>
      </c>
      <c r="D1206" s="89"/>
      <c r="E1206" s="89"/>
      <c r="F1206" s="89"/>
      <c r="G1206" s="89"/>
      <c r="H1206" s="89"/>
      <c r="I1206" s="89"/>
      <c r="J1206" s="89"/>
      <c r="K1206" s="89"/>
      <c r="L1206" s="89"/>
      <c r="M1206" s="89"/>
      <c r="N1206" s="89"/>
      <c r="O1206" s="17"/>
      <c r="P1206" s="28"/>
      <c r="Q1206" s="20">
        <f t="shared" si="187"/>
        <v>0</v>
      </c>
    </row>
    <row r="1207" spans="1:17">
      <c r="A1207" s="141"/>
      <c r="B1207" s="143"/>
      <c r="C1207" s="116" t="s">
        <v>56</v>
      </c>
      <c r="D1207" s="89"/>
      <c r="E1207" s="89"/>
      <c r="F1207" s="89"/>
      <c r="G1207" s="89"/>
      <c r="H1207" s="89"/>
      <c r="I1207" s="89"/>
      <c r="J1207" s="89"/>
      <c r="K1207" s="89"/>
      <c r="L1207" s="89"/>
      <c r="M1207" s="89"/>
      <c r="N1207" s="89"/>
      <c r="O1207" s="17"/>
      <c r="P1207" s="28"/>
      <c r="Q1207" s="20">
        <f t="shared" si="187"/>
        <v>0</v>
      </c>
    </row>
    <row r="1208" spans="1:17">
      <c r="A1208" s="141"/>
      <c r="B1208" s="143"/>
      <c r="C1208" s="120" t="s">
        <v>61</v>
      </c>
      <c r="D1208" s="92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O1208" s="18"/>
      <c r="P1208" s="33"/>
      <c r="Q1208" s="22">
        <f t="shared" si="187"/>
        <v>0</v>
      </c>
    </row>
    <row r="1209" spans="1:17">
      <c r="A1209" s="141"/>
      <c r="B1209" s="156" t="s">
        <v>54</v>
      </c>
      <c r="C1209" s="157"/>
      <c r="D1209" s="56">
        <f>SUM(D1192:D1199)-SUM(D1203:D1204)</f>
        <v>0</v>
      </c>
      <c r="E1209" s="56">
        <f t="shared" ref="E1209:O1209" si="188">SUM(E1192:E1199)-SUM(E1203:E1204)</f>
        <v>0</v>
      </c>
      <c r="F1209" s="56">
        <f t="shared" si="188"/>
        <v>0</v>
      </c>
      <c r="G1209" s="56">
        <f>SUM(G1192:G1199)-SUM(G1203:G1204)</f>
        <v>0</v>
      </c>
      <c r="H1209" s="56">
        <f t="shared" si="188"/>
        <v>0</v>
      </c>
      <c r="I1209" s="56">
        <f t="shared" si="188"/>
        <v>0</v>
      </c>
      <c r="J1209" s="56">
        <f t="shared" si="188"/>
        <v>0</v>
      </c>
      <c r="K1209" s="56">
        <f t="shared" si="188"/>
        <v>0</v>
      </c>
      <c r="L1209" s="56">
        <f t="shared" si="188"/>
        <v>0</v>
      </c>
      <c r="M1209" s="56">
        <f t="shared" si="188"/>
        <v>0</v>
      </c>
      <c r="N1209" s="56">
        <f t="shared" si="188"/>
        <v>0</v>
      </c>
      <c r="O1209" s="57">
        <f t="shared" si="188"/>
        <v>0</v>
      </c>
      <c r="P1209" s="60">
        <f>SUM(P1192:P1199)-SUM(P1203:P1204)</f>
        <v>0</v>
      </c>
      <c r="Q1209" s="59">
        <f>SUM(D1209:P1209)</f>
        <v>0</v>
      </c>
    </row>
    <row r="1210" spans="1:17" ht="14.25" thickBot="1">
      <c r="A1210" s="142"/>
      <c r="B1210" s="147" t="s">
        <v>5</v>
      </c>
      <c r="C1210" s="148"/>
      <c r="D1210" s="42">
        <f>SUM(D1192:D1199)-SUM(D1200:D1204)+SUM(D1205:D1208)</f>
        <v>0</v>
      </c>
      <c r="E1210" s="42">
        <f>SUM(E1192:E1199)-SUM(E1200:E1204)+SUM(E1205:E1208)</f>
        <v>0</v>
      </c>
      <c r="F1210" s="42">
        <f t="shared" ref="F1210:O1210" si="189">SUM(F1192:F1199)-SUM(F1200:F1204)+SUM(F1205:F1208)</f>
        <v>0</v>
      </c>
      <c r="G1210" s="42">
        <f>SUM(G1192:G1199)-SUM(G1200:G1204)+SUM(G1205:G1208)</f>
        <v>0</v>
      </c>
      <c r="H1210" s="42">
        <f t="shared" si="189"/>
        <v>0</v>
      </c>
      <c r="I1210" s="42">
        <f t="shared" si="189"/>
        <v>0</v>
      </c>
      <c r="J1210" s="42">
        <f t="shared" si="189"/>
        <v>0</v>
      </c>
      <c r="K1210" s="42">
        <f t="shared" si="189"/>
        <v>0</v>
      </c>
      <c r="L1210" s="42">
        <f t="shared" si="189"/>
        <v>0</v>
      </c>
      <c r="M1210" s="42">
        <f t="shared" si="189"/>
        <v>0</v>
      </c>
      <c r="N1210" s="42">
        <f t="shared" si="189"/>
        <v>0</v>
      </c>
      <c r="O1210" s="43">
        <f t="shared" si="189"/>
        <v>0</v>
      </c>
      <c r="P1210" s="44">
        <f>SUM(P1192:P1199)-SUM(P1200:P1204)+SUM(P1205:P1208)</f>
        <v>0</v>
      </c>
      <c r="Q1210" s="46">
        <f t="shared" si="187"/>
        <v>0</v>
      </c>
    </row>
    <row r="1211" spans="1:17">
      <c r="A1211" s="140"/>
      <c r="B1211" s="158" t="s">
        <v>12</v>
      </c>
      <c r="C1211" s="114" t="s">
        <v>87</v>
      </c>
      <c r="D1211" s="87"/>
      <c r="E1211" s="87"/>
      <c r="F1211" s="87"/>
      <c r="G1211" s="87"/>
      <c r="H1211" s="87"/>
      <c r="I1211" s="87"/>
      <c r="J1211" s="87"/>
      <c r="K1211" s="87"/>
      <c r="L1211" s="87"/>
      <c r="M1211" s="87"/>
      <c r="N1211" s="87"/>
      <c r="O1211" s="78"/>
      <c r="P1211" s="30"/>
      <c r="Q1211" s="19">
        <f>SUM(D1211:P1211)</f>
        <v>0</v>
      </c>
    </row>
    <row r="1212" spans="1:17">
      <c r="A1212" s="141"/>
      <c r="B1212" s="154"/>
      <c r="C1212" s="115" t="s">
        <v>89</v>
      </c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1"/>
      <c r="P1212" s="31"/>
      <c r="Q1212" s="20">
        <f t="shared" ref="Q1212:Q1229" si="190">SUM(D1212:P1212)</f>
        <v>0</v>
      </c>
    </row>
    <row r="1213" spans="1:17">
      <c r="A1213" s="141"/>
      <c r="B1213" s="143"/>
      <c r="C1213" s="116" t="s">
        <v>88</v>
      </c>
      <c r="D1213" s="89"/>
      <c r="E1213" s="90"/>
      <c r="F1213" s="90"/>
      <c r="G1213" s="90"/>
      <c r="H1213" s="89"/>
      <c r="I1213" s="89"/>
      <c r="J1213" s="89"/>
      <c r="K1213" s="89"/>
      <c r="L1213" s="89"/>
      <c r="M1213" s="89"/>
      <c r="N1213" s="89"/>
      <c r="O1213" s="17"/>
      <c r="P1213" s="28"/>
      <c r="Q1213" s="20">
        <f t="shared" si="190"/>
        <v>0</v>
      </c>
    </row>
    <row r="1214" spans="1:17">
      <c r="A1214" s="141"/>
      <c r="B1214" s="143"/>
      <c r="C1214" s="117" t="s">
        <v>90</v>
      </c>
      <c r="D1214" s="91"/>
      <c r="E1214" s="89"/>
      <c r="F1214" s="89"/>
      <c r="G1214" s="91"/>
      <c r="H1214" s="91"/>
      <c r="I1214" s="91"/>
      <c r="J1214" s="91"/>
      <c r="K1214" s="91"/>
      <c r="L1214" s="91"/>
      <c r="M1214" s="91"/>
      <c r="N1214" s="91"/>
      <c r="O1214" s="80"/>
      <c r="P1214" s="32"/>
      <c r="Q1214" s="20">
        <f t="shared" si="190"/>
        <v>0</v>
      </c>
    </row>
    <row r="1215" spans="1:17">
      <c r="A1215" s="141"/>
      <c r="B1215" s="143"/>
      <c r="C1215" s="117" t="s">
        <v>91</v>
      </c>
      <c r="D1215" s="91"/>
      <c r="E1215" s="91"/>
      <c r="F1215" s="91"/>
      <c r="G1215" s="91"/>
      <c r="H1215" s="91"/>
      <c r="I1215" s="91"/>
      <c r="J1215" s="91"/>
      <c r="K1215" s="91"/>
      <c r="L1215" s="91"/>
      <c r="M1215" s="91"/>
      <c r="N1215" s="91"/>
      <c r="O1215" s="80"/>
      <c r="P1215" s="32"/>
      <c r="Q1215" s="20">
        <f t="shared" si="190"/>
        <v>0</v>
      </c>
    </row>
    <row r="1216" spans="1:17">
      <c r="A1216" s="141"/>
      <c r="B1216" s="143"/>
      <c r="C1216" s="117" t="s">
        <v>92</v>
      </c>
      <c r="D1216" s="91"/>
      <c r="E1216" s="91"/>
      <c r="F1216" s="91"/>
      <c r="G1216" s="91"/>
      <c r="H1216" s="91"/>
      <c r="I1216" s="91"/>
      <c r="J1216" s="91"/>
      <c r="K1216" s="91"/>
      <c r="L1216" s="91"/>
      <c r="M1216" s="91"/>
      <c r="N1216" s="91"/>
      <c r="O1216" s="80"/>
      <c r="P1216" s="32"/>
      <c r="Q1216" s="20">
        <f t="shared" si="190"/>
        <v>0</v>
      </c>
    </row>
    <row r="1217" spans="1:17">
      <c r="A1217" s="141"/>
      <c r="B1217" s="143"/>
      <c r="C1217" s="116" t="s">
        <v>93</v>
      </c>
      <c r="D1217" s="91"/>
      <c r="E1217" s="91"/>
      <c r="F1217" s="91"/>
      <c r="G1217" s="91"/>
      <c r="H1217" s="91"/>
      <c r="I1217" s="91"/>
      <c r="J1217" s="91"/>
      <c r="K1217" s="91"/>
      <c r="L1217" s="91"/>
      <c r="M1217" s="91"/>
      <c r="N1217" s="91"/>
      <c r="O1217" s="80"/>
      <c r="P1217" s="32"/>
      <c r="Q1217" s="20">
        <f t="shared" si="190"/>
        <v>0</v>
      </c>
    </row>
    <row r="1218" spans="1:17">
      <c r="A1218" s="141"/>
      <c r="B1218" s="143"/>
      <c r="C1218" s="118" t="s">
        <v>94</v>
      </c>
      <c r="D1218" s="92"/>
      <c r="E1218" s="92"/>
      <c r="F1218" s="92"/>
      <c r="G1218" s="92"/>
      <c r="H1218" s="92"/>
      <c r="I1218" s="92"/>
      <c r="J1218" s="92"/>
      <c r="K1218" s="92"/>
      <c r="L1218" s="92"/>
      <c r="M1218" s="92"/>
      <c r="N1218" s="92"/>
      <c r="O1218" s="18"/>
      <c r="P1218" s="33"/>
      <c r="Q1218" s="22">
        <f t="shared" si="190"/>
        <v>0</v>
      </c>
    </row>
    <row r="1219" spans="1:17">
      <c r="A1219" s="141"/>
      <c r="B1219" s="143" t="s">
        <v>11</v>
      </c>
      <c r="C1219" s="119" t="s">
        <v>7</v>
      </c>
      <c r="D1219" s="93"/>
      <c r="E1219" s="93"/>
      <c r="F1219" s="93"/>
      <c r="G1219" s="93"/>
      <c r="H1219" s="93"/>
      <c r="I1219" s="93"/>
      <c r="J1219" s="93"/>
      <c r="K1219" s="93"/>
      <c r="L1219" s="94"/>
      <c r="M1219" s="94"/>
      <c r="N1219" s="94"/>
      <c r="O1219" s="79"/>
      <c r="P1219" s="27"/>
      <c r="Q1219" s="21">
        <f t="shared" si="190"/>
        <v>0</v>
      </c>
    </row>
    <row r="1220" spans="1:17">
      <c r="A1220" s="141"/>
      <c r="B1220" s="143"/>
      <c r="C1220" s="117" t="s">
        <v>4</v>
      </c>
      <c r="D1220" s="95"/>
      <c r="E1220" s="95"/>
      <c r="F1220" s="95"/>
      <c r="G1220" s="95"/>
      <c r="H1220" s="95"/>
      <c r="I1220" s="95"/>
      <c r="J1220" s="95"/>
      <c r="K1220" s="95"/>
      <c r="L1220" s="91"/>
      <c r="M1220" s="91"/>
      <c r="N1220" s="91"/>
      <c r="O1220" s="80"/>
      <c r="P1220" s="32"/>
      <c r="Q1220" s="20">
        <f t="shared" si="190"/>
        <v>0</v>
      </c>
    </row>
    <row r="1221" spans="1:17">
      <c r="A1221" s="141"/>
      <c r="B1221" s="143"/>
      <c r="C1221" s="117" t="s">
        <v>17</v>
      </c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91"/>
      <c r="O1221" s="80"/>
      <c r="P1221" s="32"/>
      <c r="Q1221" s="20">
        <f t="shared" si="190"/>
        <v>0</v>
      </c>
    </row>
    <row r="1222" spans="1:17">
      <c r="A1222" s="141"/>
      <c r="B1222" s="143"/>
      <c r="C1222" s="117" t="s">
        <v>18</v>
      </c>
      <c r="D1222" s="90"/>
      <c r="E1222" s="90"/>
      <c r="F1222" s="90"/>
      <c r="G1222" s="90"/>
      <c r="H1222" s="91"/>
      <c r="I1222" s="91"/>
      <c r="J1222" s="91"/>
      <c r="K1222" s="91"/>
      <c r="L1222" s="91"/>
      <c r="M1222" s="91"/>
      <c r="N1222" s="91"/>
      <c r="O1222" s="80"/>
      <c r="P1222" s="32"/>
      <c r="Q1222" s="20">
        <f t="shared" si="190"/>
        <v>0</v>
      </c>
    </row>
    <row r="1223" spans="1:17">
      <c r="A1223" s="141"/>
      <c r="B1223" s="143"/>
      <c r="C1223" s="120" t="s">
        <v>19</v>
      </c>
      <c r="D1223" s="96"/>
      <c r="E1223" s="96"/>
      <c r="F1223" s="96"/>
      <c r="G1223" s="96"/>
      <c r="H1223" s="92"/>
      <c r="I1223" s="92"/>
      <c r="J1223" s="92"/>
      <c r="K1223" s="92"/>
      <c r="L1223" s="92"/>
      <c r="M1223" s="92"/>
      <c r="N1223" s="92"/>
      <c r="O1223" s="18"/>
      <c r="P1223" s="33"/>
      <c r="Q1223" s="22">
        <f t="shared" si="190"/>
        <v>0</v>
      </c>
    </row>
    <row r="1224" spans="1:17">
      <c r="A1224" s="141"/>
      <c r="B1224" s="143" t="s">
        <v>13</v>
      </c>
      <c r="C1224" s="119" t="s">
        <v>10</v>
      </c>
      <c r="D1224" s="94"/>
      <c r="E1224" s="94"/>
      <c r="F1224" s="94"/>
      <c r="G1224" s="94"/>
      <c r="H1224" s="94"/>
      <c r="I1224" s="94"/>
      <c r="J1224" s="94"/>
      <c r="K1224" s="94"/>
      <c r="L1224" s="94"/>
      <c r="M1224" s="94"/>
      <c r="N1224" s="94"/>
      <c r="O1224" s="79"/>
      <c r="P1224" s="27"/>
      <c r="Q1224" s="21">
        <f t="shared" si="190"/>
        <v>0</v>
      </c>
    </row>
    <row r="1225" spans="1:17">
      <c r="A1225" s="141"/>
      <c r="B1225" s="143"/>
      <c r="C1225" s="116" t="s">
        <v>55</v>
      </c>
      <c r="D1225" s="89"/>
      <c r="E1225" s="89"/>
      <c r="F1225" s="89"/>
      <c r="G1225" s="89"/>
      <c r="H1225" s="89"/>
      <c r="I1225" s="89"/>
      <c r="J1225" s="89"/>
      <c r="K1225" s="89"/>
      <c r="L1225" s="89"/>
      <c r="M1225" s="89"/>
      <c r="N1225" s="89"/>
      <c r="O1225" s="17"/>
      <c r="P1225" s="28"/>
      <c r="Q1225" s="20">
        <f t="shared" si="190"/>
        <v>0</v>
      </c>
    </row>
    <row r="1226" spans="1:17">
      <c r="A1226" s="141"/>
      <c r="B1226" s="143"/>
      <c r="C1226" s="116" t="s">
        <v>56</v>
      </c>
      <c r="D1226" s="89"/>
      <c r="E1226" s="89"/>
      <c r="F1226" s="89"/>
      <c r="G1226" s="89"/>
      <c r="H1226" s="89"/>
      <c r="I1226" s="89"/>
      <c r="J1226" s="89"/>
      <c r="K1226" s="89"/>
      <c r="L1226" s="89"/>
      <c r="M1226" s="89"/>
      <c r="N1226" s="89"/>
      <c r="O1226" s="17"/>
      <c r="P1226" s="28"/>
      <c r="Q1226" s="20">
        <f t="shared" si="190"/>
        <v>0</v>
      </c>
    </row>
    <row r="1227" spans="1:17">
      <c r="A1227" s="141"/>
      <c r="B1227" s="143"/>
      <c r="C1227" s="120" t="s">
        <v>61</v>
      </c>
      <c r="D1227" s="92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O1227" s="18"/>
      <c r="P1227" s="33"/>
      <c r="Q1227" s="22">
        <f t="shared" si="190"/>
        <v>0</v>
      </c>
    </row>
    <row r="1228" spans="1:17">
      <c r="A1228" s="141"/>
      <c r="B1228" s="156" t="s">
        <v>54</v>
      </c>
      <c r="C1228" s="157"/>
      <c r="D1228" s="56">
        <f>SUM(D1211:D1218)-SUM(D1222:D1223)</f>
        <v>0</v>
      </c>
      <c r="E1228" s="56">
        <f t="shared" ref="E1228:O1228" si="191">SUM(E1211:E1218)-SUM(E1222:E1223)</f>
        <v>0</v>
      </c>
      <c r="F1228" s="56">
        <f t="shared" si="191"/>
        <v>0</v>
      </c>
      <c r="G1228" s="56">
        <f>SUM(G1211:G1218)-SUM(G1222:G1223)</f>
        <v>0</v>
      </c>
      <c r="H1228" s="56">
        <f t="shared" si="191"/>
        <v>0</v>
      </c>
      <c r="I1228" s="56">
        <f t="shared" si="191"/>
        <v>0</v>
      </c>
      <c r="J1228" s="56">
        <f t="shared" si="191"/>
        <v>0</v>
      </c>
      <c r="K1228" s="56">
        <f t="shared" si="191"/>
        <v>0</v>
      </c>
      <c r="L1228" s="56">
        <f t="shared" si="191"/>
        <v>0</v>
      </c>
      <c r="M1228" s="56">
        <f t="shared" si="191"/>
        <v>0</v>
      </c>
      <c r="N1228" s="56">
        <f t="shared" si="191"/>
        <v>0</v>
      </c>
      <c r="O1228" s="57">
        <f t="shared" si="191"/>
        <v>0</v>
      </c>
      <c r="P1228" s="60">
        <f>SUM(P1211:P1218)-SUM(P1222:P1223)</f>
        <v>0</v>
      </c>
      <c r="Q1228" s="59">
        <f>SUM(D1228:P1228)</f>
        <v>0</v>
      </c>
    </row>
    <row r="1229" spans="1:17" ht="14.25" thickBot="1">
      <c r="A1229" s="142"/>
      <c r="B1229" s="147" t="s">
        <v>5</v>
      </c>
      <c r="C1229" s="148"/>
      <c r="D1229" s="42">
        <f>SUM(D1211:D1218)-SUM(D1219:D1223)+SUM(D1224:D1227)</f>
        <v>0</v>
      </c>
      <c r="E1229" s="42">
        <f>SUM(E1211:E1218)-SUM(E1219:E1223)+SUM(E1224:E1227)</f>
        <v>0</v>
      </c>
      <c r="F1229" s="42">
        <f t="shared" ref="F1229:O1229" si="192">SUM(F1211:F1218)-SUM(F1219:F1223)+SUM(F1224:F1227)</f>
        <v>0</v>
      </c>
      <c r="G1229" s="42">
        <f>SUM(G1211:G1218)-SUM(G1219:G1223)+SUM(G1224:G1227)</f>
        <v>0</v>
      </c>
      <c r="H1229" s="42">
        <f t="shared" si="192"/>
        <v>0</v>
      </c>
      <c r="I1229" s="42">
        <f t="shared" si="192"/>
        <v>0</v>
      </c>
      <c r="J1229" s="42">
        <f t="shared" si="192"/>
        <v>0</v>
      </c>
      <c r="K1229" s="42">
        <f t="shared" si="192"/>
        <v>0</v>
      </c>
      <c r="L1229" s="42">
        <f t="shared" si="192"/>
        <v>0</v>
      </c>
      <c r="M1229" s="42">
        <f t="shared" si="192"/>
        <v>0</v>
      </c>
      <c r="N1229" s="42">
        <f t="shared" si="192"/>
        <v>0</v>
      </c>
      <c r="O1229" s="43">
        <f t="shared" si="192"/>
        <v>0</v>
      </c>
      <c r="P1229" s="44">
        <f>SUM(P1211:P1218)-SUM(P1219:P1223)+SUM(P1224:P1227)</f>
        <v>0</v>
      </c>
      <c r="Q1229" s="46">
        <f t="shared" si="190"/>
        <v>0</v>
      </c>
    </row>
    <row r="1230" spans="1:17">
      <c r="A1230" s="140"/>
      <c r="B1230" s="158" t="s">
        <v>12</v>
      </c>
      <c r="C1230" s="114" t="s">
        <v>87</v>
      </c>
      <c r="D1230" s="87"/>
      <c r="E1230" s="87"/>
      <c r="F1230" s="87"/>
      <c r="G1230" s="87"/>
      <c r="H1230" s="87"/>
      <c r="I1230" s="87"/>
      <c r="J1230" s="87"/>
      <c r="K1230" s="87"/>
      <c r="L1230" s="87"/>
      <c r="M1230" s="87"/>
      <c r="N1230" s="87"/>
      <c r="O1230" s="78"/>
      <c r="P1230" s="30"/>
      <c r="Q1230" s="19">
        <f>SUM(D1230:P1230)</f>
        <v>0</v>
      </c>
    </row>
    <row r="1231" spans="1:17">
      <c r="A1231" s="141"/>
      <c r="B1231" s="154"/>
      <c r="C1231" s="115" t="s">
        <v>89</v>
      </c>
      <c r="D1231" s="88"/>
      <c r="E1231" s="88"/>
      <c r="F1231" s="88"/>
      <c r="G1231" s="88"/>
      <c r="H1231" s="88"/>
      <c r="I1231" s="88"/>
      <c r="J1231" s="88"/>
      <c r="K1231" s="88"/>
      <c r="L1231" s="88"/>
      <c r="M1231" s="88"/>
      <c r="N1231" s="88"/>
      <c r="O1231" s="81"/>
      <c r="P1231" s="31"/>
      <c r="Q1231" s="20">
        <f t="shared" ref="Q1231:Q1248" si="193">SUM(D1231:P1231)</f>
        <v>0</v>
      </c>
    </row>
    <row r="1232" spans="1:17">
      <c r="A1232" s="141"/>
      <c r="B1232" s="143"/>
      <c r="C1232" s="116" t="s">
        <v>88</v>
      </c>
      <c r="D1232" s="89"/>
      <c r="E1232" s="90"/>
      <c r="F1232" s="90"/>
      <c r="G1232" s="90"/>
      <c r="H1232" s="89"/>
      <c r="I1232" s="89"/>
      <c r="J1232" s="89"/>
      <c r="K1232" s="89"/>
      <c r="L1232" s="89"/>
      <c r="M1232" s="89"/>
      <c r="N1232" s="89"/>
      <c r="O1232" s="17"/>
      <c r="P1232" s="28"/>
      <c r="Q1232" s="20">
        <f t="shared" si="193"/>
        <v>0</v>
      </c>
    </row>
    <row r="1233" spans="1:17">
      <c r="A1233" s="141"/>
      <c r="B1233" s="143"/>
      <c r="C1233" s="117" t="s">
        <v>90</v>
      </c>
      <c r="D1233" s="91"/>
      <c r="E1233" s="89"/>
      <c r="F1233" s="89"/>
      <c r="G1233" s="91"/>
      <c r="H1233" s="91"/>
      <c r="I1233" s="91"/>
      <c r="J1233" s="91"/>
      <c r="K1233" s="91"/>
      <c r="L1233" s="91"/>
      <c r="M1233" s="91"/>
      <c r="N1233" s="91"/>
      <c r="O1233" s="80"/>
      <c r="P1233" s="32"/>
      <c r="Q1233" s="20">
        <f t="shared" si="193"/>
        <v>0</v>
      </c>
    </row>
    <row r="1234" spans="1:17">
      <c r="A1234" s="141"/>
      <c r="B1234" s="143"/>
      <c r="C1234" s="117" t="s">
        <v>91</v>
      </c>
      <c r="D1234" s="91"/>
      <c r="E1234" s="91"/>
      <c r="F1234" s="91"/>
      <c r="G1234" s="91"/>
      <c r="H1234" s="91"/>
      <c r="I1234" s="91"/>
      <c r="J1234" s="91"/>
      <c r="K1234" s="91"/>
      <c r="L1234" s="91"/>
      <c r="M1234" s="91"/>
      <c r="N1234" s="91"/>
      <c r="O1234" s="80"/>
      <c r="P1234" s="32"/>
      <c r="Q1234" s="20">
        <f t="shared" si="193"/>
        <v>0</v>
      </c>
    </row>
    <row r="1235" spans="1:17">
      <c r="A1235" s="141"/>
      <c r="B1235" s="143"/>
      <c r="C1235" s="117" t="s">
        <v>92</v>
      </c>
      <c r="D1235" s="91"/>
      <c r="E1235" s="91"/>
      <c r="F1235" s="91"/>
      <c r="G1235" s="91"/>
      <c r="H1235" s="91"/>
      <c r="I1235" s="91"/>
      <c r="J1235" s="91"/>
      <c r="K1235" s="91"/>
      <c r="L1235" s="91"/>
      <c r="M1235" s="91"/>
      <c r="N1235" s="91"/>
      <c r="O1235" s="80"/>
      <c r="P1235" s="32"/>
      <c r="Q1235" s="20">
        <f t="shared" si="193"/>
        <v>0</v>
      </c>
    </row>
    <row r="1236" spans="1:17">
      <c r="A1236" s="141"/>
      <c r="B1236" s="143"/>
      <c r="C1236" s="116" t="s">
        <v>93</v>
      </c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80"/>
      <c r="P1236" s="32"/>
      <c r="Q1236" s="20">
        <f t="shared" si="193"/>
        <v>0</v>
      </c>
    </row>
    <row r="1237" spans="1:17">
      <c r="A1237" s="141"/>
      <c r="B1237" s="143"/>
      <c r="C1237" s="118" t="s">
        <v>94</v>
      </c>
      <c r="D1237" s="92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O1237" s="18"/>
      <c r="P1237" s="33"/>
      <c r="Q1237" s="22">
        <f t="shared" si="193"/>
        <v>0</v>
      </c>
    </row>
    <row r="1238" spans="1:17">
      <c r="A1238" s="141"/>
      <c r="B1238" s="143" t="s">
        <v>11</v>
      </c>
      <c r="C1238" s="119" t="s">
        <v>7</v>
      </c>
      <c r="D1238" s="93"/>
      <c r="E1238" s="93"/>
      <c r="F1238" s="93"/>
      <c r="G1238" s="93"/>
      <c r="H1238" s="93"/>
      <c r="I1238" s="93"/>
      <c r="J1238" s="93"/>
      <c r="K1238" s="93"/>
      <c r="L1238" s="94"/>
      <c r="M1238" s="94"/>
      <c r="N1238" s="94"/>
      <c r="O1238" s="79"/>
      <c r="P1238" s="27"/>
      <c r="Q1238" s="21">
        <f t="shared" si="193"/>
        <v>0</v>
      </c>
    </row>
    <row r="1239" spans="1:17">
      <c r="A1239" s="141"/>
      <c r="B1239" s="143"/>
      <c r="C1239" s="117" t="s">
        <v>4</v>
      </c>
      <c r="D1239" s="95"/>
      <c r="E1239" s="95"/>
      <c r="F1239" s="95"/>
      <c r="G1239" s="95"/>
      <c r="H1239" s="95"/>
      <c r="I1239" s="95"/>
      <c r="J1239" s="95"/>
      <c r="K1239" s="95"/>
      <c r="L1239" s="91"/>
      <c r="M1239" s="91"/>
      <c r="N1239" s="91"/>
      <c r="O1239" s="80"/>
      <c r="P1239" s="32"/>
      <c r="Q1239" s="20">
        <f t="shared" si="193"/>
        <v>0</v>
      </c>
    </row>
    <row r="1240" spans="1:17">
      <c r="A1240" s="141"/>
      <c r="B1240" s="143"/>
      <c r="C1240" s="117" t="s">
        <v>17</v>
      </c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80"/>
      <c r="P1240" s="32"/>
      <c r="Q1240" s="20">
        <f t="shared" si="193"/>
        <v>0</v>
      </c>
    </row>
    <row r="1241" spans="1:17">
      <c r="A1241" s="141"/>
      <c r="B1241" s="143"/>
      <c r="C1241" s="117" t="s">
        <v>18</v>
      </c>
      <c r="D1241" s="90"/>
      <c r="E1241" s="90"/>
      <c r="F1241" s="90"/>
      <c r="G1241" s="90"/>
      <c r="H1241" s="91"/>
      <c r="I1241" s="91"/>
      <c r="J1241" s="91"/>
      <c r="K1241" s="91"/>
      <c r="L1241" s="91"/>
      <c r="M1241" s="91"/>
      <c r="N1241" s="91"/>
      <c r="O1241" s="80"/>
      <c r="P1241" s="32"/>
      <c r="Q1241" s="20">
        <f t="shared" si="193"/>
        <v>0</v>
      </c>
    </row>
    <row r="1242" spans="1:17">
      <c r="A1242" s="141"/>
      <c r="B1242" s="143"/>
      <c r="C1242" s="120" t="s">
        <v>19</v>
      </c>
      <c r="D1242" s="96"/>
      <c r="E1242" s="96"/>
      <c r="F1242" s="96"/>
      <c r="G1242" s="96"/>
      <c r="H1242" s="92"/>
      <c r="I1242" s="92"/>
      <c r="J1242" s="92"/>
      <c r="K1242" s="92"/>
      <c r="L1242" s="92"/>
      <c r="M1242" s="92"/>
      <c r="N1242" s="92"/>
      <c r="O1242" s="18"/>
      <c r="P1242" s="33"/>
      <c r="Q1242" s="22">
        <f t="shared" si="193"/>
        <v>0</v>
      </c>
    </row>
    <row r="1243" spans="1:17">
      <c r="A1243" s="141"/>
      <c r="B1243" s="143" t="s">
        <v>13</v>
      </c>
      <c r="C1243" s="119" t="s">
        <v>10</v>
      </c>
      <c r="D1243" s="94"/>
      <c r="E1243" s="94"/>
      <c r="F1243" s="94"/>
      <c r="G1243" s="94"/>
      <c r="H1243" s="94"/>
      <c r="I1243" s="94"/>
      <c r="J1243" s="94"/>
      <c r="K1243" s="94"/>
      <c r="L1243" s="94"/>
      <c r="M1243" s="94"/>
      <c r="N1243" s="94"/>
      <c r="O1243" s="79"/>
      <c r="P1243" s="27"/>
      <c r="Q1243" s="21">
        <f t="shared" si="193"/>
        <v>0</v>
      </c>
    </row>
    <row r="1244" spans="1:17">
      <c r="A1244" s="141"/>
      <c r="B1244" s="143"/>
      <c r="C1244" s="116" t="s">
        <v>55</v>
      </c>
      <c r="D1244" s="89"/>
      <c r="E1244" s="89"/>
      <c r="F1244" s="89"/>
      <c r="G1244" s="89"/>
      <c r="H1244" s="89"/>
      <c r="I1244" s="89"/>
      <c r="J1244" s="89"/>
      <c r="K1244" s="89"/>
      <c r="L1244" s="89"/>
      <c r="M1244" s="89"/>
      <c r="N1244" s="89"/>
      <c r="O1244" s="17"/>
      <c r="P1244" s="28"/>
      <c r="Q1244" s="20">
        <f t="shared" si="193"/>
        <v>0</v>
      </c>
    </row>
    <row r="1245" spans="1:17">
      <c r="A1245" s="141"/>
      <c r="B1245" s="143"/>
      <c r="C1245" s="116" t="s">
        <v>56</v>
      </c>
      <c r="D1245" s="89"/>
      <c r="E1245" s="89"/>
      <c r="F1245" s="89"/>
      <c r="G1245" s="89"/>
      <c r="H1245" s="89"/>
      <c r="I1245" s="89"/>
      <c r="J1245" s="89"/>
      <c r="K1245" s="89"/>
      <c r="L1245" s="89"/>
      <c r="M1245" s="89"/>
      <c r="N1245" s="89"/>
      <c r="O1245" s="17"/>
      <c r="P1245" s="28"/>
      <c r="Q1245" s="20">
        <f t="shared" si="193"/>
        <v>0</v>
      </c>
    </row>
    <row r="1246" spans="1:17">
      <c r="A1246" s="141"/>
      <c r="B1246" s="143"/>
      <c r="C1246" s="120" t="s">
        <v>61</v>
      </c>
      <c r="D1246" s="92"/>
      <c r="E1246" s="92"/>
      <c r="F1246" s="92"/>
      <c r="G1246" s="92"/>
      <c r="H1246" s="92"/>
      <c r="I1246" s="92"/>
      <c r="J1246" s="92"/>
      <c r="K1246" s="92"/>
      <c r="L1246" s="92"/>
      <c r="M1246" s="92"/>
      <c r="N1246" s="92"/>
      <c r="O1246" s="18"/>
      <c r="P1246" s="33"/>
      <c r="Q1246" s="22">
        <f t="shared" si="193"/>
        <v>0</v>
      </c>
    </row>
    <row r="1247" spans="1:17">
      <c r="A1247" s="141"/>
      <c r="B1247" s="156" t="s">
        <v>54</v>
      </c>
      <c r="C1247" s="157"/>
      <c r="D1247" s="56">
        <f>SUM(D1230:D1237)-SUM(D1241:D1242)</f>
        <v>0</v>
      </c>
      <c r="E1247" s="56">
        <f t="shared" ref="E1247:O1247" si="194">SUM(E1230:E1237)-SUM(E1241:E1242)</f>
        <v>0</v>
      </c>
      <c r="F1247" s="56">
        <f t="shared" si="194"/>
        <v>0</v>
      </c>
      <c r="G1247" s="56">
        <f>SUM(G1230:G1237)-SUM(G1241:G1242)</f>
        <v>0</v>
      </c>
      <c r="H1247" s="56">
        <f t="shared" si="194"/>
        <v>0</v>
      </c>
      <c r="I1247" s="56">
        <f t="shared" si="194"/>
        <v>0</v>
      </c>
      <c r="J1247" s="56">
        <f t="shared" si="194"/>
        <v>0</v>
      </c>
      <c r="K1247" s="56">
        <f t="shared" si="194"/>
        <v>0</v>
      </c>
      <c r="L1247" s="56">
        <f t="shared" si="194"/>
        <v>0</v>
      </c>
      <c r="M1247" s="56">
        <f t="shared" si="194"/>
        <v>0</v>
      </c>
      <c r="N1247" s="56">
        <f t="shared" si="194"/>
        <v>0</v>
      </c>
      <c r="O1247" s="57">
        <f t="shared" si="194"/>
        <v>0</v>
      </c>
      <c r="P1247" s="60">
        <f>SUM(P1230:P1237)-SUM(P1241:P1242)</f>
        <v>0</v>
      </c>
      <c r="Q1247" s="59">
        <f>SUM(D1247:P1247)</f>
        <v>0</v>
      </c>
    </row>
    <row r="1248" spans="1:17" ht="14.25" thickBot="1">
      <c r="A1248" s="142"/>
      <c r="B1248" s="147" t="s">
        <v>5</v>
      </c>
      <c r="C1248" s="148"/>
      <c r="D1248" s="42">
        <f>SUM(D1230:D1237)-SUM(D1238:D1242)+SUM(D1243:D1246)</f>
        <v>0</v>
      </c>
      <c r="E1248" s="42">
        <f>SUM(E1230:E1237)-SUM(E1238:E1242)+SUM(E1243:E1246)</f>
        <v>0</v>
      </c>
      <c r="F1248" s="42">
        <f t="shared" ref="F1248:O1248" si="195">SUM(F1230:F1237)-SUM(F1238:F1242)+SUM(F1243:F1246)</f>
        <v>0</v>
      </c>
      <c r="G1248" s="42">
        <f>SUM(G1230:G1237)-SUM(G1238:G1242)+SUM(G1243:G1246)</f>
        <v>0</v>
      </c>
      <c r="H1248" s="42">
        <f t="shared" si="195"/>
        <v>0</v>
      </c>
      <c r="I1248" s="42">
        <f t="shared" si="195"/>
        <v>0</v>
      </c>
      <c r="J1248" s="42">
        <f t="shared" si="195"/>
        <v>0</v>
      </c>
      <c r="K1248" s="42">
        <f t="shared" si="195"/>
        <v>0</v>
      </c>
      <c r="L1248" s="42">
        <f t="shared" si="195"/>
        <v>0</v>
      </c>
      <c r="M1248" s="42">
        <f t="shared" si="195"/>
        <v>0</v>
      </c>
      <c r="N1248" s="42">
        <f t="shared" si="195"/>
        <v>0</v>
      </c>
      <c r="O1248" s="43">
        <f t="shared" si="195"/>
        <v>0</v>
      </c>
      <c r="P1248" s="44">
        <f>SUM(P1230:P1237)-SUM(P1238:P1242)+SUM(P1243:P1246)</f>
        <v>0</v>
      </c>
      <c r="Q1248" s="46">
        <f t="shared" si="193"/>
        <v>0</v>
      </c>
    </row>
    <row r="1249" spans="1:17">
      <c r="A1249" s="140"/>
      <c r="B1249" s="158" t="s">
        <v>12</v>
      </c>
      <c r="C1249" s="114" t="s">
        <v>87</v>
      </c>
      <c r="D1249" s="87"/>
      <c r="E1249" s="87"/>
      <c r="F1249" s="87"/>
      <c r="G1249" s="87"/>
      <c r="H1249" s="87"/>
      <c r="I1249" s="87"/>
      <c r="J1249" s="87"/>
      <c r="K1249" s="87"/>
      <c r="L1249" s="87"/>
      <c r="M1249" s="87"/>
      <c r="N1249" s="87"/>
      <c r="O1249" s="78"/>
      <c r="P1249" s="30"/>
      <c r="Q1249" s="19">
        <f>SUM(D1249:P1249)</f>
        <v>0</v>
      </c>
    </row>
    <row r="1250" spans="1:17">
      <c r="A1250" s="141"/>
      <c r="B1250" s="154"/>
      <c r="C1250" s="115" t="s">
        <v>89</v>
      </c>
      <c r="D1250" s="88"/>
      <c r="E1250" s="88"/>
      <c r="F1250" s="88"/>
      <c r="G1250" s="88"/>
      <c r="H1250" s="88"/>
      <c r="I1250" s="88"/>
      <c r="J1250" s="88"/>
      <c r="K1250" s="88"/>
      <c r="L1250" s="88"/>
      <c r="M1250" s="88"/>
      <c r="N1250" s="88"/>
      <c r="O1250" s="81"/>
      <c r="P1250" s="31"/>
      <c r="Q1250" s="20">
        <f t="shared" ref="Q1250:Q1267" si="196">SUM(D1250:P1250)</f>
        <v>0</v>
      </c>
    </row>
    <row r="1251" spans="1:17">
      <c r="A1251" s="141"/>
      <c r="B1251" s="143"/>
      <c r="C1251" s="116" t="s">
        <v>88</v>
      </c>
      <c r="D1251" s="89"/>
      <c r="E1251" s="90"/>
      <c r="F1251" s="90"/>
      <c r="G1251" s="90"/>
      <c r="H1251" s="89"/>
      <c r="I1251" s="89"/>
      <c r="J1251" s="89"/>
      <c r="K1251" s="89"/>
      <c r="L1251" s="89"/>
      <c r="M1251" s="89"/>
      <c r="N1251" s="89"/>
      <c r="O1251" s="17"/>
      <c r="P1251" s="28"/>
      <c r="Q1251" s="20">
        <f t="shared" si="196"/>
        <v>0</v>
      </c>
    </row>
    <row r="1252" spans="1:17">
      <c r="A1252" s="141"/>
      <c r="B1252" s="143"/>
      <c r="C1252" s="117" t="s">
        <v>90</v>
      </c>
      <c r="D1252" s="91"/>
      <c r="E1252" s="89"/>
      <c r="F1252" s="89"/>
      <c r="G1252" s="91"/>
      <c r="H1252" s="91"/>
      <c r="I1252" s="91"/>
      <c r="J1252" s="91"/>
      <c r="K1252" s="91"/>
      <c r="L1252" s="91"/>
      <c r="M1252" s="91"/>
      <c r="N1252" s="91"/>
      <c r="O1252" s="80"/>
      <c r="P1252" s="32"/>
      <c r="Q1252" s="20">
        <f t="shared" si="196"/>
        <v>0</v>
      </c>
    </row>
    <row r="1253" spans="1:17">
      <c r="A1253" s="141"/>
      <c r="B1253" s="143"/>
      <c r="C1253" s="117" t="s">
        <v>91</v>
      </c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80"/>
      <c r="P1253" s="32"/>
      <c r="Q1253" s="20">
        <f t="shared" si="196"/>
        <v>0</v>
      </c>
    </row>
    <row r="1254" spans="1:17">
      <c r="A1254" s="141"/>
      <c r="B1254" s="143"/>
      <c r="C1254" s="117" t="s">
        <v>92</v>
      </c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80"/>
      <c r="P1254" s="32"/>
      <c r="Q1254" s="20">
        <f t="shared" si="196"/>
        <v>0</v>
      </c>
    </row>
    <row r="1255" spans="1:17">
      <c r="A1255" s="141"/>
      <c r="B1255" s="143"/>
      <c r="C1255" s="116" t="s">
        <v>93</v>
      </c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91"/>
      <c r="O1255" s="80"/>
      <c r="P1255" s="32"/>
      <c r="Q1255" s="20">
        <f t="shared" si="196"/>
        <v>0</v>
      </c>
    </row>
    <row r="1256" spans="1:17">
      <c r="A1256" s="141"/>
      <c r="B1256" s="143"/>
      <c r="C1256" s="118" t="s">
        <v>94</v>
      </c>
      <c r="D1256" s="92"/>
      <c r="E1256" s="92"/>
      <c r="F1256" s="92"/>
      <c r="G1256" s="92"/>
      <c r="H1256" s="92"/>
      <c r="I1256" s="92"/>
      <c r="J1256" s="92"/>
      <c r="K1256" s="92"/>
      <c r="L1256" s="92"/>
      <c r="M1256" s="92"/>
      <c r="N1256" s="92"/>
      <c r="O1256" s="18"/>
      <c r="P1256" s="33"/>
      <c r="Q1256" s="22">
        <f t="shared" si="196"/>
        <v>0</v>
      </c>
    </row>
    <row r="1257" spans="1:17">
      <c r="A1257" s="141"/>
      <c r="B1257" s="143" t="s">
        <v>11</v>
      </c>
      <c r="C1257" s="119" t="s">
        <v>7</v>
      </c>
      <c r="D1257" s="93"/>
      <c r="E1257" s="93"/>
      <c r="F1257" s="93"/>
      <c r="G1257" s="93"/>
      <c r="H1257" s="93"/>
      <c r="I1257" s="93"/>
      <c r="J1257" s="93"/>
      <c r="K1257" s="93"/>
      <c r="L1257" s="94"/>
      <c r="M1257" s="94"/>
      <c r="N1257" s="94"/>
      <c r="O1257" s="79"/>
      <c r="P1257" s="27"/>
      <c r="Q1257" s="21">
        <f t="shared" si="196"/>
        <v>0</v>
      </c>
    </row>
    <row r="1258" spans="1:17">
      <c r="A1258" s="141"/>
      <c r="B1258" s="143"/>
      <c r="C1258" s="117" t="s">
        <v>4</v>
      </c>
      <c r="D1258" s="95"/>
      <c r="E1258" s="95"/>
      <c r="F1258" s="95"/>
      <c r="G1258" s="95"/>
      <c r="H1258" s="95"/>
      <c r="I1258" s="95"/>
      <c r="J1258" s="95"/>
      <c r="K1258" s="95"/>
      <c r="L1258" s="91"/>
      <c r="M1258" s="91"/>
      <c r="N1258" s="91"/>
      <c r="O1258" s="80"/>
      <c r="P1258" s="32"/>
      <c r="Q1258" s="20">
        <f t="shared" si="196"/>
        <v>0</v>
      </c>
    </row>
    <row r="1259" spans="1:17">
      <c r="A1259" s="141"/>
      <c r="B1259" s="143"/>
      <c r="C1259" s="117" t="s">
        <v>17</v>
      </c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91"/>
      <c r="O1259" s="80"/>
      <c r="P1259" s="32"/>
      <c r="Q1259" s="20">
        <f t="shared" si="196"/>
        <v>0</v>
      </c>
    </row>
    <row r="1260" spans="1:17">
      <c r="A1260" s="141"/>
      <c r="B1260" s="143"/>
      <c r="C1260" s="117" t="s">
        <v>18</v>
      </c>
      <c r="D1260" s="90"/>
      <c r="E1260" s="90"/>
      <c r="F1260" s="90"/>
      <c r="G1260" s="90"/>
      <c r="H1260" s="91"/>
      <c r="I1260" s="91"/>
      <c r="J1260" s="91"/>
      <c r="K1260" s="91"/>
      <c r="L1260" s="91"/>
      <c r="M1260" s="91"/>
      <c r="N1260" s="91"/>
      <c r="O1260" s="80"/>
      <c r="P1260" s="32"/>
      <c r="Q1260" s="20">
        <f t="shared" si="196"/>
        <v>0</v>
      </c>
    </row>
    <row r="1261" spans="1:17">
      <c r="A1261" s="141"/>
      <c r="B1261" s="143"/>
      <c r="C1261" s="120" t="s">
        <v>19</v>
      </c>
      <c r="D1261" s="96"/>
      <c r="E1261" s="96"/>
      <c r="F1261" s="96"/>
      <c r="G1261" s="96"/>
      <c r="H1261" s="92"/>
      <c r="I1261" s="92"/>
      <c r="J1261" s="92"/>
      <c r="K1261" s="92"/>
      <c r="L1261" s="92"/>
      <c r="M1261" s="92"/>
      <c r="N1261" s="92"/>
      <c r="O1261" s="18"/>
      <c r="P1261" s="33"/>
      <c r="Q1261" s="22">
        <f t="shared" si="196"/>
        <v>0</v>
      </c>
    </row>
    <row r="1262" spans="1:17">
      <c r="A1262" s="141"/>
      <c r="B1262" s="143" t="s">
        <v>13</v>
      </c>
      <c r="C1262" s="119" t="s">
        <v>10</v>
      </c>
      <c r="D1262" s="94"/>
      <c r="E1262" s="94"/>
      <c r="F1262" s="94"/>
      <c r="G1262" s="94"/>
      <c r="H1262" s="94"/>
      <c r="I1262" s="94"/>
      <c r="J1262" s="94"/>
      <c r="K1262" s="94"/>
      <c r="L1262" s="94"/>
      <c r="M1262" s="94"/>
      <c r="N1262" s="94"/>
      <c r="O1262" s="79"/>
      <c r="P1262" s="27"/>
      <c r="Q1262" s="21">
        <f t="shared" si="196"/>
        <v>0</v>
      </c>
    </row>
    <row r="1263" spans="1:17">
      <c r="A1263" s="141"/>
      <c r="B1263" s="143"/>
      <c r="C1263" s="116" t="s">
        <v>55</v>
      </c>
      <c r="D1263" s="89"/>
      <c r="E1263" s="89"/>
      <c r="F1263" s="89"/>
      <c r="G1263" s="89"/>
      <c r="H1263" s="89"/>
      <c r="I1263" s="89"/>
      <c r="J1263" s="89"/>
      <c r="K1263" s="89"/>
      <c r="L1263" s="89"/>
      <c r="M1263" s="89"/>
      <c r="N1263" s="89"/>
      <c r="O1263" s="17"/>
      <c r="P1263" s="28"/>
      <c r="Q1263" s="20">
        <f t="shared" si="196"/>
        <v>0</v>
      </c>
    </row>
    <row r="1264" spans="1:17">
      <c r="A1264" s="141"/>
      <c r="B1264" s="143"/>
      <c r="C1264" s="116" t="s">
        <v>56</v>
      </c>
      <c r="D1264" s="89"/>
      <c r="E1264" s="89"/>
      <c r="F1264" s="89"/>
      <c r="G1264" s="89"/>
      <c r="H1264" s="89"/>
      <c r="I1264" s="89"/>
      <c r="J1264" s="89"/>
      <c r="K1264" s="89"/>
      <c r="L1264" s="89"/>
      <c r="M1264" s="89"/>
      <c r="N1264" s="89"/>
      <c r="O1264" s="17"/>
      <c r="P1264" s="28"/>
      <c r="Q1264" s="20">
        <f t="shared" si="196"/>
        <v>0</v>
      </c>
    </row>
    <row r="1265" spans="1:17">
      <c r="A1265" s="141"/>
      <c r="B1265" s="143"/>
      <c r="C1265" s="120" t="s">
        <v>61</v>
      </c>
      <c r="D1265" s="92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O1265" s="18"/>
      <c r="P1265" s="33"/>
      <c r="Q1265" s="22">
        <f t="shared" si="196"/>
        <v>0</v>
      </c>
    </row>
    <row r="1266" spans="1:17">
      <c r="A1266" s="141"/>
      <c r="B1266" s="156" t="s">
        <v>54</v>
      </c>
      <c r="C1266" s="157"/>
      <c r="D1266" s="56">
        <f>SUM(D1249:D1256)-SUM(D1260:D1261)</f>
        <v>0</v>
      </c>
      <c r="E1266" s="56">
        <f t="shared" ref="E1266:O1266" si="197">SUM(E1249:E1256)-SUM(E1260:E1261)</f>
        <v>0</v>
      </c>
      <c r="F1266" s="56">
        <f t="shared" si="197"/>
        <v>0</v>
      </c>
      <c r="G1266" s="56">
        <f>SUM(G1249:G1256)-SUM(G1260:G1261)</f>
        <v>0</v>
      </c>
      <c r="H1266" s="56">
        <f t="shared" si="197"/>
        <v>0</v>
      </c>
      <c r="I1266" s="56">
        <f t="shared" si="197"/>
        <v>0</v>
      </c>
      <c r="J1266" s="56">
        <f t="shared" si="197"/>
        <v>0</v>
      </c>
      <c r="K1266" s="56">
        <f t="shared" si="197"/>
        <v>0</v>
      </c>
      <c r="L1266" s="56">
        <f t="shared" si="197"/>
        <v>0</v>
      </c>
      <c r="M1266" s="56">
        <f t="shared" si="197"/>
        <v>0</v>
      </c>
      <c r="N1266" s="56">
        <f t="shared" si="197"/>
        <v>0</v>
      </c>
      <c r="O1266" s="57">
        <f t="shared" si="197"/>
        <v>0</v>
      </c>
      <c r="P1266" s="60">
        <f>SUM(P1249:P1256)-SUM(P1260:P1261)</f>
        <v>0</v>
      </c>
      <c r="Q1266" s="59">
        <f>SUM(D1266:P1266)</f>
        <v>0</v>
      </c>
    </row>
    <row r="1267" spans="1:17" ht="14.25" thickBot="1">
      <c r="A1267" s="142"/>
      <c r="B1267" s="147" t="s">
        <v>5</v>
      </c>
      <c r="C1267" s="148"/>
      <c r="D1267" s="42">
        <f>SUM(D1249:D1256)-SUM(D1257:D1261)+SUM(D1262:D1265)</f>
        <v>0</v>
      </c>
      <c r="E1267" s="42">
        <f>SUM(E1249:E1256)-SUM(E1257:E1261)+SUM(E1262:E1265)</f>
        <v>0</v>
      </c>
      <c r="F1267" s="42">
        <f t="shared" ref="F1267:O1267" si="198">SUM(F1249:F1256)-SUM(F1257:F1261)+SUM(F1262:F1265)</f>
        <v>0</v>
      </c>
      <c r="G1267" s="42">
        <f>SUM(G1249:G1256)-SUM(G1257:G1261)+SUM(G1262:G1265)</f>
        <v>0</v>
      </c>
      <c r="H1267" s="42">
        <f t="shared" si="198"/>
        <v>0</v>
      </c>
      <c r="I1267" s="42">
        <f t="shared" si="198"/>
        <v>0</v>
      </c>
      <c r="J1267" s="42">
        <f t="shared" si="198"/>
        <v>0</v>
      </c>
      <c r="K1267" s="42">
        <f t="shared" si="198"/>
        <v>0</v>
      </c>
      <c r="L1267" s="42">
        <f t="shared" si="198"/>
        <v>0</v>
      </c>
      <c r="M1267" s="42">
        <f t="shared" si="198"/>
        <v>0</v>
      </c>
      <c r="N1267" s="42">
        <f t="shared" si="198"/>
        <v>0</v>
      </c>
      <c r="O1267" s="43">
        <f t="shared" si="198"/>
        <v>0</v>
      </c>
      <c r="P1267" s="44">
        <f>SUM(P1249:P1256)-SUM(P1257:P1261)+SUM(P1262:P1265)</f>
        <v>0</v>
      </c>
      <c r="Q1267" s="46">
        <f t="shared" si="196"/>
        <v>0</v>
      </c>
    </row>
    <row r="1268" spans="1:17">
      <c r="A1268" s="140"/>
      <c r="B1268" s="158" t="s">
        <v>12</v>
      </c>
      <c r="C1268" s="114" t="s">
        <v>87</v>
      </c>
      <c r="D1268" s="87"/>
      <c r="E1268" s="87"/>
      <c r="F1268" s="87"/>
      <c r="G1268" s="87"/>
      <c r="H1268" s="87"/>
      <c r="I1268" s="87"/>
      <c r="J1268" s="87"/>
      <c r="K1268" s="87"/>
      <c r="L1268" s="87"/>
      <c r="M1268" s="87"/>
      <c r="N1268" s="87"/>
      <c r="O1268" s="78"/>
      <c r="P1268" s="30"/>
      <c r="Q1268" s="19">
        <f>SUM(D1268:P1268)</f>
        <v>0</v>
      </c>
    </row>
    <row r="1269" spans="1:17">
      <c r="A1269" s="141"/>
      <c r="B1269" s="154"/>
      <c r="C1269" s="115" t="s">
        <v>89</v>
      </c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1"/>
      <c r="P1269" s="31"/>
      <c r="Q1269" s="20">
        <f t="shared" ref="Q1269:Q1286" si="199">SUM(D1269:P1269)</f>
        <v>0</v>
      </c>
    </row>
    <row r="1270" spans="1:17">
      <c r="A1270" s="141"/>
      <c r="B1270" s="143"/>
      <c r="C1270" s="116" t="s">
        <v>88</v>
      </c>
      <c r="D1270" s="89"/>
      <c r="E1270" s="90"/>
      <c r="F1270" s="90"/>
      <c r="G1270" s="90"/>
      <c r="H1270" s="89"/>
      <c r="I1270" s="89"/>
      <c r="J1270" s="89"/>
      <c r="K1270" s="89"/>
      <c r="L1270" s="89"/>
      <c r="M1270" s="89"/>
      <c r="N1270" s="89"/>
      <c r="O1270" s="17"/>
      <c r="P1270" s="28"/>
      <c r="Q1270" s="20">
        <f t="shared" si="199"/>
        <v>0</v>
      </c>
    </row>
    <row r="1271" spans="1:17">
      <c r="A1271" s="141"/>
      <c r="B1271" s="143"/>
      <c r="C1271" s="117" t="s">
        <v>90</v>
      </c>
      <c r="D1271" s="91"/>
      <c r="E1271" s="89"/>
      <c r="F1271" s="89"/>
      <c r="G1271" s="91"/>
      <c r="H1271" s="91"/>
      <c r="I1271" s="91"/>
      <c r="J1271" s="91"/>
      <c r="K1271" s="91"/>
      <c r="L1271" s="91"/>
      <c r="M1271" s="91"/>
      <c r="N1271" s="91"/>
      <c r="O1271" s="80"/>
      <c r="P1271" s="32"/>
      <c r="Q1271" s="20">
        <f t="shared" si="199"/>
        <v>0</v>
      </c>
    </row>
    <row r="1272" spans="1:17">
      <c r="A1272" s="141"/>
      <c r="B1272" s="143"/>
      <c r="C1272" s="117" t="s">
        <v>91</v>
      </c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80"/>
      <c r="P1272" s="32"/>
      <c r="Q1272" s="20">
        <f t="shared" si="199"/>
        <v>0</v>
      </c>
    </row>
    <row r="1273" spans="1:17">
      <c r="A1273" s="141"/>
      <c r="B1273" s="143"/>
      <c r="C1273" s="117" t="s">
        <v>92</v>
      </c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1"/>
      <c r="O1273" s="80"/>
      <c r="P1273" s="32"/>
      <c r="Q1273" s="20">
        <f t="shared" si="199"/>
        <v>0</v>
      </c>
    </row>
    <row r="1274" spans="1:17">
      <c r="A1274" s="141"/>
      <c r="B1274" s="143"/>
      <c r="C1274" s="116" t="s">
        <v>93</v>
      </c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80"/>
      <c r="P1274" s="32"/>
      <c r="Q1274" s="20">
        <f t="shared" si="199"/>
        <v>0</v>
      </c>
    </row>
    <row r="1275" spans="1:17">
      <c r="A1275" s="141"/>
      <c r="B1275" s="143"/>
      <c r="C1275" s="118" t="s">
        <v>94</v>
      </c>
      <c r="D1275" s="92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O1275" s="18"/>
      <c r="P1275" s="33"/>
      <c r="Q1275" s="22">
        <f t="shared" si="199"/>
        <v>0</v>
      </c>
    </row>
    <row r="1276" spans="1:17">
      <c r="A1276" s="141"/>
      <c r="B1276" s="143" t="s">
        <v>11</v>
      </c>
      <c r="C1276" s="119" t="s">
        <v>7</v>
      </c>
      <c r="D1276" s="93"/>
      <c r="E1276" s="93"/>
      <c r="F1276" s="93"/>
      <c r="G1276" s="93"/>
      <c r="H1276" s="93"/>
      <c r="I1276" s="93"/>
      <c r="J1276" s="93"/>
      <c r="K1276" s="93"/>
      <c r="L1276" s="94"/>
      <c r="M1276" s="94"/>
      <c r="N1276" s="94"/>
      <c r="O1276" s="79"/>
      <c r="P1276" s="27"/>
      <c r="Q1276" s="21">
        <f t="shared" si="199"/>
        <v>0</v>
      </c>
    </row>
    <row r="1277" spans="1:17">
      <c r="A1277" s="141"/>
      <c r="B1277" s="143"/>
      <c r="C1277" s="117" t="s">
        <v>4</v>
      </c>
      <c r="D1277" s="95"/>
      <c r="E1277" s="95"/>
      <c r="F1277" s="95"/>
      <c r="G1277" s="95"/>
      <c r="H1277" s="95"/>
      <c r="I1277" s="95"/>
      <c r="J1277" s="95"/>
      <c r="K1277" s="95"/>
      <c r="L1277" s="91"/>
      <c r="M1277" s="91"/>
      <c r="N1277" s="91"/>
      <c r="O1277" s="80"/>
      <c r="P1277" s="32"/>
      <c r="Q1277" s="20">
        <f t="shared" si="199"/>
        <v>0</v>
      </c>
    </row>
    <row r="1278" spans="1:17">
      <c r="A1278" s="141"/>
      <c r="B1278" s="143"/>
      <c r="C1278" s="117" t="s">
        <v>17</v>
      </c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80"/>
      <c r="P1278" s="32"/>
      <c r="Q1278" s="20">
        <f t="shared" si="199"/>
        <v>0</v>
      </c>
    </row>
    <row r="1279" spans="1:17">
      <c r="A1279" s="141"/>
      <c r="B1279" s="143"/>
      <c r="C1279" s="117" t="s">
        <v>18</v>
      </c>
      <c r="D1279" s="90"/>
      <c r="E1279" s="90"/>
      <c r="F1279" s="90"/>
      <c r="G1279" s="90"/>
      <c r="H1279" s="91"/>
      <c r="I1279" s="91"/>
      <c r="J1279" s="91"/>
      <c r="K1279" s="91"/>
      <c r="L1279" s="91"/>
      <c r="M1279" s="91"/>
      <c r="N1279" s="91"/>
      <c r="O1279" s="80"/>
      <c r="P1279" s="32"/>
      <c r="Q1279" s="20">
        <f t="shared" si="199"/>
        <v>0</v>
      </c>
    </row>
    <row r="1280" spans="1:17">
      <c r="A1280" s="141"/>
      <c r="B1280" s="143"/>
      <c r="C1280" s="120" t="s">
        <v>19</v>
      </c>
      <c r="D1280" s="96"/>
      <c r="E1280" s="96"/>
      <c r="F1280" s="96"/>
      <c r="G1280" s="96"/>
      <c r="H1280" s="92"/>
      <c r="I1280" s="92"/>
      <c r="J1280" s="92"/>
      <c r="K1280" s="92"/>
      <c r="L1280" s="92"/>
      <c r="M1280" s="92"/>
      <c r="N1280" s="92"/>
      <c r="O1280" s="18"/>
      <c r="P1280" s="33"/>
      <c r="Q1280" s="22">
        <f t="shared" si="199"/>
        <v>0</v>
      </c>
    </row>
    <row r="1281" spans="1:17">
      <c r="A1281" s="141"/>
      <c r="B1281" s="143" t="s">
        <v>13</v>
      </c>
      <c r="C1281" s="119" t="s">
        <v>10</v>
      </c>
      <c r="D1281" s="94"/>
      <c r="E1281" s="94"/>
      <c r="F1281" s="94"/>
      <c r="G1281" s="94"/>
      <c r="H1281" s="94"/>
      <c r="I1281" s="94"/>
      <c r="J1281" s="94"/>
      <c r="K1281" s="94"/>
      <c r="L1281" s="94"/>
      <c r="M1281" s="94"/>
      <c r="N1281" s="94"/>
      <c r="O1281" s="79"/>
      <c r="P1281" s="27"/>
      <c r="Q1281" s="21">
        <f t="shared" si="199"/>
        <v>0</v>
      </c>
    </row>
    <row r="1282" spans="1:17">
      <c r="A1282" s="141"/>
      <c r="B1282" s="143"/>
      <c r="C1282" s="116" t="s">
        <v>55</v>
      </c>
      <c r="D1282" s="89"/>
      <c r="E1282" s="89"/>
      <c r="F1282" s="89"/>
      <c r="G1282" s="89"/>
      <c r="H1282" s="89"/>
      <c r="I1282" s="89"/>
      <c r="J1282" s="89"/>
      <c r="K1282" s="89"/>
      <c r="L1282" s="89"/>
      <c r="M1282" s="89"/>
      <c r="N1282" s="89"/>
      <c r="O1282" s="17"/>
      <c r="P1282" s="28"/>
      <c r="Q1282" s="20">
        <f t="shared" si="199"/>
        <v>0</v>
      </c>
    </row>
    <row r="1283" spans="1:17">
      <c r="A1283" s="141"/>
      <c r="B1283" s="143"/>
      <c r="C1283" s="116" t="s">
        <v>56</v>
      </c>
      <c r="D1283" s="89"/>
      <c r="E1283" s="89"/>
      <c r="F1283" s="89"/>
      <c r="G1283" s="89"/>
      <c r="H1283" s="89"/>
      <c r="I1283" s="89"/>
      <c r="J1283" s="89"/>
      <c r="K1283" s="89"/>
      <c r="L1283" s="89"/>
      <c r="M1283" s="89"/>
      <c r="N1283" s="89"/>
      <c r="O1283" s="17"/>
      <c r="P1283" s="28"/>
      <c r="Q1283" s="20">
        <f t="shared" si="199"/>
        <v>0</v>
      </c>
    </row>
    <row r="1284" spans="1:17">
      <c r="A1284" s="141"/>
      <c r="B1284" s="143"/>
      <c r="C1284" s="120" t="s">
        <v>61</v>
      </c>
      <c r="D1284" s="92"/>
      <c r="E1284" s="92"/>
      <c r="F1284" s="92"/>
      <c r="G1284" s="92"/>
      <c r="H1284" s="92"/>
      <c r="I1284" s="92"/>
      <c r="J1284" s="92"/>
      <c r="K1284" s="92"/>
      <c r="L1284" s="92"/>
      <c r="M1284" s="92"/>
      <c r="N1284" s="92"/>
      <c r="O1284" s="18"/>
      <c r="P1284" s="33"/>
      <c r="Q1284" s="22">
        <f t="shared" si="199"/>
        <v>0</v>
      </c>
    </row>
    <row r="1285" spans="1:17">
      <c r="A1285" s="141"/>
      <c r="B1285" s="156" t="s">
        <v>54</v>
      </c>
      <c r="C1285" s="157"/>
      <c r="D1285" s="56">
        <f>SUM(D1268:D1275)-SUM(D1279:D1280)</f>
        <v>0</v>
      </c>
      <c r="E1285" s="56">
        <f t="shared" ref="E1285:O1285" si="200">SUM(E1268:E1275)-SUM(E1279:E1280)</f>
        <v>0</v>
      </c>
      <c r="F1285" s="56">
        <f t="shared" si="200"/>
        <v>0</v>
      </c>
      <c r="G1285" s="56">
        <f>SUM(G1268:G1275)-SUM(G1279:G1280)</f>
        <v>0</v>
      </c>
      <c r="H1285" s="56">
        <f t="shared" si="200"/>
        <v>0</v>
      </c>
      <c r="I1285" s="56">
        <f t="shared" si="200"/>
        <v>0</v>
      </c>
      <c r="J1285" s="56">
        <f t="shared" si="200"/>
        <v>0</v>
      </c>
      <c r="K1285" s="56">
        <f t="shared" si="200"/>
        <v>0</v>
      </c>
      <c r="L1285" s="56">
        <f t="shared" si="200"/>
        <v>0</v>
      </c>
      <c r="M1285" s="56">
        <f t="shared" si="200"/>
        <v>0</v>
      </c>
      <c r="N1285" s="56">
        <f t="shared" si="200"/>
        <v>0</v>
      </c>
      <c r="O1285" s="57">
        <f t="shared" si="200"/>
        <v>0</v>
      </c>
      <c r="P1285" s="60">
        <f>SUM(P1268:P1275)-SUM(P1279:P1280)</f>
        <v>0</v>
      </c>
      <c r="Q1285" s="59">
        <f>SUM(D1285:P1285)</f>
        <v>0</v>
      </c>
    </row>
    <row r="1286" spans="1:17" ht="14.25" thickBot="1">
      <c r="A1286" s="142"/>
      <c r="B1286" s="147" t="s">
        <v>5</v>
      </c>
      <c r="C1286" s="148"/>
      <c r="D1286" s="42">
        <f>SUM(D1268:D1275)-SUM(D1276:D1280)+SUM(D1281:D1284)</f>
        <v>0</v>
      </c>
      <c r="E1286" s="42">
        <f>SUM(E1268:E1275)-SUM(E1276:E1280)+SUM(E1281:E1284)</f>
        <v>0</v>
      </c>
      <c r="F1286" s="42">
        <f t="shared" ref="F1286:O1286" si="201">SUM(F1268:F1275)-SUM(F1276:F1280)+SUM(F1281:F1284)</f>
        <v>0</v>
      </c>
      <c r="G1286" s="42">
        <f>SUM(G1268:G1275)-SUM(G1276:G1280)+SUM(G1281:G1284)</f>
        <v>0</v>
      </c>
      <c r="H1286" s="42">
        <f t="shared" si="201"/>
        <v>0</v>
      </c>
      <c r="I1286" s="42">
        <f t="shared" si="201"/>
        <v>0</v>
      </c>
      <c r="J1286" s="42">
        <f t="shared" si="201"/>
        <v>0</v>
      </c>
      <c r="K1286" s="42">
        <f t="shared" si="201"/>
        <v>0</v>
      </c>
      <c r="L1286" s="42">
        <f t="shared" si="201"/>
        <v>0</v>
      </c>
      <c r="M1286" s="42">
        <f t="shared" si="201"/>
        <v>0</v>
      </c>
      <c r="N1286" s="42">
        <f t="shared" si="201"/>
        <v>0</v>
      </c>
      <c r="O1286" s="43">
        <f t="shared" si="201"/>
        <v>0</v>
      </c>
      <c r="P1286" s="44">
        <f>SUM(P1268:P1275)-SUM(P1276:P1280)+SUM(P1281:P1284)</f>
        <v>0</v>
      </c>
      <c r="Q1286" s="46">
        <f t="shared" si="199"/>
        <v>0</v>
      </c>
    </row>
    <row r="1287" spans="1:17">
      <c r="A1287" s="140"/>
      <c r="B1287" s="158" t="s">
        <v>12</v>
      </c>
      <c r="C1287" s="114" t="s">
        <v>87</v>
      </c>
      <c r="D1287" s="87"/>
      <c r="E1287" s="87"/>
      <c r="F1287" s="87"/>
      <c r="G1287" s="87"/>
      <c r="H1287" s="87"/>
      <c r="I1287" s="87"/>
      <c r="J1287" s="87"/>
      <c r="K1287" s="87"/>
      <c r="L1287" s="87"/>
      <c r="M1287" s="87"/>
      <c r="N1287" s="87"/>
      <c r="O1287" s="78"/>
      <c r="P1287" s="30"/>
      <c r="Q1287" s="19">
        <f>SUM(D1287:P1287)</f>
        <v>0</v>
      </c>
    </row>
    <row r="1288" spans="1:17">
      <c r="A1288" s="141"/>
      <c r="B1288" s="154"/>
      <c r="C1288" s="115" t="s">
        <v>89</v>
      </c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1"/>
      <c r="P1288" s="31"/>
      <c r="Q1288" s="20">
        <f t="shared" ref="Q1288:Q1305" si="202">SUM(D1288:P1288)</f>
        <v>0</v>
      </c>
    </row>
    <row r="1289" spans="1:17">
      <c r="A1289" s="141"/>
      <c r="B1289" s="143"/>
      <c r="C1289" s="116" t="s">
        <v>88</v>
      </c>
      <c r="D1289" s="89"/>
      <c r="E1289" s="90"/>
      <c r="F1289" s="90"/>
      <c r="G1289" s="90"/>
      <c r="H1289" s="89"/>
      <c r="I1289" s="89"/>
      <c r="J1289" s="89"/>
      <c r="K1289" s="89"/>
      <c r="L1289" s="89"/>
      <c r="M1289" s="89"/>
      <c r="N1289" s="89"/>
      <c r="O1289" s="17"/>
      <c r="P1289" s="28"/>
      <c r="Q1289" s="20">
        <f t="shared" si="202"/>
        <v>0</v>
      </c>
    </row>
    <row r="1290" spans="1:17">
      <c r="A1290" s="141"/>
      <c r="B1290" s="143"/>
      <c r="C1290" s="117" t="s">
        <v>90</v>
      </c>
      <c r="D1290" s="91"/>
      <c r="E1290" s="89"/>
      <c r="F1290" s="89"/>
      <c r="G1290" s="91"/>
      <c r="H1290" s="91"/>
      <c r="I1290" s="91"/>
      <c r="J1290" s="91"/>
      <c r="K1290" s="91"/>
      <c r="L1290" s="91"/>
      <c r="M1290" s="91"/>
      <c r="N1290" s="91"/>
      <c r="O1290" s="80"/>
      <c r="P1290" s="32"/>
      <c r="Q1290" s="20">
        <f t="shared" si="202"/>
        <v>0</v>
      </c>
    </row>
    <row r="1291" spans="1:17">
      <c r="A1291" s="141"/>
      <c r="B1291" s="143"/>
      <c r="C1291" s="117" t="s">
        <v>91</v>
      </c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80"/>
      <c r="P1291" s="32"/>
      <c r="Q1291" s="20">
        <f t="shared" si="202"/>
        <v>0</v>
      </c>
    </row>
    <row r="1292" spans="1:17">
      <c r="A1292" s="141"/>
      <c r="B1292" s="143"/>
      <c r="C1292" s="117" t="s">
        <v>92</v>
      </c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80"/>
      <c r="P1292" s="32"/>
      <c r="Q1292" s="20">
        <f t="shared" si="202"/>
        <v>0</v>
      </c>
    </row>
    <row r="1293" spans="1:17">
      <c r="A1293" s="141"/>
      <c r="B1293" s="143"/>
      <c r="C1293" s="116" t="s">
        <v>93</v>
      </c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1"/>
      <c r="O1293" s="80"/>
      <c r="P1293" s="32"/>
      <c r="Q1293" s="20">
        <f t="shared" si="202"/>
        <v>0</v>
      </c>
    </row>
    <row r="1294" spans="1:17">
      <c r="A1294" s="141"/>
      <c r="B1294" s="143"/>
      <c r="C1294" s="118" t="s">
        <v>94</v>
      </c>
      <c r="D1294" s="92"/>
      <c r="E1294" s="92"/>
      <c r="F1294" s="92"/>
      <c r="G1294" s="92"/>
      <c r="H1294" s="92"/>
      <c r="I1294" s="92"/>
      <c r="J1294" s="92"/>
      <c r="K1294" s="92"/>
      <c r="L1294" s="92"/>
      <c r="M1294" s="92"/>
      <c r="N1294" s="92"/>
      <c r="O1294" s="18"/>
      <c r="P1294" s="33"/>
      <c r="Q1294" s="22">
        <f t="shared" si="202"/>
        <v>0</v>
      </c>
    </row>
    <row r="1295" spans="1:17">
      <c r="A1295" s="141"/>
      <c r="B1295" s="143" t="s">
        <v>11</v>
      </c>
      <c r="C1295" s="119" t="s">
        <v>7</v>
      </c>
      <c r="D1295" s="93"/>
      <c r="E1295" s="93"/>
      <c r="F1295" s="93"/>
      <c r="G1295" s="93"/>
      <c r="H1295" s="93"/>
      <c r="I1295" s="93"/>
      <c r="J1295" s="93"/>
      <c r="K1295" s="93"/>
      <c r="L1295" s="94"/>
      <c r="M1295" s="94"/>
      <c r="N1295" s="94"/>
      <c r="O1295" s="79"/>
      <c r="P1295" s="27"/>
      <c r="Q1295" s="21">
        <f t="shared" si="202"/>
        <v>0</v>
      </c>
    </row>
    <row r="1296" spans="1:17">
      <c r="A1296" s="141"/>
      <c r="B1296" s="143"/>
      <c r="C1296" s="117" t="s">
        <v>4</v>
      </c>
      <c r="D1296" s="95"/>
      <c r="E1296" s="95"/>
      <c r="F1296" s="95"/>
      <c r="G1296" s="95"/>
      <c r="H1296" s="95"/>
      <c r="I1296" s="95"/>
      <c r="J1296" s="95"/>
      <c r="K1296" s="95"/>
      <c r="L1296" s="91"/>
      <c r="M1296" s="91"/>
      <c r="N1296" s="91"/>
      <c r="O1296" s="80"/>
      <c r="P1296" s="32"/>
      <c r="Q1296" s="20">
        <f t="shared" si="202"/>
        <v>0</v>
      </c>
    </row>
    <row r="1297" spans="1:17">
      <c r="A1297" s="141"/>
      <c r="B1297" s="143"/>
      <c r="C1297" s="117" t="s">
        <v>17</v>
      </c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1"/>
      <c r="O1297" s="80"/>
      <c r="P1297" s="32"/>
      <c r="Q1297" s="20">
        <f t="shared" si="202"/>
        <v>0</v>
      </c>
    </row>
    <row r="1298" spans="1:17">
      <c r="A1298" s="141"/>
      <c r="B1298" s="143"/>
      <c r="C1298" s="117" t="s">
        <v>18</v>
      </c>
      <c r="D1298" s="90"/>
      <c r="E1298" s="90"/>
      <c r="F1298" s="90"/>
      <c r="G1298" s="90"/>
      <c r="H1298" s="91"/>
      <c r="I1298" s="91"/>
      <c r="J1298" s="91"/>
      <c r="K1298" s="91"/>
      <c r="L1298" s="91"/>
      <c r="M1298" s="91"/>
      <c r="N1298" s="91"/>
      <c r="O1298" s="80"/>
      <c r="P1298" s="32"/>
      <c r="Q1298" s="20">
        <f t="shared" si="202"/>
        <v>0</v>
      </c>
    </row>
    <row r="1299" spans="1:17">
      <c r="A1299" s="141"/>
      <c r="B1299" s="143"/>
      <c r="C1299" s="120" t="s">
        <v>19</v>
      </c>
      <c r="D1299" s="96"/>
      <c r="E1299" s="96"/>
      <c r="F1299" s="96"/>
      <c r="G1299" s="96"/>
      <c r="H1299" s="92"/>
      <c r="I1299" s="92"/>
      <c r="J1299" s="92"/>
      <c r="K1299" s="92"/>
      <c r="L1299" s="92"/>
      <c r="M1299" s="92"/>
      <c r="N1299" s="92"/>
      <c r="O1299" s="18"/>
      <c r="P1299" s="33"/>
      <c r="Q1299" s="22">
        <f t="shared" si="202"/>
        <v>0</v>
      </c>
    </row>
    <row r="1300" spans="1:17">
      <c r="A1300" s="141"/>
      <c r="B1300" s="143" t="s">
        <v>13</v>
      </c>
      <c r="C1300" s="119" t="s">
        <v>10</v>
      </c>
      <c r="D1300" s="94"/>
      <c r="E1300" s="94"/>
      <c r="F1300" s="94"/>
      <c r="G1300" s="94"/>
      <c r="H1300" s="94"/>
      <c r="I1300" s="94"/>
      <c r="J1300" s="94"/>
      <c r="K1300" s="94"/>
      <c r="L1300" s="94"/>
      <c r="M1300" s="94"/>
      <c r="N1300" s="94"/>
      <c r="O1300" s="79"/>
      <c r="P1300" s="27"/>
      <c r="Q1300" s="21">
        <f t="shared" si="202"/>
        <v>0</v>
      </c>
    </row>
    <row r="1301" spans="1:17">
      <c r="A1301" s="141"/>
      <c r="B1301" s="143"/>
      <c r="C1301" s="116" t="s">
        <v>55</v>
      </c>
      <c r="D1301" s="89"/>
      <c r="E1301" s="89"/>
      <c r="F1301" s="89"/>
      <c r="G1301" s="89"/>
      <c r="H1301" s="89"/>
      <c r="I1301" s="89"/>
      <c r="J1301" s="89"/>
      <c r="K1301" s="89"/>
      <c r="L1301" s="89"/>
      <c r="M1301" s="89"/>
      <c r="N1301" s="89"/>
      <c r="O1301" s="17"/>
      <c r="P1301" s="28"/>
      <c r="Q1301" s="20">
        <f t="shared" si="202"/>
        <v>0</v>
      </c>
    </row>
    <row r="1302" spans="1:17">
      <c r="A1302" s="141"/>
      <c r="B1302" s="143"/>
      <c r="C1302" s="116" t="s">
        <v>56</v>
      </c>
      <c r="D1302" s="89"/>
      <c r="E1302" s="89"/>
      <c r="F1302" s="89"/>
      <c r="G1302" s="89"/>
      <c r="H1302" s="89"/>
      <c r="I1302" s="89"/>
      <c r="J1302" s="89"/>
      <c r="K1302" s="89"/>
      <c r="L1302" s="89"/>
      <c r="M1302" s="89"/>
      <c r="N1302" s="89"/>
      <c r="O1302" s="17"/>
      <c r="P1302" s="28"/>
      <c r="Q1302" s="20">
        <f t="shared" si="202"/>
        <v>0</v>
      </c>
    </row>
    <row r="1303" spans="1:17">
      <c r="A1303" s="141"/>
      <c r="B1303" s="143"/>
      <c r="C1303" s="120" t="s">
        <v>61</v>
      </c>
      <c r="D1303" s="92"/>
      <c r="E1303" s="92"/>
      <c r="F1303" s="92"/>
      <c r="G1303" s="92"/>
      <c r="H1303" s="92"/>
      <c r="I1303" s="92"/>
      <c r="J1303" s="92"/>
      <c r="K1303" s="92"/>
      <c r="L1303" s="92"/>
      <c r="M1303" s="92"/>
      <c r="N1303" s="92"/>
      <c r="O1303" s="18"/>
      <c r="P1303" s="33"/>
      <c r="Q1303" s="22">
        <f t="shared" si="202"/>
        <v>0</v>
      </c>
    </row>
    <row r="1304" spans="1:17">
      <c r="A1304" s="141"/>
      <c r="B1304" s="156" t="s">
        <v>54</v>
      </c>
      <c r="C1304" s="157"/>
      <c r="D1304" s="56">
        <f>SUM(D1287:D1294)-SUM(D1298:D1299)</f>
        <v>0</v>
      </c>
      <c r="E1304" s="56">
        <f t="shared" ref="E1304:O1304" si="203">SUM(E1287:E1294)-SUM(E1298:E1299)</f>
        <v>0</v>
      </c>
      <c r="F1304" s="56">
        <f t="shared" si="203"/>
        <v>0</v>
      </c>
      <c r="G1304" s="56">
        <f>SUM(G1287:G1294)-SUM(G1298:G1299)</f>
        <v>0</v>
      </c>
      <c r="H1304" s="56">
        <f t="shared" si="203"/>
        <v>0</v>
      </c>
      <c r="I1304" s="56">
        <f t="shared" si="203"/>
        <v>0</v>
      </c>
      <c r="J1304" s="56">
        <f t="shared" si="203"/>
        <v>0</v>
      </c>
      <c r="K1304" s="56">
        <f t="shared" si="203"/>
        <v>0</v>
      </c>
      <c r="L1304" s="56">
        <f t="shared" si="203"/>
        <v>0</v>
      </c>
      <c r="M1304" s="56">
        <f t="shared" si="203"/>
        <v>0</v>
      </c>
      <c r="N1304" s="56">
        <f t="shared" si="203"/>
        <v>0</v>
      </c>
      <c r="O1304" s="57">
        <f t="shared" si="203"/>
        <v>0</v>
      </c>
      <c r="P1304" s="60">
        <f>SUM(P1287:P1294)-SUM(P1298:P1299)</f>
        <v>0</v>
      </c>
      <c r="Q1304" s="59">
        <f>SUM(D1304:P1304)</f>
        <v>0</v>
      </c>
    </row>
    <row r="1305" spans="1:17" ht="14.25" thickBot="1">
      <c r="A1305" s="142"/>
      <c r="B1305" s="147" t="s">
        <v>5</v>
      </c>
      <c r="C1305" s="148"/>
      <c r="D1305" s="42">
        <f>SUM(D1287:D1294)-SUM(D1295:D1299)+SUM(D1300:D1303)</f>
        <v>0</v>
      </c>
      <c r="E1305" s="42">
        <f>SUM(E1287:E1294)-SUM(E1295:E1299)+SUM(E1300:E1303)</f>
        <v>0</v>
      </c>
      <c r="F1305" s="42">
        <f t="shared" ref="F1305:O1305" si="204">SUM(F1287:F1294)-SUM(F1295:F1299)+SUM(F1300:F1303)</f>
        <v>0</v>
      </c>
      <c r="G1305" s="42">
        <f>SUM(G1287:G1294)-SUM(G1295:G1299)+SUM(G1300:G1303)</f>
        <v>0</v>
      </c>
      <c r="H1305" s="42">
        <f t="shared" si="204"/>
        <v>0</v>
      </c>
      <c r="I1305" s="42">
        <f t="shared" si="204"/>
        <v>0</v>
      </c>
      <c r="J1305" s="42">
        <f t="shared" si="204"/>
        <v>0</v>
      </c>
      <c r="K1305" s="42">
        <f t="shared" si="204"/>
        <v>0</v>
      </c>
      <c r="L1305" s="42">
        <f t="shared" si="204"/>
        <v>0</v>
      </c>
      <c r="M1305" s="42">
        <f t="shared" si="204"/>
        <v>0</v>
      </c>
      <c r="N1305" s="42">
        <f t="shared" si="204"/>
        <v>0</v>
      </c>
      <c r="O1305" s="43">
        <f t="shared" si="204"/>
        <v>0</v>
      </c>
      <c r="P1305" s="44">
        <f>SUM(P1287:P1294)-SUM(P1295:P1299)+SUM(P1300:P1303)</f>
        <v>0</v>
      </c>
      <c r="Q1305" s="46">
        <f t="shared" si="202"/>
        <v>0</v>
      </c>
    </row>
    <row r="1306" spans="1:17">
      <c r="A1306" s="149">
        <v>444</v>
      </c>
      <c r="B1306" s="152" t="s">
        <v>12</v>
      </c>
      <c r="C1306" s="114" t="s">
        <v>84</v>
      </c>
      <c r="D1306" s="87">
        <v>950</v>
      </c>
      <c r="E1306" s="87"/>
      <c r="F1306" s="87"/>
      <c r="G1306" s="87"/>
      <c r="H1306" s="87"/>
      <c r="I1306" s="87"/>
      <c r="J1306" s="87"/>
      <c r="K1306" s="87"/>
      <c r="L1306" s="87"/>
      <c r="M1306" s="87"/>
      <c r="N1306" s="87"/>
      <c r="O1306" s="87"/>
      <c r="P1306" s="30"/>
      <c r="Q1306" s="19">
        <f t="shared" ref="Q1306:Q3167" si="205">SUM(P1306:P1306)</f>
        <v>0</v>
      </c>
    </row>
    <row r="1307" spans="1:17">
      <c r="A1307" s="150"/>
      <c r="B1307" s="153"/>
      <c r="C1307" s="115" t="s">
        <v>85</v>
      </c>
      <c r="D1307" s="97">
        <v>10</v>
      </c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28"/>
      <c r="Q1307" s="20">
        <f t="shared" si="205"/>
        <v>0</v>
      </c>
    </row>
    <row r="1308" spans="1:17">
      <c r="A1308" s="150"/>
      <c r="B1308" s="153"/>
      <c r="C1308" s="116" t="s">
        <v>86</v>
      </c>
      <c r="D1308" s="91">
        <f>D1306*D1307</f>
        <v>9500</v>
      </c>
      <c r="E1308" s="91">
        <f>E1306*E1307</f>
        <v>0</v>
      </c>
      <c r="F1308" s="91">
        <f>F1306*F1307</f>
        <v>0</v>
      </c>
      <c r="G1308" s="91">
        <f>G1306*G1307</f>
        <v>0</v>
      </c>
      <c r="H1308" s="91">
        <f>H1306*H1307</f>
        <v>0</v>
      </c>
      <c r="I1308" s="91">
        <f t="shared" ref="I1308:O1308" si="206">I1306*I1307</f>
        <v>0</v>
      </c>
      <c r="J1308" s="91">
        <f t="shared" si="206"/>
        <v>0</v>
      </c>
      <c r="K1308" s="91">
        <f t="shared" si="206"/>
        <v>0</v>
      </c>
      <c r="L1308" s="91">
        <f t="shared" si="206"/>
        <v>0</v>
      </c>
      <c r="M1308" s="91">
        <f t="shared" si="206"/>
        <v>0</v>
      </c>
      <c r="N1308" s="91">
        <f t="shared" si="206"/>
        <v>0</v>
      </c>
      <c r="O1308" s="91">
        <f t="shared" si="206"/>
        <v>0</v>
      </c>
      <c r="P1308" s="32"/>
      <c r="Q1308" s="20">
        <f t="shared" si="205"/>
        <v>0</v>
      </c>
    </row>
    <row r="1309" spans="1:17">
      <c r="A1309" s="150"/>
      <c r="B1309" s="153"/>
      <c r="C1309" s="117" t="s">
        <v>9</v>
      </c>
      <c r="D1309" s="91">
        <v>5</v>
      </c>
      <c r="E1309" s="91"/>
      <c r="F1309" s="91"/>
      <c r="G1309" s="91"/>
      <c r="H1309" s="91"/>
      <c r="I1309" s="91"/>
      <c r="J1309" s="91"/>
      <c r="K1309" s="91"/>
      <c r="L1309" s="91"/>
      <c r="M1309" s="91"/>
      <c r="N1309" s="91"/>
      <c r="O1309" s="91"/>
      <c r="P1309" s="32"/>
      <c r="Q1309" s="20">
        <f t="shared" si="205"/>
        <v>0</v>
      </c>
    </row>
    <row r="1310" spans="1:17">
      <c r="A1310" s="150"/>
      <c r="B1310" s="153"/>
      <c r="C1310" s="117" t="s">
        <v>38</v>
      </c>
      <c r="D1310" s="89">
        <v>5</v>
      </c>
      <c r="E1310" s="89"/>
      <c r="F1310" s="89"/>
      <c r="G1310" s="89"/>
      <c r="H1310" s="89"/>
      <c r="I1310" s="89"/>
      <c r="J1310" s="89"/>
      <c r="K1310" s="89"/>
      <c r="L1310" s="89"/>
      <c r="M1310" s="89"/>
      <c r="N1310" s="89"/>
      <c r="O1310" s="89"/>
      <c r="P1310" s="28"/>
      <c r="Q1310" s="20">
        <f t="shared" si="205"/>
        <v>0</v>
      </c>
    </row>
    <row r="1311" spans="1:17">
      <c r="A1311" s="150"/>
      <c r="B1311" s="153"/>
      <c r="C1311" s="62"/>
      <c r="D1311" s="91">
        <v>55</v>
      </c>
      <c r="E1311" s="91"/>
      <c r="F1311" s="91"/>
      <c r="G1311" s="91"/>
      <c r="H1311" s="91"/>
      <c r="I1311" s="91"/>
      <c r="J1311" s="91"/>
      <c r="K1311" s="91"/>
      <c r="L1311" s="91"/>
      <c r="M1311" s="91"/>
      <c r="N1311" s="91"/>
      <c r="O1311" s="91"/>
      <c r="P1311" s="32"/>
      <c r="Q1311" s="20">
        <f t="shared" si="205"/>
        <v>0</v>
      </c>
    </row>
    <row r="1312" spans="1:17">
      <c r="A1312" s="150"/>
      <c r="B1312" s="154"/>
      <c r="C1312" s="6" t="s">
        <v>42</v>
      </c>
      <c r="D1312" s="92">
        <v>5</v>
      </c>
      <c r="E1312" s="92"/>
      <c r="F1312" s="92"/>
      <c r="G1312" s="92"/>
      <c r="H1312" s="92"/>
      <c r="I1312" s="92"/>
      <c r="J1312" s="92"/>
      <c r="K1312" s="92"/>
      <c r="L1312" s="92"/>
      <c r="M1312" s="92"/>
      <c r="N1312" s="92"/>
      <c r="O1312" s="92"/>
      <c r="P1312" s="33"/>
      <c r="Q1312" s="22">
        <f t="shared" si="205"/>
        <v>0</v>
      </c>
    </row>
    <row r="1313" spans="1:17">
      <c r="A1313" s="150"/>
      <c r="B1313" s="155" t="s">
        <v>11</v>
      </c>
      <c r="C1313" s="5" t="s">
        <v>7</v>
      </c>
      <c r="D1313" s="94">
        <v>63</v>
      </c>
      <c r="E1313" s="94"/>
      <c r="F1313" s="94"/>
      <c r="G1313" s="94"/>
      <c r="H1313" s="94"/>
      <c r="I1313" s="94"/>
      <c r="J1313" s="94"/>
      <c r="K1313" s="94"/>
      <c r="L1313" s="94"/>
      <c r="M1313" s="94"/>
      <c r="N1313" s="94"/>
      <c r="O1313" s="94"/>
      <c r="P1313" s="27"/>
      <c r="Q1313" s="21">
        <f t="shared" si="205"/>
        <v>0</v>
      </c>
    </row>
    <row r="1314" spans="1:17">
      <c r="A1314" s="150"/>
      <c r="B1314" s="153"/>
      <c r="C1314" s="6" t="s">
        <v>4</v>
      </c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91"/>
      <c r="O1314" s="91"/>
      <c r="P1314" s="32"/>
      <c r="Q1314" s="20">
        <f t="shared" si="205"/>
        <v>0</v>
      </c>
    </row>
    <row r="1315" spans="1:17">
      <c r="A1315" s="150"/>
      <c r="B1315" s="153"/>
      <c r="C1315" s="6" t="s">
        <v>17</v>
      </c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91"/>
      <c r="O1315" s="91"/>
      <c r="P1315" s="32"/>
      <c r="Q1315" s="20">
        <f t="shared" si="205"/>
        <v>0</v>
      </c>
    </row>
    <row r="1316" spans="1:17">
      <c r="A1316" s="150"/>
      <c r="B1316" s="153"/>
      <c r="C1316" s="6" t="s">
        <v>18</v>
      </c>
      <c r="D1316" s="91">
        <v>99</v>
      </c>
      <c r="E1316" s="91"/>
      <c r="F1316" s="91"/>
      <c r="G1316" s="91"/>
      <c r="H1316" s="91"/>
      <c r="I1316" s="91"/>
      <c r="J1316" s="91"/>
      <c r="K1316" s="91"/>
      <c r="L1316" s="91"/>
      <c r="M1316" s="91"/>
      <c r="N1316" s="91"/>
      <c r="O1316" s="91"/>
      <c r="P1316" s="32"/>
      <c r="Q1316" s="20">
        <f t="shared" si="205"/>
        <v>0</v>
      </c>
    </row>
    <row r="1317" spans="1:17">
      <c r="A1317" s="150"/>
      <c r="B1317" s="153"/>
      <c r="C1317" s="6" t="s">
        <v>60</v>
      </c>
      <c r="D1317" s="91"/>
      <c r="E1317" s="91"/>
      <c r="F1317" s="91"/>
      <c r="G1317" s="91"/>
      <c r="H1317" s="91"/>
      <c r="I1317" s="91"/>
      <c r="J1317" s="91"/>
      <c r="K1317" s="91"/>
      <c r="L1317" s="91"/>
      <c r="M1317" s="91"/>
      <c r="N1317" s="91"/>
      <c r="O1317" s="91"/>
      <c r="P1317" s="32"/>
      <c r="Q1317" s="20">
        <f t="shared" si="205"/>
        <v>0</v>
      </c>
    </row>
    <row r="1318" spans="1:17">
      <c r="A1318" s="150"/>
      <c r="B1318" s="155" t="s">
        <v>13</v>
      </c>
      <c r="C1318" s="5" t="s">
        <v>10</v>
      </c>
      <c r="D1318" s="94"/>
      <c r="E1318" s="94"/>
      <c r="F1318" s="94"/>
      <c r="G1318" s="94"/>
      <c r="H1318" s="94"/>
      <c r="I1318" s="94"/>
      <c r="J1318" s="94"/>
      <c r="K1318" s="94"/>
      <c r="L1318" s="94"/>
      <c r="M1318" s="94"/>
      <c r="N1318" s="94"/>
      <c r="O1318" s="94"/>
      <c r="P1318" s="27"/>
      <c r="Q1318" s="21">
        <f t="shared" si="205"/>
        <v>0</v>
      </c>
    </row>
    <row r="1319" spans="1:17">
      <c r="A1319" s="150"/>
      <c r="B1319" s="153"/>
      <c r="C1319" s="116" t="s">
        <v>55</v>
      </c>
      <c r="D1319" s="89"/>
      <c r="E1319" s="89"/>
      <c r="F1319" s="89"/>
      <c r="G1319" s="89"/>
      <c r="H1319" s="89"/>
      <c r="I1319" s="89"/>
      <c r="J1319" s="89"/>
      <c r="K1319" s="89"/>
      <c r="L1319" s="89"/>
      <c r="M1319" s="89"/>
      <c r="N1319" s="89"/>
      <c r="O1319" s="89"/>
      <c r="P1319" s="28"/>
      <c r="Q1319" s="20">
        <f t="shared" si="205"/>
        <v>0</v>
      </c>
    </row>
    <row r="1320" spans="1:17">
      <c r="A1320" s="150"/>
      <c r="B1320" s="153"/>
      <c r="C1320" s="8" t="s">
        <v>56</v>
      </c>
      <c r="D1320" s="89">
        <v>666</v>
      </c>
      <c r="E1320" s="89"/>
      <c r="F1320" s="89"/>
      <c r="G1320" s="89"/>
      <c r="H1320" s="89"/>
      <c r="I1320" s="89"/>
      <c r="J1320" s="89"/>
      <c r="K1320" s="89"/>
      <c r="L1320" s="89"/>
      <c r="M1320" s="89"/>
      <c r="N1320" s="89"/>
      <c r="O1320" s="89"/>
      <c r="P1320" s="28"/>
      <c r="Q1320" s="20">
        <f t="shared" si="205"/>
        <v>0</v>
      </c>
    </row>
    <row r="1321" spans="1:17">
      <c r="A1321" s="150"/>
      <c r="B1321" s="154"/>
      <c r="C1321" s="4" t="s">
        <v>61</v>
      </c>
      <c r="D1321" s="92"/>
      <c r="E1321" s="92"/>
      <c r="F1321" s="92"/>
      <c r="G1321" s="92"/>
      <c r="H1321" s="92"/>
      <c r="I1321" s="92"/>
      <c r="J1321" s="92"/>
      <c r="K1321" s="92"/>
      <c r="L1321" s="92"/>
      <c r="M1321" s="92"/>
      <c r="N1321" s="92"/>
      <c r="O1321" s="92"/>
      <c r="P1321" s="33"/>
      <c r="Q1321" s="22">
        <f t="shared" si="205"/>
        <v>0</v>
      </c>
    </row>
    <row r="1322" spans="1:17">
      <c r="A1322" s="150"/>
      <c r="B1322" s="156" t="s">
        <v>54</v>
      </c>
      <c r="C1322" s="157"/>
      <c r="D1322" s="56">
        <f t="shared" ref="D1322:O1322" si="207">SUM(D1308:D1312)-SUM(D1316:D1317)</f>
        <v>9471</v>
      </c>
      <c r="E1322" s="56">
        <f t="shared" si="207"/>
        <v>0</v>
      </c>
      <c r="F1322" s="56">
        <f t="shared" si="207"/>
        <v>0</v>
      </c>
      <c r="G1322" s="56">
        <f t="shared" si="207"/>
        <v>0</v>
      </c>
      <c r="H1322" s="56">
        <f t="shared" si="207"/>
        <v>0</v>
      </c>
      <c r="I1322" s="56">
        <f t="shared" si="207"/>
        <v>0</v>
      </c>
      <c r="J1322" s="56">
        <f t="shared" si="207"/>
        <v>0</v>
      </c>
      <c r="K1322" s="56">
        <f t="shared" si="207"/>
        <v>0</v>
      </c>
      <c r="L1322" s="56">
        <f t="shared" si="207"/>
        <v>0</v>
      </c>
      <c r="M1322" s="56">
        <f t="shared" si="207"/>
        <v>0</v>
      </c>
      <c r="N1322" s="56">
        <f t="shared" si="207"/>
        <v>0</v>
      </c>
      <c r="O1322" s="56">
        <f t="shared" si="207"/>
        <v>0</v>
      </c>
      <c r="P1322" s="58">
        <f>SUM(P1306:P1312)-SUM(P1316:P1317)</f>
        <v>0</v>
      </c>
      <c r="Q1322" s="59">
        <f t="shared" si="205"/>
        <v>0</v>
      </c>
    </row>
    <row r="1323" spans="1:17" ht="14.25" thickBot="1">
      <c r="A1323" s="151"/>
      <c r="B1323" s="147" t="s">
        <v>5</v>
      </c>
      <c r="C1323" s="148"/>
      <c r="D1323" s="42">
        <f t="shared" ref="D1323:O1323" si="208">SUM(D1308:D1312)-SUM(D1313:D1317)+SUM(D1318:D1321)</f>
        <v>10074</v>
      </c>
      <c r="E1323" s="42">
        <f t="shared" si="208"/>
        <v>0</v>
      </c>
      <c r="F1323" s="42">
        <f t="shared" si="208"/>
        <v>0</v>
      </c>
      <c r="G1323" s="42">
        <f t="shared" si="208"/>
        <v>0</v>
      </c>
      <c r="H1323" s="42">
        <f t="shared" si="208"/>
        <v>0</v>
      </c>
      <c r="I1323" s="42">
        <f t="shared" si="208"/>
        <v>0</v>
      </c>
      <c r="J1323" s="42">
        <f t="shared" si="208"/>
        <v>0</v>
      </c>
      <c r="K1323" s="42">
        <f t="shared" si="208"/>
        <v>0</v>
      </c>
      <c r="L1323" s="42">
        <f t="shared" si="208"/>
        <v>0</v>
      </c>
      <c r="M1323" s="42">
        <f t="shared" si="208"/>
        <v>0</v>
      </c>
      <c r="N1323" s="42">
        <f t="shared" si="208"/>
        <v>0</v>
      </c>
      <c r="O1323" s="42">
        <f t="shared" si="208"/>
        <v>0</v>
      </c>
      <c r="P1323" s="44">
        <f>SUM(P1306:P1312)-SUM(P1313:P1317)+SUM(P1318:P1321)</f>
        <v>0</v>
      </c>
      <c r="Q1323" s="46">
        <f t="shared" si="205"/>
        <v>0</v>
      </c>
    </row>
    <row r="1324" spans="1:17">
      <c r="A1324" s="149"/>
      <c r="B1324" s="152" t="s">
        <v>12</v>
      </c>
      <c r="C1324" s="114" t="s">
        <v>84</v>
      </c>
      <c r="D1324" s="87"/>
      <c r="E1324" s="87"/>
      <c r="F1324" s="87"/>
      <c r="G1324" s="87"/>
      <c r="H1324" s="87"/>
      <c r="I1324" s="87"/>
      <c r="J1324" s="87"/>
      <c r="K1324" s="87"/>
      <c r="L1324" s="87"/>
      <c r="M1324" s="87"/>
      <c r="N1324" s="87"/>
      <c r="O1324" s="87"/>
      <c r="P1324" s="30"/>
      <c r="Q1324" s="19">
        <f t="shared" si="205"/>
        <v>0</v>
      </c>
    </row>
    <row r="1325" spans="1:17">
      <c r="A1325" s="150"/>
      <c r="B1325" s="153"/>
      <c r="C1325" s="115" t="s">
        <v>85</v>
      </c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28"/>
      <c r="Q1325" s="20">
        <f t="shared" si="205"/>
        <v>0</v>
      </c>
    </row>
    <row r="1326" spans="1:17">
      <c r="A1326" s="150"/>
      <c r="B1326" s="153"/>
      <c r="C1326" s="116" t="s">
        <v>86</v>
      </c>
      <c r="D1326" s="91">
        <f>D1324*D1325</f>
        <v>0</v>
      </c>
      <c r="E1326" s="91">
        <f>E1324*E1325</f>
        <v>0</v>
      </c>
      <c r="F1326" s="91">
        <f>F1324*F1325</f>
        <v>0</v>
      </c>
      <c r="G1326" s="91">
        <f>G1324*G1325</f>
        <v>0</v>
      </c>
      <c r="H1326" s="91">
        <f>H1324*H1325</f>
        <v>0</v>
      </c>
      <c r="I1326" s="91">
        <f t="shared" ref="I1326:O1326" si="209">I1324*I1325</f>
        <v>0</v>
      </c>
      <c r="J1326" s="91">
        <f t="shared" si="209"/>
        <v>0</v>
      </c>
      <c r="K1326" s="91">
        <f t="shared" si="209"/>
        <v>0</v>
      </c>
      <c r="L1326" s="91">
        <f t="shared" si="209"/>
        <v>0</v>
      </c>
      <c r="M1326" s="91">
        <f t="shared" si="209"/>
        <v>0</v>
      </c>
      <c r="N1326" s="91">
        <f t="shared" si="209"/>
        <v>0</v>
      </c>
      <c r="O1326" s="91">
        <f t="shared" si="209"/>
        <v>0</v>
      </c>
      <c r="P1326" s="32"/>
      <c r="Q1326" s="20">
        <f t="shared" si="205"/>
        <v>0</v>
      </c>
    </row>
    <row r="1327" spans="1:17">
      <c r="A1327" s="150"/>
      <c r="B1327" s="153"/>
      <c r="C1327" s="117" t="s">
        <v>9</v>
      </c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1"/>
      <c r="O1327" s="91"/>
      <c r="P1327" s="32"/>
      <c r="Q1327" s="20">
        <f t="shared" si="205"/>
        <v>0</v>
      </c>
    </row>
    <row r="1328" spans="1:17">
      <c r="A1328" s="150"/>
      <c r="B1328" s="153"/>
      <c r="C1328" s="117" t="s">
        <v>38</v>
      </c>
      <c r="D1328" s="89"/>
      <c r="E1328" s="89"/>
      <c r="F1328" s="89"/>
      <c r="G1328" s="89"/>
      <c r="H1328" s="89"/>
      <c r="I1328" s="89"/>
      <c r="J1328" s="89"/>
      <c r="K1328" s="89"/>
      <c r="L1328" s="89"/>
      <c r="M1328" s="89"/>
      <c r="N1328" s="89"/>
      <c r="O1328" s="89"/>
      <c r="P1328" s="28"/>
      <c r="Q1328" s="20">
        <f t="shared" si="205"/>
        <v>0</v>
      </c>
    </row>
    <row r="1329" spans="1:17">
      <c r="A1329" s="150"/>
      <c r="B1329" s="153"/>
      <c r="C1329" s="62"/>
      <c r="D1329" s="91"/>
      <c r="E1329" s="91"/>
      <c r="F1329" s="91"/>
      <c r="G1329" s="91"/>
      <c r="H1329" s="91"/>
      <c r="I1329" s="91"/>
      <c r="J1329" s="91"/>
      <c r="K1329" s="91"/>
      <c r="L1329" s="91"/>
      <c r="M1329" s="91"/>
      <c r="N1329" s="91"/>
      <c r="O1329" s="91"/>
      <c r="P1329" s="32"/>
      <c r="Q1329" s="20">
        <f t="shared" si="205"/>
        <v>0</v>
      </c>
    </row>
    <row r="1330" spans="1:17">
      <c r="A1330" s="150"/>
      <c r="B1330" s="154"/>
      <c r="C1330" s="6" t="s">
        <v>42</v>
      </c>
      <c r="D1330" s="92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33"/>
      <c r="Q1330" s="22">
        <f t="shared" si="205"/>
        <v>0</v>
      </c>
    </row>
    <row r="1331" spans="1:17">
      <c r="A1331" s="150"/>
      <c r="B1331" s="155" t="s">
        <v>11</v>
      </c>
      <c r="C1331" s="5" t="s">
        <v>7</v>
      </c>
      <c r="D1331" s="94"/>
      <c r="E1331" s="94"/>
      <c r="F1331" s="94"/>
      <c r="G1331" s="94"/>
      <c r="H1331" s="94"/>
      <c r="I1331" s="94"/>
      <c r="J1331" s="94"/>
      <c r="K1331" s="94"/>
      <c r="L1331" s="94"/>
      <c r="M1331" s="94"/>
      <c r="N1331" s="94"/>
      <c r="O1331" s="94"/>
      <c r="P1331" s="27"/>
      <c r="Q1331" s="21">
        <f t="shared" si="205"/>
        <v>0</v>
      </c>
    </row>
    <row r="1332" spans="1:17">
      <c r="A1332" s="150"/>
      <c r="B1332" s="153"/>
      <c r="C1332" s="6" t="s">
        <v>4</v>
      </c>
      <c r="D1332" s="91"/>
      <c r="E1332" s="91"/>
      <c r="F1332" s="91"/>
      <c r="G1332" s="91"/>
      <c r="H1332" s="91"/>
      <c r="I1332" s="91"/>
      <c r="J1332" s="91"/>
      <c r="K1332" s="91"/>
      <c r="L1332" s="91"/>
      <c r="M1332" s="91"/>
      <c r="N1332" s="91"/>
      <c r="O1332" s="91"/>
      <c r="P1332" s="32"/>
      <c r="Q1332" s="20">
        <f t="shared" si="205"/>
        <v>0</v>
      </c>
    </row>
    <row r="1333" spans="1:17">
      <c r="A1333" s="150"/>
      <c r="B1333" s="153"/>
      <c r="C1333" s="6" t="s">
        <v>17</v>
      </c>
      <c r="D1333" s="91"/>
      <c r="E1333" s="91"/>
      <c r="F1333" s="91"/>
      <c r="G1333" s="91"/>
      <c r="H1333" s="91"/>
      <c r="I1333" s="91"/>
      <c r="J1333" s="91"/>
      <c r="K1333" s="91"/>
      <c r="L1333" s="91"/>
      <c r="M1333" s="91"/>
      <c r="N1333" s="91"/>
      <c r="O1333" s="91"/>
      <c r="P1333" s="32"/>
      <c r="Q1333" s="20">
        <f t="shared" si="205"/>
        <v>0</v>
      </c>
    </row>
    <row r="1334" spans="1:17">
      <c r="A1334" s="150"/>
      <c r="B1334" s="153"/>
      <c r="C1334" s="6" t="s">
        <v>18</v>
      </c>
      <c r="D1334" s="91"/>
      <c r="E1334" s="91"/>
      <c r="F1334" s="91"/>
      <c r="G1334" s="91"/>
      <c r="H1334" s="91"/>
      <c r="I1334" s="91"/>
      <c r="J1334" s="91"/>
      <c r="K1334" s="91"/>
      <c r="L1334" s="91"/>
      <c r="M1334" s="91"/>
      <c r="N1334" s="91"/>
      <c r="O1334" s="91"/>
      <c r="P1334" s="32"/>
      <c r="Q1334" s="20">
        <f t="shared" si="205"/>
        <v>0</v>
      </c>
    </row>
    <row r="1335" spans="1:17">
      <c r="A1335" s="150"/>
      <c r="B1335" s="153"/>
      <c r="C1335" s="6" t="s">
        <v>60</v>
      </c>
      <c r="D1335" s="91"/>
      <c r="E1335" s="91"/>
      <c r="F1335" s="91"/>
      <c r="G1335" s="91"/>
      <c r="H1335" s="91"/>
      <c r="I1335" s="91"/>
      <c r="J1335" s="91"/>
      <c r="K1335" s="91"/>
      <c r="L1335" s="91"/>
      <c r="M1335" s="91"/>
      <c r="N1335" s="91"/>
      <c r="O1335" s="91"/>
      <c r="P1335" s="32"/>
      <c r="Q1335" s="20">
        <f t="shared" si="205"/>
        <v>0</v>
      </c>
    </row>
    <row r="1336" spans="1:17">
      <c r="A1336" s="150"/>
      <c r="B1336" s="155" t="s">
        <v>13</v>
      </c>
      <c r="C1336" s="5" t="s">
        <v>10</v>
      </c>
      <c r="D1336" s="94"/>
      <c r="E1336" s="94"/>
      <c r="F1336" s="94"/>
      <c r="G1336" s="94"/>
      <c r="H1336" s="94"/>
      <c r="I1336" s="94"/>
      <c r="J1336" s="94"/>
      <c r="K1336" s="94"/>
      <c r="L1336" s="94"/>
      <c r="M1336" s="94"/>
      <c r="N1336" s="94"/>
      <c r="O1336" s="94"/>
      <c r="P1336" s="27"/>
      <c r="Q1336" s="21">
        <f t="shared" si="205"/>
        <v>0</v>
      </c>
    </row>
    <row r="1337" spans="1:17">
      <c r="A1337" s="150"/>
      <c r="B1337" s="153"/>
      <c r="C1337" s="116" t="s">
        <v>55</v>
      </c>
      <c r="D1337" s="89"/>
      <c r="E1337" s="89"/>
      <c r="F1337" s="89"/>
      <c r="G1337" s="89"/>
      <c r="H1337" s="89"/>
      <c r="I1337" s="89"/>
      <c r="J1337" s="89"/>
      <c r="K1337" s="89"/>
      <c r="L1337" s="89"/>
      <c r="M1337" s="89"/>
      <c r="N1337" s="89"/>
      <c r="O1337" s="89"/>
      <c r="P1337" s="28"/>
      <c r="Q1337" s="20">
        <f t="shared" si="205"/>
        <v>0</v>
      </c>
    </row>
    <row r="1338" spans="1:17">
      <c r="A1338" s="150"/>
      <c r="B1338" s="153"/>
      <c r="C1338" s="8" t="s">
        <v>56</v>
      </c>
      <c r="D1338" s="89"/>
      <c r="E1338" s="89"/>
      <c r="F1338" s="89"/>
      <c r="G1338" s="89"/>
      <c r="H1338" s="89"/>
      <c r="I1338" s="89"/>
      <c r="J1338" s="89"/>
      <c r="K1338" s="89"/>
      <c r="L1338" s="89"/>
      <c r="M1338" s="89"/>
      <c r="N1338" s="89"/>
      <c r="O1338" s="89"/>
      <c r="P1338" s="28"/>
      <c r="Q1338" s="20">
        <f t="shared" si="205"/>
        <v>0</v>
      </c>
    </row>
    <row r="1339" spans="1:17">
      <c r="A1339" s="150"/>
      <c r="B1339" s="154"/>
      <c r="C1339" s="4" t="s">
        <v>61</v>
      </c>
      <c r="D1339" s="92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O1339" s="92"/>
      <c r="P1339" s="33"/>
      <c r="Q1339" s="22">
        <f t="shared" si="205"/>
        <v>0</v>
      </c>
    </row>
    <row r="1340" spans="1:17">
      <c r="A1340" s="150"/>
      <c r="B1340" s="156" t="s">
        <v>54</v>
      </c>
      <c r="C1340" s="157"/>
      <c r="D1340" s="56">
        <f t="shared" ref="D1340:O1340" si="210">SUM(D1326:D1330)-SUM(D1334:D1335)</f>
        <v>0</v>
      </c>
      <c r="E1340" s="56">
        <f t="shared" si="210"/>
        <v>0</v>
      </c>
      <c r="F1340" s="56">
        <f t="shared" si="210"/>
        <v>0</v>
      </c>
      <c r="G1340" s="56">
        <f t="shared" si="210"/>
        <v>0</v>
      </c>
      <c r="H1340" s="56">
        <f t="shared" si="210"/>
        <v>0</v>
      </c>
      <c r="I1340" s="56">
        <f t="shared" si="210"/>
        <v>0</v>
      </c>
      <c r="J1340" s="56">
        <f t="shared" si="210"/>
        <v>0</v>
      </c>
      <c r="K1340" s="56">
        <f t="shared" si="210"/>
        <v>0</v>
      </c>
      <c r="L1340" s="56">
        <f t="shared" si="210"/>
        <v>0</v>
      </c>
      <c r="M1340" s="56">
        <f t="shared" si="210"/>
        <v>0</v>
      </c>
      <c r="N1340" s="56">
        <f t="shared" si="210"/>
        <v>0</v>
      </c>
      <c r="O1340" s="56">
        <f t="shared" si="210"/>
        <v>0</v>
      </c>
      <c r="P1340" s="58">
        <f>SUM(P1324:P1330)-SUM(P1334:P1335)</f>
        <v>0</v>
      </c>
      <c r="Q1340" s="59">
        <f t="shared" si="205"/>
        <v>0</v>
      </c>
    </row>
    <row r="1341" spans="1:17" ht="14.25" thickBot="1">
      <c r="A1341" s="151"/>
      <c r="B1341" s="147" t="s">
        <v>5</v>
      </c>
      <c r="C1341" s="148"/>
      <c r="D1341" s="42">
        <f t="shared" ref="D1341:O1341" si="211">SUM(D1326:D1330)-SUM(D1331:D1335)+SUM(D1336:D1339)</f>
        <v>0</v>
      </c>
      <c r="E1341" s="42">
        <f t="shared" si="211"/>
        <v>0</v>
      </c>
      <c r="F1341" s="42">
        <f t="shared" si="211"/>
        <v>0</v>
      </c>
      <c r="G1341" s="42">
        <f t="shared" si="211"/>
        <v>0</v>
      </c>
      <c r="H1341" s="42">
        <f t="shared" si="211"/>
        <v>0</v>
      </c>
      <c r="I1341" s="42">
        <f t="shared" si="211"/>
        <v>0</v>
      </c>
      <c r="J1341" s="42">
        <f t="shared" si="211"/>
        <v>0</v>
      </c>
      <c r="K1341" s="42">
        <f t="shared" si="211"/>
        <v>0</v>
      </c>
      <c r="L1341" s="42">
        <f t="shared" si="211"/>
        <v>0</v>
      </c>
      <c r="M1341" s="42">
        <f t="shared" si="211"/>
        <v>0</v>
      </c>
      <c r="N1341" s="42">
        <f t="shared" si="211"/>
        <v>0</v>
      </c>
      <c r="O1341" s="42">
        <f t="shared" si="211"/>
        <v>0</v>
      </c>
      <c r="P1341" s="44">
        <f>SUM(P1324:P1330)-SUM(P1331:P1335)+SUM(P1336:P1339)</f>
        <v>0</v>
      </c>
      <c r="Q1341" s="46">
        <f t="shared" si="205"/>
        <v>0</v>
      </c>
    </row>
    <row r="1342" spans="1:17">
      <c r="A1342" s="149"/>
      <c r="B1342" s="152" t="s">
        <v>12</v>
      </c>
      <c r="C1342" s="114" t="s">
        <v>84</v>
      </c>
      <c r="D1342" s="87"/>
      <c r="E1342" s="87"/>
      <c r="F1342" s="87"/>
      <c r="G1342" s="87"/>
      <c r="H1342" s="87"/>
      <c r="I1342" s="87"/>
      <c r="J1342" s="87"/>
      <c r="K1342" s="87"/>
      <c r="L1342" s="87"/>
      <c r="M1342" s="87"/>
      <c r="N1342" s="87"/>
      <c r="O1342" s="87"/>
      <c r="P1342" s="30"/>
      <c r="Q1342" s="19">
        <f t="shared" si="205"/>
        <v>0</v>
      </c>
    </row>
    <row r="1343" spans="1:17">
      <c r="A1343" s="150"/>
      <c r="B1343" s="153"/>
      <c r="C1343" s="115" t="s">
        <v>85</v>
      </c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28"/>
      <c r="Q1343" s="20">
        <f t="shared" si="205"/>
        <v>0</v>
      </c>
    </row>
    <row r="1344" spans="1:17">
      <c r="A1344" s="150"/>
      <c r="B1344" s="153"/>
      <c r="C1344" s="116" t="s">
        <v>86</v>
      </c>
      <c r="D1344" s="91">
        <f>D1342*D1343</f>
        <v>0</v>
      </c>
      <c r="E1344" s="91">
        <f>E1342*E1343</f>
        <v>0</v>
      </c>
      <c r="F1344" s="91">
        <f>F1342*F1343</f>
        <v>0</v>
      </c>
      <c r="G1344" s="91">
        <f>G1342*G1343</f>
        <v>0</v>
      </c>
      <c r="H1344" s="91">
        <f>H1342*H1343</f>
        <v>0</v>
      </c>
      <c r="I1344" s="91">
        <f t="shared" ref="I1344:O1344" si="212">I1342*I1343</f>
        <v>0</v>
      </c>
      <c r="J1344" s="91">
        <f t="shared" si="212"/>
        <v>0</v>
      </c>
      <c r="K1344" s="91">
        <f t="shared" si="212"/>
        <v>0</v>
      </c>
      <c r="L1344" s="91">
        <f t="shared" si="212"/>
        <v>0</v>
      </c>
      <c r="M1344" s="91">
        <f t="shared" si="212"/>
        <v>0</v>
      </c>
      <c r="N1344" s="91">
        <f t="shared" si="212"/>
        <v>0</v>
      </c>
      <c r="O1344" s="91">
        <f t="shared" si="212"/>
        <v>0</v>
      </c>
      <c r="P1344" s="32"/>
      <c r="Q1344" s="20">
        <f t="shared" si="205"/>
        <v>0</v>
      </c>
    </row>
    <row r="1345" spans="1:17">
      <c r="A1345" s="150"/>
      <c r="B1345" s="153"/>
      <c r="C1345" s="117" t="s">
        <v>9</v>
      </c>
      <c r="D1345" s="91"/>
      <c r="E1345" s="91"/>
      <c r="F1345" s="91"/>
      <c r="G1345" s="91"/>
      <c r="H1345" s="91"/>
      <c r="I1345" s="91"/>
      <c r="J1345" s="91"/>
      <c r="K1345" s="91"/>
      <c r="L1345" s="91"/>
      <c r="M1345" s="91"/>
      <c r="N1345" s="91"/>
      <c r="O1345" s="91"/>
      <c r="P1345" s="32"/>
      <c r="Q1345" s="20">
        <f t="shared" si="205"/>
        <v>0</v>
      </c>
    </row>
    <row r="1346" spans="1:17">
      <c r="A1346" s="150"/>
      <c r="B1346" s="153"/>
      <c r="C1346" s="117" t="s">
        <v>38</v>
      </c>
      <c r="D1346" s="89"/>
      <c r="E1346" s="89"/>
      <c r="F1346" s="89"/>
      <c r="G1346" s="89"/>
      <c r="H1346" s="89"/>
      <c r="I1346" s="89"/>
      <c r="J1346" s="89"/>
      <c r="K1346" s="89"/>
      <c r="L1346" s="89"/>
      <c r="M1346" s="89"/>
      <c r="N1346" s="89"/>
      <c r="O1346" s="89"/>
      <c r="P1346" s="28"/>
      <c r="Q1346" s="20">
        <f t="shared" si="205"/>
        <v>0</v>
      </c>
    </row>
    <row r="1347" spans="1:17">
      <c r="A1347" s="150"/>
      <c r="B1347" s="153"/>
      <c r="C1347" s="62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91"/>
      <c r="O1347" s="91"/>
      <c r="P1347" s="32"/>
      <c r="Q1347" s="20">
        <f t="shared" si="205"/>
        <v>0</v>
      </c>
    </row>
    <row r="1348" spans="1:17">
      <c r="A1348" s="150"/>
      <c r="B1348" s="154"/>
      <c r="C1348" s="6" t="s">
        <v>42</v>
      </c>
      <c r="D1348" s="92"/>
      <c r="E1348" s="92"/>
      <c r="F1348" s="92"/>
      <c r="G1348" s="92"/>
      <c r="H1348" s="92"/>
      <c r="I1348" s="92"/>
      <c r="J1348" s="92"/>
      <c r="K1348" s="92"/>
      <c r="L1348" s="92"/>
      <c r="M1348" s="92"/>
      <c r="N1348" s="92"/>
      <c r="O1348" s="92"/>
      <c r="P1348" s="33"/>
      <c r="Q1348" s="22">
        <f t="shared" si="205"/>
        <v>0</v>
      </c>
    </row>
    <row r="1349" spans="1:17">
      <c r="A1349" s="150"/>
      <c r="B1349" s="155" t="s">
        <v>11</v>
      </c>
      <c r="C1349" s="5" t="s">
        <v>7</v>
      </c>
      <c r="D1349" s="94"/>
      <c r="E1349" s="94"/>
      <c r="F1349" s="94"/>
      <c r="G1349" s="94"/>
      <c r="H1349" s="94"/>
      <c r="I1349" s="94"/>
      <c r="J1349" s="94"/>
      <c r="K1349" s="94"/>
      <c r="L1349" s="94"/>
      <c r="M1349" s="94"/>
      <c r="N1349" s="94"/>
      <c r="O1349" s="94"/>
      <c r="P1349" s="27"/>
      <c r="Q1349" s="21">
        <f t="shared" si="205"/>
        <v>0</v>
      </c>
    </row>
    <row r="1350" spans="1:17">
      <c r="A1350" s="150"/>
      <c r="B1350" s="153"/>
      <c r="C1350" s="6" t="s">
        <v>4</v>
      </c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91"/>
      <c r="O1350" s="91"/>
      <c r="P1350" s="32"/>
      <c r="Q1350" s="20">
        <f t="shared" si="205"/>
        <v>0</v>
      </c>
    </row>
    <row r="1351" spans="1:17">
      <c r="A1351" s="150"/>
      <c r="B1351" s="153"/>
      <c r="C1351" s="6" t="s">
        <v>17</v>
      </c>
      <c r="D1351" s="91"/>
      <c r="E1351" s="91"/>
      <c r="F1351" s="91"/>
      <c r="G1351" s="91"/>
      <c r="H1351" s="91"/>
      <c r="I1351" s="91"/>
      <c r="J1351" s="91"/>
      <c r="K1351" s="91"/>
      <c r="L1351" s="91"/>
      <c r="M1351" s="91"/>
      <c r="N1351" s="91"/>
      <c r="O1351" s="91"/>
      <c r="P1351" s="32"/>
      <c r="Q1351" s="20">
        <f t="shared" si="205"/>
        <v>0</v>
      </c>
    </row>
    <row r="1352" spans="1:17">
      <c r="A1352" s="150"/>
      <c r="B1352" s="153"/>
      <c r="C1352" s="6" t="s">
        <v>18</v>
      </c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32"/>
      <c r="Q1352" s="20">
        <f t="shared" si="205"/>
        <v>0</v>
      </c>
    </row>
    <row r="1353" spans="1:17">
      <c r="A1353" s="150"/>
      <c r="B1353" s="153"/>
      <c r="C1353" s="6" t="s">
        <v>60</v>
      </c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1"/>
      <c r="O1353" s="91"/>
      <c r="P1353" s="32"/>
      <c r="Q1353" s="20">
        <f t="shared" si="205"/>
        <v>0</v>
      </c>
    </row>
    <row r="1354" spans="1:17">
      <c r="A1354" s="150"/>
      <c r="B1354" s="155" t="s">
        <v>13</v>
      </c>
      <c r="C1354" s="5" t="s">
        <v>10</v>
      </c>
      <c r="D1354" s="94"/>
      <c r="E1354" s="94"/>
      <c r="F1354" s="94"/>
      <c r="G1354" s="94"/>
      <c r="H1354" s="94"/>
      <c r="I1354" s="94"/>
      <c r="J1354" s="94"/>
      <c r="K1354" s="94"/>
      <c r="L1354" s="94"/>
      <c r="M1354" s="94"/>
      <c r="N1354" s="94"/>
      <c r="O1354" s="94"/>
      <c r="P1354" s="27"/>
      <c r="Q1354" s="21">
        <f t="shared" si="205"/>
        <v>0</v>
      </c>
    </row>
    <row r="1355" spans="1:17">
      <c r="A1355" s="150"/>
      <c r="B1355" s="153"/>
      <c r="C1355" s="116" t="s">
        <v>55</v>
      </c>
      <c r="D1355" s="89"/>
      <c r="E1355" s="89"/>
      <c r="F1355" s="89"/>
      <c r="G1355" s="89"/>
      <c r="H1355" s="89"/>
      <c r="I1355" s="89"/>
      <c r="J1355" s="89"/>
      <c r="K1355" s="89"/>
      <c r="L1355" s="89"/>
      <c r="M1355" s="89"/>
      <c r="N1355" s="89"/>
      <c r="O1355" s="89"/>
      <c r="P1355" s="28"/>
      <c r="Q1355" s="20">
        <f t="shared" si="205"/>
        <v>0</v>
      </c>
    </row>
    <row r="1356" spans="1:17">
      <c r="A1356" s="150"/>
      <c r="B1356" s="153"/>
      <c r="C1356" s="8" t="s">
        <v>56</v>
      </c>
      <c r="D1356" s="89"/>
      <c r="E1356" s="89"/>
      <c r="F1356" s="89"/>
      <c r="G1356" s="89"/>
      <c r="H1356" s="89"/>
      <c r="I1356" s="89"/>
      <c r="J1356" s="89"/>
      <c r="K1356" s="89"/>
      <c r="L1356" s="89"/>
      <c r="M1356" s="89"/>
      <c r="N1356" s="89"/>
      <c r="O1356" s="89"/>
      <c r="P1356" s="28"/>
      <c r="Q1356" s="20">
        <f t="shared" si="205"/>
        <v>0</v>
      </c>
    </row>
    <row r="1357" spans="1:17">
      <c r="A1357" s="150"/>
      <c r="B1357" s="154"/>
      <c r="C1357" s="4" t="s">
        <v>61</v>
      </c>
      <c r="D1357" s="92"/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O1357" s="92"/>
      <c r="P1357" s="33"/>
      <c r="Q1357" s="22">
        <f t="shared" si="205"/>
        <v>0</v>
      </c>
    </row>
    <row r="1358" spans="1:17">
      <c r="A1358" s="150"/>
      <c r="B1358" s="156" t="s">
        <v>54</v>
      </c>
      <c r="C1358" s="157"/>
      <c r="D1358" s="56">
        <f t="shared" ref="D1358:O1358" si="213">SUM(D1344:D1348)-SUM(D1352:D1353)</f>
        <v>0</v>
      </c>
      <c r="E1358" s="56">
        <f t="shared" si="213"/>
        <v>0</v>
      </c>
      <c r="F1358" s="56">
        <f t="shared" si="213"/>
        <v>0</v>
      </c>
      <c r="G1358" s="56">
        <f t="shared" si="213"/>
        <v>0</v>
      </c>
      <c r="H1358" s="56">
        <f t="shared" si="213"/>
        <v>0</v>
      </c>
      <c r="I1358" s="56">
        <f t="shared" si="213"/>
        <v>0</v>
      </c>
      <c r="J1358" s="56">
        <f t="shared" si="213"/>
        <v>0</v>
      </c>
      <c r="K1358" s="56">
        <f t="shared" si="213"/>
        <v>0</v>
      </c>
      <c r="L1358" s="56">
        <f t="shared" si="213"/>
        <v>0</v>
      </c>
      <c r="M1358" s="56">
        <f t="shared" si="213"/>
        <v>0</v>
      </c>
      <c r="N1358" s="56">
        <f t="shared" si="213"/>
        <v>0</v>
      </c>
      <c r="O1358" s="56">
        <f t="shared" si="213"/>
        <v>0</v>
      </c>
      <c r="P1358" s="58">
        <f>SUM(P1342:P1348)-SUM(P1352:P1353)</f>
        <v>0</v>
      </c>
      <c r="Q1358" s="59">
        <f t="shared" si="205"/>
        <v>0</v>
      </c>
    </row>
    <row r="1359" spans="1:17" ht="14.25" thickBot="1">
      <c r="A1359" s="151"/>
      <c r="B1359" s="147" t="s">
        <v>5</v>
      </c>
      <c r="C1359" s="148"/>
      <c r="D1359" s="42">
        <f t="shared" ref="D1359:O1359" si="214">SUM(D1344:D1348)-SUM(D1349:D1353)+SUM(D1354:D1357)</f>
        <v>0</v>
      </c>
      <c r="E1359" s="42">
        <f t="shared" si="214"/>
        <v>0</v>
      </c>
      <c r="F1359" s="42">
        <f t="shared" si="214"/>
        <v>0</v>
      </c>
      <c r="G1359" s="42">
        <f t="shared" si="214"/>
        <v>0</v>
      </c>
      <c r="H1359" s="42">
        <f t="shared" si="214"/>
        <v>0</v>
      </c>
      <c r="I1359" s="42">
        <f t="shared" si="214"/>
        <v>0</v>
      </c>
      <c r="J1359" s="42">
        <f t="shared" si="214"/>
        <v>0</v>
      </c>
      <c r="K1359" s="42">
        <f t="shared" si="214"/>
        <v>0</v>
      </c>
      <c r="L1359" s="42">
        <f t="shared" si="214"/>
        <v>0</v>
      </c>
      <c r="M1359" s="42">
        <f t="shared" si="214"/>
        <v>0</v>
      </c>
      <c r="N1359" s="42">
        <f t="shared" si="214"/>
        <v>0</v>
      </c>
      <c r="O1359" s="42">
        <f t="shared" si="214"/>
        <v>0</v>
      </c>
      <c r="P1359" s="44">
        <f>SUM(P1342:P1348)-SUM(P1349:P1353)+SUM(P1354:P1357)</f>
        <v>0</v>
      </c>
      <c r="Q1359" s="46">
        <f t="shared" si="205"/>
        <v>0</v>
      </c>
    </row>
    <row r="1360" spans="1:17">
      <c r="A1360" s="149"/>
      <c r="B1360" s="152" t="s">
        <v>12</v>
      </c>
      <c r="C1360" s="114" t="s">
        <v>84</v>
      </c>
      <c r="D1360" s="87"/>
      <c r="E1360" s="87"/>
      <c r="F1360" s="87"/>
      <c r="G1360" s="87"/>
      <c r="H1360" s="87"/>
      <c r="I1360" s="87"/>
      <c r="J1360" s="87"/>
      <c r="K1360" s="87"/>
      <c r="L1360" s="87"/>
      <c r="M1360" s="87"/>
      <c r="N1360" s="87"/>
      <c r="O1360" s="87"/>
      <c r="P1360" s="30"/>
      <c r="Q1360" s="19">
        <f t="shared" si="205"/>
        <v>0</v>
      </c>
    </row>
    <row r="1361" spans="1:17">
      <c r="A1361" s="150"/>
      <c r="B1361" s="153"/>
      <c r="C1361" s="115" t="s">
        <v>85</v>
      </c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28"/>
      <c r="Q1361" s="20">
        <f t="shared" si="205"/>
        <v>0</v>
      </c>
    </row>
    <row r="1362" spans="1:17">
      <c r="A1362" s="150"/>
      <c r="B1362" s="153"/>
      <c r="C1362" s="116" t="s">
        <v>86</v>
      </c>
      <c r="D1362" s="91">
        <f>D1360*D1361</f>
        <v>0</v>
      </c>
      <c r="E1362" s="91">
        <f>E1360*E1361</f>
        <v>0</v>
      </c>
      <c r="F1362" s="91">
        <f>F1360*F1361</f>
        <v>0</v>
      </c>
      <c r="G1362" s="91">
        <f>G1360*G1361</f>
        <v>0</v>
      </c>
      <c r="H1362" s="91">
        <f>H1360*H1361</f>
        <v>0</v>
      </c>
      <c r="I1362" s="91">
        <f t="shared" ref="I1362:O1362" si="215">I1360*I1361</f>
        <v>0</v>
      </c>
      <c r="J1362" s="91">
        <f t="shared" si="215"/>
        <v>0</v>
      </c>
      <c r="K1362" s="91">
        <f t="shared" si="215"/>
        <v>0</v>
      </c>
      <c r="L1362" s="91">
        <f t="shared" si="215"/>
        <v>0</v>
      </c>
      <c r="M1362" s="91">
        <f t="shared" si="215"/>
        <v>0</v>
      </c>
      <c r="N1362" s="91">
        <f t="shared" si="215"/>
        <v>0</v>
      </c>
      <c r="O1362" s="91">
        <f t="shared" si="215"/>
        <v>0</v>
      </c>
      <c r="P1362" s="32"/>
      <c r="Q1362" s="20">
        <f t="shared" si="205"/>
        <v>0</v>
      </c>
    </row>
    <row r="1363" spans="1:17">
      <c r="A1363" s="150"/>
      <c r="B1363" s="153"/>
      <c r="C1363" s="117" t="s">
        <v>9</v>
      </c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1"/>
      <c r="O1363" s="91"/>
      <c r="P1363" s="32"/>
      <c r="Q1363" s="20">
        <f t="shared" si="205"/>
        <v>0</v>
      </c>
    </row>
    <row r="1364" spans="1:17">
      <c r="A1364" s="150"/>
      <c r="B1364" s="153"/>
      <c r="C1364" s="117" t="s">
        <v>38</v>
      </c>
      <c r="D1364" s="89"/>
      <c r="E1364" s="89"/>
      <c r="F1364" s="89"/>
      <c r="G1364" s="89"/>
      <c r="H1364" s="89"/>
      <c r="I1364" s="89"/>
      <c r="J1364" s="89"/>
      <c r="K1364" s="89"/>
      <c r="L1364" s="89"/>
      <c r="M1364" s="89"/>
      <c r="N1364" s="89"/>
      <c r="O1364" s="89"/>
      <c r="P1364" s="28"/>
      <c r="Q1364" s="20">
        <f t="shared" si="205"/>
        <v>0</v>
      </c>
    </row>
    <row r="1365" spans="1:17">
      <c r="A1365" s="150"/>
      <c r="B1365" s="153"/>
      <c r="C1365" s="62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1"/>
      <c r="O1365" s="91"/>
      <c r="P1365" s="32"/>
      <c r="Q1365" s="20">
        <f t="shared" si="205"/>
        <v>0</v>
      </c>
    </row>
    <row r="1366" spans="1:17">
      <c r="A1366" s="150"/>
      <c r="B1366" s="154"/>
      <c r="C1366" s="6" t="s">
        <v>42</v>
      </c>
      <c r="D1366" s="92"/>
      <c r="E1366" s="92"/>
      <c r="F1366" s="92"/>
      <c r="G1366" s="92"/>
      <c r="H1366" s="92"/>
      <c r="I1366" s="92"/>
      <c r="J1366" s="92"/>
      <c r="K1366" s="92"/>
      <c r="L1366" s="92"/>
      <c r="M1366" s="92"/>
      <c r="N1366" s="92"/>
      <c r="O1366" s="92"/>
      <c r="P1366" s="33"/>
      <c r="Q1366" s="22">
        <f t="shared" si="205"/>
        <v>0</v>
      </c>
    </row>
    <row r="1367" spans="1:17">
      <c r="A1367" s="150"/>
      <c r="B1367" s="155" t="s">
        <v>11</v>
      </c>
      <c r="C1367" s="5" t="s">
        <v>7</v>
      </c>
      <c r="D1367" s="94"/>
      <c r="E1367" s="94"/>
      <c r="F1367" s="94"/>
      <c r="G1367" s="94"/>
      <c r="H1367" s="94"/>
      <c r="I1367" s="94"/>
      <c r="J1367" s="94"/>
      <c r="K1367" s="94"/>
      <c r="L1367" s="94"/>
      <c r="M1367" s="94"/>
      <c r="N1367" s="94"/>
      <c r="O1367" s="94"/>
      <c r="P1367" s="27"/>
      <c r="Q1367" s="21">
        <f t="shared" si="205"/>
        <v>0</v>
      </c>
    </row>
    <row r="1368" spans="1:17">
      <c r="A1368" s="150"/>
      <c r="B1368" s="153"/>
      <c r="C1368" s="6" t="s">
        <v>4</v>
      </c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32"/>
      <c r="Q1368" s="20">
        <f t="shared" si="205"/>
        <v>0</v>
      </c>
    </row>
    <row r="1369" spans="1:17">
      <c r="A1369" s="150"/>
      <c r="B1369" s="153"/>
      <c r="C1369" s="6" t="s">
        <v>17</v>
      </c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32"/>
      <c r="Q1369" s="20">
        <f t="shared" si="205"/>
        <v>0</v>
      </c>
    </row>
    <row r="1370" spans="1:17">
      <c r="A1370" s="150"/>
      <c r="B1370" s="153"/>
      <c r="C1370" s="6" t="s">
        <v>18</v>
      </c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32"/>
      <c r="Q1370" s="20">
        <f t="shared" si="205"/>
        <v>0</v>
      </c>
    </row>
    <row r="1371" spans="1:17">
      <c r="A1371" s="150"/>
      <c r="B1371" s="153"/>
      <c r="C1371" s="6" t="s">
        <v>60</v>
      </c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32"/>
      <c r="Q1371" s="20">
        <f t="shared" si="205"/>
        <v>0</v>
      </c>
    </row>
    <row r="1372" spans="1:17">
      <c r="A1372" s="150"/>
      <c r="B1372" s="155" t="s">
        <v>13</v>
      </c>
      <c r="C1372" s="5" t="s">
        <v>10</v>
      </c>
      <c r="D1372" s="94"/>
      <c r="E1372" s="94"/>
      <c r="F1372" s="94"/>
      <c r="G1372" s="94"/>
      <c r="H1372" s="94"/>
      <c r="I1372" s="94"/>
      <c r="J1372" s="94"/>
      <c r="K1372" s="94"/>
      <c r="L1372" s="94"/>
      <c r="M1372" s="94"/>
      <c r="N1372" s="94"/>
      <c r="O1372" s="94"/>
      <c r="P1372" s="27"/>
      <c r="Q1372" s="21">
        <f t="shared" si="205"/>
        <v>0</v>
      </c>
    </row>
    <row r="1373" spans="1:17">
      <c r="A1373" s="150"/>
      <c r="B1373" s="153"/>
      <c r="C1373" s="116" t="s">
        <v>55</v>
      </c>
      <c r="D1373" s="89"/>
      <c r="E1373" s="89"/>
      <c r="F1373" s="89"/>
      <c r="G1373" s="89"/>
      <c r="H1373" s="89"/>
      <c r="I1373" s="89"/>
      <c r="J1373" s="89"/>
      <c r="K1373" s="89"/>
      <c r="L1373" s="89"/>
      <c r="M1373" s="89"/>
      <c r="N1373" s="89"/>
      <c r="O1373" s="89"/>
      <c r="P1373" s="28"/>
      <c r="Q1373" s="20">
        <f t="shared" si="205"/>
        <v>0</v>
      </c>
    </row>
    <row r="1374" spans="1:17">
      <c r="A1374" s="150"/>
      <c r="B1374" s="153"/>
      <c r="C1374" s="8" t="s">
        <v>56</v>
      </c>
      <c r="D1374" s="89"/>
      <c r="E1374" s="89"/>
      <c r="F1374" s="89"/>
      <c r="G1374" s="89"/>
      <c r="H1374" s="89"/>
      <c r="I1374" s="89"/>
      <c r="J1374" s="89"/>
      <c r="K1374" s="89"/>
      <c r="L1374" s="89"/>
      <c r="M1374" s="89"/>
      <c r="N1374" s="89"/>
      <c r="O1374" s="89"/>
      <c r="P1374" s="28"/>
      <c r="Q1374" s="20">
        <f t="shared" si="205"/>
        <v>0</v>
      </c>
    </row>
    <row r="1375" spans="1:17">
      <c r="A1375" s="150"/>
      <c r="B1375" s="154"/>
      <c r="C1375" s="4" t="s">
        <v>61</v>
      </c>
      <c r="D1375" s="92"/>
      <c r="E1375" s="92"/>
      <c r="F1375" s="92"/>
      <c r="G1375" s="92"/>
      <c r="H1375" s="92"/>
      <c r="I1375" s="92"/>
      <c r="J1375" s="92"/>
      <c r="K1375" s="92"/>
      <c r="L1375" s="92"/>
      <c r="M1375" s="92"/>
      <c r="N1375" s="92"/>
      <c r="O1375" s="92"/>
      <c r="P1375" s="33"/>
      <c r="Q1375" s="22">
        <f t="shared" si="205"/>
        <v>0</v>
      </c>
    </row>
    <row r="1376" spans="1:17">
      <c r="A1376" s="150"/>
      <c r="B1376" s="156" t="s">
        <v>54</v>
      </c>
      <c r="C1376" s="157"/>
      <c r="D1376" s="56">
        <f t="shared" ref="D1376:O1376" si="216">SUM(D1362:D1366)-SUM(D1370:D1371)</f>
        <v>0</v>
      </c>
      <c r="E1376" s="56">
        <f t="shared" si="216"/>
        <v>0</v>
      </c>
      <c r="F1376" s="56">
        <f t="shared" si="216"/>
        <v>0</v>
      </c>
      <c r="G1376" s="56">
        <f t="shared" si="216"/>
        <v>0</v>
      </c>
      <c r="H1376" s="56">
        <f t="shared" si="216"/>
        <v>0</v>
      </c>
      <c r="I1376" s="56">
        <f t="shared" si="216"/>
        <v>0</v>
      </c>
      <c r="J1376" s="56">
        <f t="shared" si="216"/>
        <v>0</v>
      </c>
      <c r="K1376" s="56">
        <f t="shared" si="216"/>
        <v>0</v>
      </c>
      <c r="L1376" s="56">
        <f t="shared" si="216"/>
        <v>0</v>
      </c>
      <c r="M1376" s="56">
        <f t="shared" si="216"/>
        <v>0</v>
      </c>
      <c r="N1376" s="56">
        <f t="shared" si="216"/>
        <v>0</v>
      </c>
      <c r="O1376" s="56">
        <f t="shared" si="216"/>
        <v>0</v>
      </c>
      <c r="P1376" s="58">
        <f>SUM(P1360:P1366)-SUM(P1370:P1371)</f>
        <v>0</v>
      </c>
      <c r="Q1376" s="59">
        <f t="shared" si="205"/>
        <v>0</v>
      </c>
    </row>
    <row r="1377" spans="1:17" ht="14.25" thickBot="1">
      <c r="A1377" s="151"/>
      <c r="B1377" s="147" t="s">
        <v>5</v>
      </c>
      <c r="C1377" s="148"/>
      <c r="D1377" s="42">
        <f t="shared" ref="D1377:O1377" si="217">SUM(D1362:D1366)-SUM(D1367:D1371)+SUM(D1372:D1375)</f>
        <v>0</v>
      </c>
      <c r="E1377" s="42">
        <f t="shared" si="217"/>
        <v>0</v>
      </c>
      <c r="F1377" s="42">
        <f t="shared" si="217"/>
        <v>0</v>
      </c>
      <c r="G1377" s="42">
        <f t="shared" si="217"/>
        <v>0</v>
      </c>
      <c r="H1377" s="42">
        <f t="shared" si="217"/>
        <v>0</v>
      </c>
      <c r="I1377" s="42">
        <f t="shared" si="217"/>
        <v>0</v>
      </c>
      <c r="J1377" s="42">
        <f t="shared" si="217"/>
        <v>0</v>
      </c>
      <c r="K1377" s="42">
        <f t="shared" si="217"/>
        <v>0</v>
      </c>
      <c r="L1377" s="42">
        <f t="shared" si="217"/>
        <v>0</v>
      </c>
      <c r="M1377" s="42">
        <f t="shared" si="217"/>
        <v>0</v>
      </c>
      <c r="N1377" s="42">
        <f t="shared" si="217"/>
        <v>0</v>
      </c>
      <c r="O1377" s="42">
        <f t="shared" si="217"/>
        <v>0</v>
      </c>
      <c r="P1377" s="44">
        <f>SUM(P1360:P1366)-SUM(P1367:P1371)+SUM(P1372:P1375)</f>
        <v>0</v>
      </c>
      <c r="Q1377" s="46">
        <f t="shared" si="205"/>
        <v>0</v>
      </c>
    </row>
    <row r="1378" spans="1:17">
      <c r="A1378" s="149"/>
      <c r="B1378" s="152" t="s">
        <v>12</v>
      </c>
      <c r="C1378" s="114" t="s">
        <v>84</v>
      </c>
      <c r="D1378" s="87"/>
      <c r="E1378" s="87"/>
      <c r="F1378" s="87"/>
      <c r="G1378" s="87"/>
      <c r="H1378" s="87"/>
      <c r="I1378" s="87"/>
      <c r="J1378" s="87"/>
      <c r="K1378" s="87"/>
      <c r="L1378" s="87"/>
      <c r="M1378" s="87"/>
      <c r="N1378" s="87"/>
      <c r="O1378" s="87"/>
      <c r="P1378" s="30"/>
      <c r="Q1378" s="19">
        <f t="shared" si="205"/>
        <v>0</v>
      </c>
    </row>
    <row r="1379" spans="1:17">
      <c r="A1379" s="150"/>
      <c r="B1379" s="153"/>
      <c r="C1379" s="115" t="s">
        <v>85</v>
      </c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28"/>
      <c r="Q1379" s="20">
        <f t="shared" si="205"/>
        <v>0</v>
      </c>
    </row>
    <row r="1380" spans="1:17">
      <c r="A1380" s="150"/>
      <c r="B1380" s="153"/>
      <c r="C1380" s="116" t="s">
        <v>86</v>
      </c>
      <c r="D1380" s="91">
        <f>D1378*D1379</f>
        <v>0</v>
      </c>
      <c r="E1380" s="91">
        <f>E1378*E1379</f>
        <v>0</v>
      </c>
      <c r="F1380" s="91">
        <f>F1378*F1379</f>
        <v>0</v>
      </c>
      <c r="G1380" s="91">
        <f>G1378*G1379</f>
        <v>0</v>
      </c>
      <c r="H1380" s="91">
        <f>H1378*H1379</f>
        <v>0</v>
      </c>
      <c r="I1380" s="91">
        <f t="shared" ref="I1380:O1380" si="218">I1378*I1379</f>
        <v>0</v>
      </c>
      <c r="J1380" s="91">
        <f t="shared" si="218"/>
        <v>0</v>
      </c>
      <c r="K1380" s="91">
        <f t="shared" si="218"/>
        <v>0</v>
      </c>
      <c r="L1380" s="91">
        <f t="shared" si="218"/>
        <v>0</v>
      </c>
      <c r="M1380" s="91">
        <f t="shared" si="218"/>
        <v>0</v>
      </c>
      <c r="N1380" s="91">
        <f t="shared" si="218"/>
        <v>0</v>
      </c>
      <c r="O1380" s="91">
        <f t="shared" si="218"/>
        <v>0</v>
      </c>
      <c r="P1380" s="32"/>
      <c r="Q1380" s="20">
        <f t="shared" si="205"/>
        <v>0</v>
      </c>
    </row>
    <row r="1381" spans="1:17">
      <c r="A1381" s="150"/>
      <c r="B1381" s="153"/>
      <c r="C1381" s="117" t="s">
        <v>9</v>
      </c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32"/>
      <c r="Q1381" s="20">
        <f t="shared" si="205"/>
        <v>0</v>
      </c>
    </row>
    <row r="1382" spans="1:17">
      <c r="A1382" s="150"/>
      <c r="B1382" s="153"/>
      <c r="C1382" s="117" t="s">
        <v>38</v>
      </c>
      <c r="D1382" s="89"/>
      <c r="E1382" s="89"/>
      <c r="F1382" s="89"/>
      <c r="G1382" s="89"/>
      <c r="H1382" s="89"/>
      <c r="I1382" s="89"/>
      <c r="J1382" s="89"/>
      <c r="K1382" s="89"/>
      <c r="L1382" s="89"/>
      <c r="M1382" s="89"/>
      <c r="N1382" s="89"/>
      <c r="O1382" s="89"/>
      <c r="P1382" s="28"/>
      <c r="Q1382" s="20">
        <f t="shared" si="205"/>
        <v>0</v>
      </c>
    </row>
    <row r="1383" spans="1:17">
      <c r="A1383" s="150"/>
      <c r="B1383" s="153"/>
      <c r="C1383" s="62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1"/>
      <c r="O1383" s="91"/>
      <c r="P1383" s="32"/>
      <c r="Q1383" s="20">
        <f t="shared" si="205"/>
        <v>0</v>
      </c>
    </row>
    <row r="1384" spans="1:17">
      <c r="A1384" s="150"/>
      <c r="B1384" s="154"/>
      <c r="C1384" s="6" t="s">
        <v>42</v>
      </c>
      <c r="D1384" s="92"/>
      <c r="E1384" s="92"/>
      <c r="F1384" s="92"/>
      <c r="G1384" s="92"/>
      <c r="H1384" s="92"/>
      <c r="I1384" s="92"/>
      <c r="J1384" s="92"/>
      <c r="K1384" s="92"/>
      <c r="L1384" s="92"/>
      <c r="M1384" s="92"/>
      <c r="N1384" s="92"/>
      <c r="O1384" s="92"/>
      <c r="P1384" s="33"/>
      <c r="Q1384" s="22">
        <f t="shared" si="205"/>
        <v>0</v>
      </c>
    </row>
    <row r="1385" spans="1:17">
      <c r="A1385" s="150"/>
      <c r="B1385" s="155" t="s">
        <v>11</v>
      </c>
      <c r="C1385" s="5" t="s">
        <v>7</v>
      </c>
      <c r="D1385" s="94"/>
      <c r="E1385" s="94"/>
      <c r="F1385" s="94"/>
      <c r="G1385" s="94"/>
      <c r="H1385" s="94"/>
      <c r="I1385" s="94"/>
      <c r="J1385" s="94"/>
      <c r="K1385" s="94"/>
      <c r="L1385" s="94"/>
      <c r="M1385" s="94"/>
      <c r="N1385" s="94"/>
      <c r="O1385" s="94"/>
      <c r="P1385" s="27"/>
      <c r="Q1385" s="21">
        <f t="shared" si="205"/>
        <v>0</v>
      </c>
    </row>
    <row r="1386" spans="1:17">
      <c r="A1386" s="150"/>
      <c r="B1386" s="153"/>
      <c r="C1386" s="6" t="s">
        <v>4</v>
      </c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32"/>
      <c r="Q1386" s="20">
        <f t="shared" si="205"/>
        <v>0</v>
      </c>
    </row>
    <row r="1387" spans="1:17">
      <c r="A1387" s="150"/>
      <c r="B1387" s="153"/>
      <c r="C1387" s="6" t="s">
        <v>17</v>
      </c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91"/>
      <c r="O1387" s="91"/>
      <c r="P1387" s="32"/>
      <c r="Q1387" s="20">
        <f t="shared" si="205"/>
        <v>0</v>
      </c>
    </row>
    <row r="1388" spans="1:17">
      <c r="A1388" s="150"/>
      <c r="B1388" s="153"/>
      <c r="C1388" s="6" t="s">
        <v>18</v>
      </c>
      <c r="D1388" s="91"/>
      <c r="E1388" s="91"/>
      <c r="F1388" s="91"/>
      <c r="G1388" s="91"/>
      <c r="H1388" s="91"/>
      <c r="I1388" s="91"/>
      <c r="J1388" s="91"/>
      <c r="K1388" s="91"/>
      <c r="L1388" s="91"/>
      <c r="M1388" s="91"/>
      <c r="N1388" s="91"/>
      <c r="O1388" s="91"/>
      <c r="P1388" s="32"/>
      <c r="Q1388" s="20">
        <f t="shared" si="205"/>
        <v>0</v>
      </c>
    </row>
    <row r="1389" spans="1:17">
      <c r="A1389" s="150"/>
      <c r="B1389" s="153"/>
      <c r="C1389" s="6" t="s">
        <v>60</v>
      </c>
      <c r="D1389" s="91"/>
      <c r="E1389" s="91"/>
      <c r="F1389" s="91"/>
      <c r="G1389" s="91"/>
      <c r="H1389" s="91"/>
      <c r="I1389" s="91"/>
      <c r="J1389" s="91"/>
      <c r="K1389" s="91"/>
      <c r="L1389" s="91"/>
      <c r="M1389" s="91"/>
      <c r="N1389" s="91"/>
      <c r="O1389" s="91"/>
      <c r="P1389" s="32"/>
      <c r="Q1389" s="20">
        <f t="shared" si="205"/>
        <v>0</v>
      </c>
    </row>
    <row r="1390" spans="1:17">
      <c r="A1390" s="150"/>
      <c r="B1390" s="155" t="s">
        <v>13</v>
      </c>
      <c r="C1390" s="5" t="s">
        <v>10</v>
      </c>
      <c r="D1390" s="94"/>
      <c r="E1390" s="94"/>
      <c r="F1390" s="94"/>
      <c r="G1390" s="94"/>
      <c r="H1390" s="94"/>
      <c r="I1390" s="94"/>
      <c r="J1390" s="94"/>
      <c r="K1390" s="94"/>
      <c r="L1390" s="94"/>
      <c r="M1390" s="94"/>
      <c r="N1390" s="94"/>
      <c r="O1390" s="94"/>
      <c r="P1390" s="27"/>
      <c r="Q1390" s="21">
        <f t="shared" si="205"/>
        <v>0</v>
      </c>
    </row>
    <row r="1391" spans="1:17">
      <c r="A1391" s="150"/>
      <c r="B1391" s="153"/>
      <c r="C1391" s="116" t="s">
        <v>55</v>
      </c>
      <c r="D1391" s="89"/>
      <c r="E1391" s="89"/>
      <c r="F1391" s="89"/>
      <c r="G1391" s="89"/>
      <c r="H1391" s="89"/>
      <c r="I1391" s="89"/>
      <c r="J1391" s="89"/>
      <c r="K1391" s="89"/>
      <c r="L1391" s="89"/>
      <c r="M1391" s="89"/>
      <c r="N1391" s="89"/>
      <c r="O1391" s="89"/>
      <c r="P1391" s="28"/>
      <c r="Q1391" s="20">
        <f t="shared" si="205"/>
        <v>0</v>
      </c>
    </row>
    <row r="1392" spans="1:17">
      <c r="A1392" s="150"/>
      <c r="B1392" s="153"/>
      <c r="C1392" s="8" t="s">
        <v>56</v>
      </c>
      <c r="D1392" s="89"/>
      <c r="E1392" s="89"/>
      <c r="F1392" s="89"/>
      <c r="G1392" s="89"/>
      <c r="H1392" s="89"/>
      <c r="I1392" s="89"/>
      <c r="J1392" s="89"/>
      <c r="K1392" s="89"/>
      <c r="L1392" s="89"/>
      <c r="M1392" s="89"/>
      <c r="N1392" s="89"/>
      <c r="O1392" s="89"/>
      <c r="P1392" s="28"/>
      <c r="Q1392" s="20">
        <f t="shared" si="205"/>
        <v>0</v>
      </c>
    </row>
    <row r="1393" spans="1:17">
      <c r="A1393" s="150"/>
      <c r="B1393" s="154"/>
      <c r="C1393" s="4" t="s">
        <v>61</v>
      </c>
      <c r="D1393" s="92"/>
      <c r="E1393" s="92"/>
      <c r="F1393" s="92"/>
      <c r="G1393" s="92"/>
      <c r="H1393" s="92"/>
      <c r="I1393" s="92"/>
      <c r="J1393" s="92"/>
      <c r="K1393" s="92"/>
      <c r="L1393" s="92"/>
      <c r="M1393" s="92"/>
      <c r="N1393" s="92"/>
      <c r="O1393" s="92"/>
      <c r="P1393" s="33"/>
      <c r="Q1393" s="22">
        <f t="shared" si="205"/>
        <v>0</v>
      </c>
    </row>
    <row r="1394" spans="1:17">
      <c r="A1394" s="150"/>
      <c r="B1394" s="156" t="s">
        <v>54</v>
      </c>
      <c r="C1394" s="157"/>
      <c r="D1394" s="56">
        <f t="shared" ref="D1394:O1394" si="219">SUM(D1380:D1384)-SUM(D1388:D1389)</f>
        <v>0</v>
      </c>
      <c r="E1394" s="56">
        <f t="shared" si="219"/>
        <v>0</v>
      </c>
      <c r="F1394" s="56">
        <f t="shared" si="219"/>
        <v>0</v>
      </c>
      <c r="G1394" s="56">
        <f t="shared" si="219"/>
        <v>0</v>
      </c>
      <c r="H1394" s="56">
        <f t="shared" si="219"/>
        <v>0</v>
      </c>
      <c r="I1394" s="56">
        <f t="shared" si="219"/>
        <v>0</v>
      </c>
      <c r="J1394" s="56">
        <f t="shared" si="219"/>
        <v>0</v>
      </c>
      <c r="K1394" s="56">
        <f t="shared" si="219"/>
        <v>0</v>
      </c>
      <c r="L1394" s="56">
        <f t="shared" si="219"/>
        <v>0</v>
      </c>
      <c r="M1394" s="56">
        <f t="shared" si="219"/>
        <v>0</v>
      </c>
      <c r="N1394" s="56">
        <f t="shared" si="219"/>
        <v>0</v>
      </c>
      <c r="O1394" s="56">
        <f t="shared" si="219"/>
        <v>0</v>
      </c>
      <c r="P1394" s="58">
        <f>SUM(P1378:P1384)-SUM(P1388:P1389)</f>
        <v>0</v>
      </c>
      <c r="Q1394" s="59">
        <f t="shared" si="205"/>
        <v>0</v>
      </c>
    </row>
    <row r="1395" spans="1:17" ht="14.25" thickBot="1">
      <c r="A1395" s="151"/>
      <c r="B1395" s="147" t="s">
        <v>5</v>
      </c>
      <c r="C1395" s="148"/>
      <c r="D1395" s="42">
        <f t="shared" ref="D1395:O1395" si="220">SUM(D1380:D1384)-SUM(D1385:D1389)+SUM(D1390:D1393)</f>
        <v>0</v>
      </c>
      <c r="E1395" s="42">
        <f t="shared" si="220"/>
        <v>0</v>
      </c>
      <c r="F1395" s="42">
        <f t="shared" si="220"/>
        <v>0</v>
      </c>
      <c r="G1395" s="42">
        <f t="shared" si="220"/>
        <v>0</v>
      </c>
      <c r="H1395" s="42">
        <f t="shared" si="220"/>
        <v>0</v>
      </c>
      <c r="I1395" s="42">
        <f t="shared" si="220"/>
        <v>0</v>
      </c>
      <c r="J1395" s="42">
        <f t="shared" si="220"/>
        <v>0</v>
      </c>
      <c r="K1395" s="42">
        <f t="shared" si="220"/>
        <v>0</v>
      </c>
      <c r="L1395" s="42">
        <f t="shared" si="220"/>
        <v>0</v>
      </c>
      <c r="M1395" s="42">
        <f t="shared" si="220"/>
        <v>0</v>
      </c>
      <c r="N1395" s="42">
        <f t="shared" si="220"/>
        <v>0</v>
      </c>
      <c r="O1395" s="42">
        <f t="shared" si="220"/>
        <v>0</v>
      </c>
      <c r="P1395" s="44">
        <f>SUM(P1378:P1384)-SUM(P1385:P1389)+SUM(P1390:P1393)</f>
        <v>0</v>
      </c>
      <c r="Q1395" s="46">
        <f t="shared" si="205"/>
        <v>0</v>
      </c>
    </row>
    <row r="1396" spans="1:17">
      <c r="A1396" s="149"/>
      <c r="B1396" s="152" t="s">
        <v>12</v>
      </c>
      <c r="C1396" s="114" t="s">
        <v>84</v>
      </c>
      <c r="D1396" s="87"/>
      <c r="E1396" s="87"/>
      <c r="F1396" s="87"/>
      <c r="G1396" s="87"/>
      <c r="H1396" s="87"/>
      <c r="I1396" s="87"/>
      <c r="J1396" s="87"/>
      <c r="K1396" s="87"/>
      <c r="L1396" s="87"/>
      <c r="M1396" s="87"/>
      <c r="N1396" s="87"/>
      <c r="O1396" s="87"/>
      <c r="P1396" s="30"/>
      <c r="Q1396" s="19">
        <f t="shared" si="205"/>
        <v>0</v>
      </c>
    </row>
    <row r="1397" spans="1:17">
      <c r="A1397" s="150"/>
      <c r="B1397" s="153"/>
      <c r="C1397" s="115" t="s">
        <v>85</v>
      </c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28"/>
      <c r="Q1397" s="20">
        <f t="shared" si="205"/>
        <v>0</v>
      </c>
    </row>
    <row r="1398" spans="1:17">
      <c r="A1398" s="150"/>
      <c r="B1398" s="153"/>
      <c r="C1398" s="116" t="s">
        <v>86</v>
      </c>
      <c r="D1398" s="91">
        <f>D1396*D1397</f>
        <v>0</v>
      </c>
      <c r="E1398" s="91">
        <f>E1396*E1397</f>
        <v>0</v>
      </c>
      <c r="F1398" s="91">
        <f>F1396*F1397</f>
        <v>0</v>
      </c>
      <c r="G1398" s="91">
        <f>G1396*G1397</f>
        <v>0</v>
      </c>
      <c r="H1398" s="91">
        <f>H1396*H1397</f>
        <v>0</v>
      </c>
      <c r="I1398" s="91">
        <f t="shared" ref="I1398:O1398" si="221">I1396*I1397</f>
        <v>0</v>
      </c>
      <c r="J1398" s="91">
        <f t="shared" si="221"/>
        <v>0</v>
      </c>
      <c r="K1398" s="91">
        <f t="shared" si="221"/>
        <v>0</v>
      </c>
      <c r="L1398" s="91">
        <f t="shared" si="221"/>
        <v>0</v>
      </c>
      <c r="M1398" s="91">
        <f t="shared" si="221"/>
        <v>0</v>
      </c>
      <c r="N1398" s="91">
        <f t="shared" si="221"/>
        <v>0</v>
      </c>
      <c r="O1398" s="91">
        <f t="shared" si="221"/>
        <v>0</v>
      </c>
      <c r="P1398" s="32"/>
      <c r="Q1398" s="20">
        <f t="shared" si="205"/>
        <v>0</v>
      </c>
    </row>
    <row r="1399" spans="1:17">
      <c r="A1399" s="150"/>
      <c r="B1399" s="153"/>
      <c r="C1399" s="117" t="s">
        <v>9</v>
      </c>
      <c r="D1399" s="91"/>
      <c r="E1399" s="91"/>
      <c r="F1399" s="91"/>
      <c r="G1399" s="91"/>
      <c r="H1399" s="91"/>
      <c r="I1399" s="91"/>
      <c r="J1399" s="91"/>
      <c r="K1399" s="91"/>
      <c r="L1399" s="91"/>
      <c r="M1399" s="91"/>
      <c r="N1399" s="91"/>
      <c r="O1399" s="91"/>
      <c r="P1399" s="32"/>
      <c r="Q1399" s="20">
        <f t="shared" si="205"/>
        <v>0</v>
      </c>
    </row>
    <row r="1400" spans="1:17">
      <c r="A1400" s="150"/>
      <c r="B1400" s="153"/>
      <c r="C1400" s="117" t="s">
        <v>38</v>
      </c>
      <c r="D1400" s="89"/>
      <c r="E1400" s="89"/>
      <c r="F1400" s="89"/>
      <c r="G1400" s="89"/>
      <c r="H1400" s="89"/>
      <c r="I1400" s="89"/>
      <c r="J1400" s="89"/>
      <c r="K1400" s="89"/>
      <c r="L1400" s="89"/>
      <c r="M1400" s="89"/>
      <c r="N1400" s="89"/>
      <c r="O1400" s="89"/>
      <c r="P1400" s="28"/>
      <c r="Q1400" s="20">
        <f t="shared" si="205"/>
        <v>0</v>
      </c>
    </row>
    <row r="1401" spans="1:17">
      <c r="A1401" s="150"/>
      <c r="B1401" s="153"/>
      <c r="C1401" s="62"/>
      <c r="D1401" s="91"/>
      <c r="E1401" s="91"/>
      <c r="F1401" s="91"/>
      <c r="G1401" s="91"/>
      <c r="H1401" s="91"/>
      <c r="I1401" s="91"/>
      <c r="J1401" s="91"/>
      <c r="K1401" s="91"/>
      <c r="L1401" s="91"/>
      <c r="M1401" s="91"/>
      <c r="N1401" s="91"/>
      <c r="O1401" s="91"/>
      <c r="P1401" s="32"/>
      <c r="Q1401" s="20">
        <f t="shared" si="205"/>
        <v>0</v>
      </c>
    </row>
    <row r="1402" spans="1:17">
      <c r="A1402" s="150"/>
      <c r="B1402" s="154"/>
      <c r="C1402" s="6" t="s">
        <v>42</v>
      </c>
      <c r="D1402" s="92"/>
      <c r="E1402" s="92"/>
      <c r="F1402" s="92"/>
      <c r="G1402" s="92"/>
      <c r="H1402" s="92"/>
      <c r="I1402" s="92"/>
      <c r="J1402" s="92"/>
      <c r="K1402" s="92"/>
      <c r="L1402" s="92"/>
      <c r="M1402" s="92"/>
      <c r="N1402" s="92"/>
      <c r="O1402" s="92"/>
      <c r="P1402" s="33"/>
      <c r="Q1402" s="22">
        <f t="shared" si="205"/>
        <v>0</v>
      </c>
    </row>
    <row r="1403" spans="1:17">
      <c r="A1403" s="150"/>
      <c r="B1403" s="155" t="s">
        <v>11</v>
      </c>
      <c r="C1403" s="5" t="s">
        <v>7</v>
      </c>
      <c r="D1403" s="94"/>
      <c r="E1403" s="94"/>
      <c r="F1403" s="94"/>
      <c r="G1403" s="94"/>
      <c r="H1403" s="94"/>
      <c r="I1403" s="94"/>
      <c r="J1403" s="94"/>
      <c r="K1403" s="94"/>
      <c r="L1403" s="94"/>
      <c r="M1403" s="94"/>
      <c r="N1403" s="94"/>
      <c r="O1403" s="94"/>
      <c r="P1403" s="27"/>
      <c r="Q1403" s="21">
        <f t="shared" si="205"/>
        <v>0</v>
      </c>
    </row>
    <row r="1404" spans="1:17">
      <c r="A1404" s="150"/>
      <c r="B1404" s="153"/>
      <c r="C1404" s="6" t="s">
        <v>4</v>
      </c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91"/>
      <c r="O1404" s="91"/>
      <c r="P1404" s="32"/>
      <c r="Q1404" s="20">
        <f t="shared" si="205"/>
        <v>0</v>
      </c>
    </row>
    <row r="1405" spans="1:17">
      <c r="A1405" s="150"/>
      <c r="B1405" s="153"/>
      <c r="C1405" s="6" t="s">
        <v>17</v>
      </c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91"/>
      <c r="O1405" s="91"/>
      <c r="P1405" s="32"/>
      <c r="Q1405" s="20">
        <f t="shared" si="205"/>
        <v>0</v>
      </c>
    </row>
    <row r="1406" spans="1:17">
      <c r="A1406" s="150"/>
      <c r="B1406" s="153"/>
      <c r="C1406" s="6" t="s">
        <v>18</v>
      </c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91"/>
      <c r="O1406" s="91"/>
      <c r="P1406" s="32"/>
      <c r="Q1406" s="20">
        <f t="shared" si="205"/>
        <v>0</v>
      </c>
    </row>
    <row r="1407" spans="1:17">
      <c r="A1407" s="150"/>
      <c r="B1407" s="153"/>
      <c r="C1407" s="6" t="s">
        <v>60</v>
      </c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91"/>
      <c r="O1407" s="91"/>
      <c r="P1407" s="32"/>
      <c r="Q1407" s="20">
        <f t="shared" si="205"/>
        <v>0</v>
      </c>
    </row>
    <row r="1408" spans="1:17">
      <c r="A1408" s="150"/>
      <c r="B1408" s="155" t="s">
        <v>13</v>
      </c>
      <c r="C1408" s="5" t="s">
        <v>10</v>
      </c>
      <c r="D1408" s="94"/>
      <c r="E1408" s="94"/>
      <c r="F1408" s="94"/>
      <c r="G1408" s="94"/>
      <c r="H1408" s="94"/>
      <c r="I1408" s="94"/>
      <c r="J1408" s="94"/>
      <c r="K1408" s="94"/>
      <c r="L1408" s="94"/>
      <c r="M1408" s="94"/>
      <c r="N1408" s="94"/>
      <c r="O1408" s="94"/>
      <c r="P1408" s="27"/>
      <c r="Q1408" s="21">
        <f t="shared" si="205"/>
        <v>0</v>
      </c>
    </row>
    <row r="1409" spans="1:17">
      <c r="A1409" s="150"/>
      <c r="B1409" s="153"/>
      <c r="C1409" s="116" t="s">
        <v>55</v>
      </c>
      <c r="D1409" s="89"/>
      <c r="E1409" s="89"/>
      <c r="F1409" s="89"/>
      <c r="G1409" s="89"/>
      <c r="H1409" s="89"/>
      <c r="I1409" s="89"/>
      <c r="J1409" s="89"/>
      <c r="K1409" s="89"/>
      <c r="L1409" s="89"/>
      <c r="M1409" s="89"/>
      <c r="N1409" s="89"/>
      <c r="O1409" s="89"/>
      <c r="P1409" s="28"/>
      <c r="Q1409" s="20">
        <f t="shared" si="205"/>
        <v>0</v>
      </c>
    </row>
    <row r="1410" spans="1:17">
      <c r="A1410" s="150"/>
      <c r="B1410" s="153"/>
      <c r="C1410" s="8" t="s">
        <v>56</v>
      </c>
      <c r="D1410" s="89"/>
      <c r="E1410" s="89"/>
      <c r="F1410" s="89"/>
      <c r="G1410" s="89"/>
      <c r="H1410" s="89"/>
      <c r="I1410" s="89"/>
      <c r="J1410" s="89"/>
      <c r="K1410" s="89"/>
      <c r="L1410" s="89"/>
      <c r="M1410" s="89"/>
      <c r="N1410" s="89"/>
      <c r="O1410" s="89"/>
      <c r="P1410" s="28"/>
      <c r="Q1410" s="20">
        <f t="shared" si="205"/>
        <v>0</v>
      </c>
    </row>
    <row r="1411" spans="1:17">
      <c r="A1411" s="150"/>
      <c r="B1411" s="154"/>
      <c r="C1411" s="4" t="s">
        <v>61</v>
      </c>
      <c r="D1411" s="92"/>
      <c r="E1411" s="92"/>
      <c r="F1411" s="92"/>
      <c r="G1411" s="92"/>
      <c r="H1411" s="92"/>
      <c r="I1411" s="92"/>
      <c r="J1411" s="92"/>
      <c r="K1411" s="92"/>
      <c r="L1411" s="92"/>
      <c r="M1411" s="92"/>
      <c r="N1411" s="92"/>
      <c r="O1411" s="92"/>
      <c r="P1411" s="33"/>
      <c r="Q1411" s="22">
        <f t="shared" si="205"/>
        <v>0</v>
      </c>
    </row>
    <row r="1412" spans="1:17">
      <c r="A1412" s="150"/>
      <c r="B1412" s="156" t="s">
        <v>54</v>
      </c>
      <c r="C1412" s="157"/>
      <c r="D1412" s="56">
        <f t="shared" ref="D1412:O1412" si="222">SUM(D1398:D1402)-SUM(D1406:D1407)</f>
        <v>0</v>
      </c>
      <c r="E1412" s="56">
        <f t="shared" si="222"/>
        <v>0</v>
      </c>
      <c r="F1412" s="56">
        <f t="shared" si="222"/>
        <v>0</v>
      </c>
      <c r="G1412" s="56">
        <f t="shared" si="222"/>
        <v>0</v>
      </c>
      <c r="H1412" s="56">
        <f t="shared" si="222"/>
        <v>0</v>
      </c>
      <c r="I1412" s="56">
        <f t="shared" si="222"/>
        <v>0</v>
      </c>
      <c r="J1412" s="56">
        <f t="shared" si="222"/>
        <v>0</v>
      </c>
      <c r="K1412" s="56">
        <f t="shared" si="222"/>
        <v>0</v>
      </c>
      <c r="L1412" s="56">
        <f t="shared" si="222"/>
        <v>0</v>
      </c>
      <c r="M1412" s="56">
        <f t="shared" si="222"/>
        <v>0</v>
      </c>
      <c r="N1412" s="56">
        <f t="shared" si="222"/>
        <v>0</v>
      </c>
      <c r="O1412" s="56">
        <f t="shared" si="222"/>
        <v>0</v>
      </c>
      <c r="P1412" s="58">
        <f>SUM(P1396:P1402)-SUM(P1406:P1407)</f>
        <v>0</v>
      </c>
      <c r="Q1412" s="59">
        <f t="shared" si="205"/>
        <v>0</v>
      </c>
    </row>
    <row r="1413" spans="1:17" ht="14.25" thickBot="1">
      <c r="A1413" s="151"/>
      <c r="B1413" s="147" t="s">
        <v>5</v>
      </c>
      <c r="C1413" s="148"/>
      <c r="D1413" s="42">
        <f t="shared" ref="D1413:O1413" si="223">SUM(D1398:D1402)-SUM(D1403:D1407)+SUM(D1408:D1411)</f>
        <v>0</v>
      </c>
      <c r="E1413" s="42">
        <f t="shared" si="223"/>
        <v>0</v>
      </c>
      <c r="F1413" s="42">
        <f t="shared" si="223"/>
        <v>0</v>
      </c>
      <c r="G1413" s="42">
        <f t="shared" si="223"/>
        <v>0</v>
      </c>
      <c r="H1413" s="42">
        <f t="shared" si="223"/>
        <v>0</v>
      </c>
      <c r="I1413" s="42">
        <f t="shared" si="223"/>
        <v>0</v>
      </c>
      <c r="J1413" s="42">
        <f t="shared" si="223"/>
        <v>0</v>
      </c>
      <c r="K1413" s="42">
        <f t="shared" si="223"/>
        <v>0</v>
      </c>
      <c r="L1413" s="42">
        <f t="shared" si="223"/>
        <v>0</v>
      </c>
      <c r="M1413" s="42">
        <f t="shared" si="223"/>
        <v>0</v>
      </c>
      <c r="N1413" s="42">
        <f t="shared" si="223"/>
        <v>0</v>
      </c>
      <c r="O1413" s="42">
        <f t="shared" si="223"/>
        <v>0</v>
      </c>
      <c r="P1413" s="44">
        <f>SUM(P1396:P1402)-SUM(P1403:P1407)+SUM(P1408:P1411)</f>
        <v>0</v>
      </c>
      <c r="Q1413" s="46">
        <f t="shared" si="205"/>
        <v>0</v>
      </c>
    </row>
    <row r="1414" spans="1:17">
      <c r="A1414" s="149"/>
      <c r="B1414" s="152" t="s">
        <v>12</v>
      </c>
      <c r="C1414" s="114" t="s">
        <v>84</v>
      </c>
      <c r="D1414" s="87"/>
      <c r="E1414" s="87"/>
      <c r="F1414" s="87"/>
      <c r="G1414" s="87"/>
      <c r="H1414" s="87"/>
      <c r="I1414" s="87"/>
      <c r="J1414" s="87"/>
      <c r="K1414" s="87"/>
      <c r="L1414" s="87"/>
      <c r="M1414" s="87"/>
      <c r="N1414" s="87"/>
      <c r="O1414" s="87"/>
      <c r="P1414" s="30"/>
      <c r="Q1414" s="19">
        <f t="shared" si="205"/>
        <v>0</v>
      </c>
    </row>
    <row r="1415" spans="1:17">
      <c r="A1415" s="150"/>
      <c r="B1415" s="153"/>
      <c r="C1415" s="115" t="s">
        <v>85</v>
      </c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28"/>
      <c r="Q1415" s="20">
        <f t="shared" si="205"/>
        <v>0</v>
      </c>
    </row>
    <row r="1416" spans="1:17">
      <c r="A1416" s="150"/>
      <c r="B1416" s="153"/>
      <c r="C1416" s="116" t="s">
        <v>86</v>
      </c>
      <c r="D1416" s="91">
        <f>D1414*D1415</f>
        <v>0</v>
      </c>
      <c r="E1416" s="91">
        <f>E1414*E1415</f>
        <v>0</v>
      </c>
      <c r="F1416" s="91">
        <f>F1414*F1415</f>
        <v>0</v>
      </c>
      <c r="G1416" s="91">
        <f>G1414*G1415</f>
        <v>0</v>
      </c>
      <c r="H1416" s="91">
        <f>H1414*H1415</f>
        <v>0</v>
      </c>
      <c r="I1416" s="91">
        <f t="shared" ref="I1416:O1416" si="224">I1414*I1415</f>
        <v>0</v>
      </c>
      <c r="J1416" s="91">
        <f t="shared" si="224"/>
        <v>0</v>
      </c>
      <c r="K1416" s="91">
        <f t="shared" si="224"/>
        <v>0</v>
      </c>
      <c r="L1416" s="91">
        <f t="shared" si="224"/>
        <v>0</v>
      </c>
      <c r="M1416" s="91">
        <f t="shared" si="224"/>
        <v>0</v>
      </c>
      <c r="N1416" s="91">
        <f t="shared" si="224"/>
        <v>0</v>
      </c>
      <c r="O1416" s="91">
        <f t="shared" si="224"/>
        <v>0</v>
      </c>
      <c r="P1416" s="32"/>
      <c r="Q1416" s="20">
        <f t="shared" si="205"/>
        <v>0</v>
      </c>
    </row>
    <row r="1417" spans="1:17">
      <c r="A1417" s="150"/>
      <c r="B1417" s="153"/>
      <c r="C1417" s="117" t="s">
        <v>9</v>
      </c>
      <c r="D1417" s="91"/>
      <c r="E1417" s="91"/>
      <c r="F1417" s="91"/>
      <c r="G1417" s="91"/>
      <c r="H1417" s="91"/>
      <c r="I1417" s="91"/>
      <c r="J1417" s="91"/>
      <c r="K1417" s="91"/>
      <c r="L1417" s="91"/>
      <c r="M1417" s="91"/>
      <c r="N1417" s="91"/>
      <c r="O1417" s="91"/>
      <c r="P1417" s="32"/>
      <c r="Q1417" s="20">
        <f t="shared" si="205"/>
        <v>0</v>
      </c>
    </row>
    <row r="1418" spans="1:17">
      <c r="A1418" s="150"/>
      <c r="B1418" s="153"/>
      <c r="C1418" s="117" t="s">
        <v>38</v>
      </c>
      <c r="D1418" s="89"/>
      <c r="E1418" s="89"/>
      <c r="F1418" s="89"/>
      <c r="G1418" s="89"/>
      <c r="H1418" s="89"/>
      <c r="I1418" s="89"/>
      <c r="J1418" s="89"/>
      <c r="K1418" s="89"/>
      <c r="L1418" s="89"/>
      <c r="M1418" s="89"/>
      <c r="N1418" s="89"/>
      <c r="O1418" s="89"/>
      <c r="P1418" s="28"/>
      <c r="Q1418" s="20">
        <f t="shared" si="205"/>
        <v>0</v>
      </c>
    </row>
    <row r="1419" spans="1:17">
      <c r="A1419" s="150"/>
      <c r="B1419" s="153"/>
      <c r="C1419" s="62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91"/>
      <c r="O1419" s="91"/>
      <c r="P1419" s="32"/>
      <c r="Q1419" s="20">
        <f t="shared" si="205"/>
        <v>0</v>
      </c>
    </row>
    <row r="1420" spans="1:17">
      <c r="A1420" s="150"/>
      <c r="B1420" s="154"/>
      <c r="C1420" s="6" t="s">
        <v>42</v>
      </c>
      <c r="D1420" s="92"/>
      <c r="E1420" s="92"/>
      <c r="F1420" s="92"/>
      <c r="G1420" s="92"/>
      <c r="H1420" s="92"/>
      <c r="I1420" s="92"/>
      <c r="J1420" s="92"/>
      <c r="K1420" s="92"/>
      <c r="L1420" s="92"/>
      <c r="M1420" s="92"/>
      <c r="N1420" s="92"/>
      <c r="O1420" s="92"/>
      <c r="P1420" s="33"/>
      <c r="Q1420" s="22">
        <f t="shared" si="205"/>
        <v>0</v>
      </c>
    </row>
    <row r="1421" spans="1:17">
      <c r="A1421" s="150"/>
      <c r="B1421" s="155" t="s">
        <v>11</v>
      </c>
      <c r="C1421" s="5" t="s">
        <v>7</v>
      </c>
      <c r="D1421" s="94"/>
      <c r="E1421" s="94"/>
      <c r="F1421" s="94"/>
      <c r="G1421" s="94"/>
      <c r="H1421" s="94"/>
      <c r="I1421" s="94"/>
      <c r="J1421" s="94"/>
      <c r="K1421" s="94"/>
      <c r="L1421" s="94"/>
      <c r="M1421" s="94"/>
      <c r="N1421" s="94"/>
      <c r="O1421" s="94"/>
      <c r="P1421" s="27"/>
      <c r="Q1421" s="21">
        <f t="shared" si="205"/>
        <v>0</v>
      </c>
    </row>
    <row r="1422" spans="1:17">
      <c r="A1422" s="150"/>
      <c r="B1422" s="153"/>
      <c r="C1422" s="6" t="s">
        <v>4</v>
      </c>
      <c r="D1422" s="91"/>
      <c r="E1422" s="91"/>
      <c r="F1422" s="91"/>
      <c r="G1422" s="91"/>
      <c r="H1422" s="91"/>
      <c r="I1422" s="91"/>
      <c r="J1422" s="91"/>
      <c r="K1422" s="91"/>
      <c r="L1422" s="91"/>
      <c r="M1422" s="91"/>
      <c r="N1422" s="91"/>
      <c r="O1422" s="91"/>
      <c r="P1422" s="32"/>
      <c r="Q1422" s="20">
        <f t="shared" si="205"/>
        <v>0</v>
      </c>
    </row>
    <row r="1423" spans="1:17">
      <c r="A1423" s="150"/>
      <c r="B1423" s="153"/>
      <c r="C1423" s="6" t="s">
        <v>17</v>
      </c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91"/>
      <c r="O1423" s="91"/>
      <c r="P1423" s="32"/>
      <c r="Q1423" s="20">
        <f t="shared" si="205"/>
        <v>0</v>
      </c>
    </row>
    <row r="1424" spans="1:17">
      <c r="A1424" s="150"/>
      <c r="B1424" s="153"/>
      <c r="C1424" s="6" t="s">
        <v>18</v>
      </c>
      <c r="D1424" s="91"/>
      <c r="E1424" s="91"/>
      <c r="F1424" s="91"/>
      <c r="G1424" s="91"/>
      <c r="H1424" s="91"/>
      <c r="I1424" s="91"/>
      <c r="J1424" s="91"/>
      <c r="K1424" s="91"/>
      <c r="L1424" s="91"/>
      <c r="M1424" s="91"/>
      <c r="N1424" s="91"/>
      <c r="O1424" s="91"/>
      <c r="P1424" s="32"/>
      <c r="Q1424" s="20">
        <f t="shared" si="205"/>
        <v>0</v>
      </c>
    </row>
    <row r="1425" spans="1:17">
      <c r="A1425" s="150"/>
      <c r="B1425" s="153"/>
      <c r="C1425" s="6" t="s">
        <v>60</v>
      </c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1"/>
      <c r="O1425" s="91"/>
      <c r="P1425" s="32"/>
      <c r="Q1425" s="20">
        <f t="shared" si="205"/>
        <v>0</v>
      </c>
    </row>
    <row r="1426" spans="1:17">
      <c r="A1426" s="150"/>
      <c r="B1426" s="155" t="s">
        <v>13</v>
      </c>
      <c r="C1426" s="5" t="s">
        <v>10</v>
      </c>
      <c r="D1426" s="94"/>
      <c r="E1426" s="94"/>
      <c r="F1426" s="94"/>
      <c r="G1426" s="94"/>
      <c r="H1426" s="94"/>
      <c r="I1426" s="94"/>
      <c r="J1426" s="94"/>
      <c r="K1426" s="94"/>
      <c r="L1426" s="94"/>
      <c r="M1426" s="94"/>
      <c r="N1426" s="94"/>
      <c r="O1426" s="94"/>
      <c r="P1426" s="27"/>
      <c r="Q1426" s="21">
        <f t="shared" si="205"/>
        <v>0</v>
      </c>
    </row>
    <row r="1427" spans="1:17">
      <c r="A1427" s="150"/>
      <c r="B1427" s="153"/>
      <c r="C1427" s="116" t="s">
        <v>55</v>
      </c>
      <c r="D1427" s="89"/>
      <c r="E1427" s="89"/>
      <c r="F1427" s="89"/>
      <c r="G1427" s="89"/>
      <c r="H1427" s="89"/>
      <c r="I1427" s="89"/>
      <c r="J1427" s="89"/>
      <c r="K1427" s="89"/>
      <c r="L1427" s="89"/>
      <c r="M1427" s="89"/>
      <c r="N1427" s="89"/>
      <c r="O1427" s="89"/>
      <c r="P1427" s="28"/>
      <c r="Q1427" s="20">
        <f t="shared" si="205"/>
        <v>0</v>
      </c>
    </row>
    <row r="1428" spans="1:17">
      <c r="A1428" s="150"/>
      <c r="B1428" s="153"/>
      <c r="C1428" s="8" t="s">
        <v>56</v>
      </c>
      <c r="D1428" s="89"/>
      <c r="E1428" s="89"/>
      <c r="F1428" s="89"/>
      <c r="G1428" s="89"/>
      <c r="H1428" s="89"/>
      <c r="I1428" s="89"/>
      <c r="J1428" s="89"/>
      <c r="K1428" s="89"/>
      <c r="L1428" s="89"/>
      <c r="M1428" s="89"/>
      <c r="N1428" s="89"/>
      <c r="O1428" s="89"/>
      <c r="P1428" s="28"/>
      <c r="Q1428" s="20">
        <f t="shared" si="205"/>
        <v>0</v>
      </c>
    </row>
    <row r="1429" spans="1:17">
      <c r="A1429" s="150"/>
      <c r="B1429" s="154"/>
      <c r="C1429" s="4" t="s">
        <v>61</v>
      </c>
      <c r="D1429" s="92"/>
      <c r="E1429" s="92"/>
      <c r="F1429" s="92"/>
      <c r="G1429" s="92"/>
      <c r="H1429" s="92"/>
      <c r="I1429" s="92"/>
      <c r="J1429" s="92"/>
      <c r="K1429" s="92"/>
      <c r="L1429" s="92"/>
      <c r="M1429" s="92"/>
      <c r="N1429" s="92"/>
      <c r="O1429" s="92"/>
      <c r="P1429" s="33"/>
      <c r="Q1429" s="22">
        <f t="shared" si="205"/>
        <v>0</v>
      </c>
    </row>
    <row r="1430" spans="1:17">
      <c r="A1430" s="150"/>
      <c r="B1430" s="156" t="s">
        <v>54</v>
      </c>
      <c r="C1430" s="157"/>
      <c r="D1430" s="56">
        <f t="shared" ref="D1430:O1430" si="225">SUM(D1416:D1420)-SUM(D1424:D1425)</f>
        <v>0</v>
      </c>
      <c r="E1430" s="56">
        <f t="shared" si="225"/>
        <v>0</v>
      </c>
      <c r="F1430" s="56">
        <f t="shared" si="225"/>
        <v>0</v>
      </c>
      <c r="G1430" s="56">
        <f t="shared" si="225"/>
        <v>0</v>
      </c>
      <c r="H1430" s="56">
        <f t="shared" si="225"/>
        <v>0</v>
      </c>
      <c r="I1430" s="56">
        <f t="shared" si="225"/>
        <v>0</v>
      </c>
      <c r="J1430" s="56">
        <f t="shared" si="225"/>
        <v>0</v>
      </c>
      <c r="K1430" s="56">
        <f t="shared" si="225"/>
        <v>0</v>
      </c>
      <c r="L1430" s="56">
        <f t="shared" si="225"/>
        <v>0</v>
      </c>
      <c r="M1430" s="56">
        <f t="shared" si="225"/>
        <v>0</v>
      </c>
      <c r="N1430" s="56">
        <f t="shared" si="225"/>
        <v>0</v>
      </c>
      <c r="O1430" s="56">
        <f t="shared" si="225"/>
        <v>0</v>
      </c>
      <c r="P1430" s="58">
        <f>SUM(P1414:P1420)-SUM(P1424:P1425)</f>
        <v>0</v>
      </c>
      <c r="Q1430" s="59">
        <f t="shared" si="205"/>
        <v>0</v>
      </c>
    </row>
    <row r="1431" spans="1:17" ht="14.25" thickBot="1">
      <c r="A1431" s="151"/>
      <c r="B1431" s="147" t="s">
        <v>5</v>
      </c>
      <c r="C1431" s="148"/>
      <c r="D1431" s="42">
        <f t="shared" ref="D1431:O1431" si="226">SUM(D1416:D1420)-SUM(D1421:D1425)+SUM(D1426:D1429)</f>
        <v>0</v>
      </c>
      <c r="E1431" s="42">
        <f t="shared" si="226"/>
        <v>0</v>
      </c>
      <c r="F1431" s="42">
        <f t="shared" si="226"/>
        <v>0</v>
      </c>
      <c r="G1431" s="42">
        <f t="shared" si="226"/>
        <v>0</v>
      </c>
      <c r="H1431" s="42">
        <f t="shared" si="226"/>
        <v>0</v>
      </c>
      <c r="I1431" s="42">
        <f t="shared" si="226"/>
        <v>0</v>
      </c>
      <c r="J1431" s="42">
        <f t="shared" si="226"/>
        <v>0</v>
      </c>
      <c r="K1431" s="42">
        <f t="shared" si="226"/>
        <v>0</v>
      </c>
      <c r="L1431" s="42">
        <f t="shared" si="226"/>
        <v>0</v>
      </c>
      <c r="M1431" s="42">
        <f t="shared" si="226"/>
        <v>0</v>
      </c>
      <c r="N1431" s="42">
        <f t="shared" si="226"/>
        <v>0</v>
      </c>
      <c r="O1431" s="42">
        <f t="shared" si="226"/>
        <v>0</v>
      </c>
      <c r="P1431" s="44">
        <f>SUM(P1414:P1420)-SUM(P1421:P1425)+SUM(P1426:P1429)</f>
        <v>0</v>
      </c>
      <c r="Q1431" s="46">
        <f t="shared" si="205"/>
        <v>0</v>
      </c>
    </row>
    <row r="1432" spans="1:17">
      <c r="A1432" s="149"/>
      <c r="B1432" s="152" t="s">
        <v>12</v>
      </c>
      <c r="C1432" s="114" t="s">
        <v>84</v>
      </c>
      <c r="D1432" s="87"/>
      <c r="E1432" s="87"/>
      <c r="F1432" s="87"/>
      <c r="G1432" s="87"/>
      <c r="H1432" s="87"/>
      <c r="I1432" s="87"/>
      <c r="J1432" s="87"/>
      <c r="K1432" s="87"/>
      <c r="L1432" s="87"/>
      <c r="M1432" s="87"/>
      <c r="N1432" s="87"/>
      <c r="O1432" s="87"/>
      <c r="P1432" s="30"/>
      <c r="Q1432" s="19">
        <f t="shared" si="205"/>
        <v>0</v>
      </c>
    </row>
    <row r="1433" spans="1:17">
      <c r="A1433" s="150"/>
      <c r="B1433" s="153"/>
      <c r="C1433" s="115" t="s">
        <v>85</v>
      </c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28"/>
      <c r="Q1433" s="20">
        <f t="shared" si="205"/>
        <v>0</v>
      </c>
    </row>
    <row r="1434" spans="1:17">
      <c r="A1434" s="150"/>
      <c r="B1434" s="153"/>
      <c r="C1434" s="116" t="s">
        <v>86</v>
      </c>
      <c r="D1434" s="91">
        <f>D1432*D1433</f>
        <v>0</v>
      </c>
      <c r="E1434" s="91">
        <f>E1432*E1433</f>
        <v>0</v>
      </c>
      <c r="F1434" s="91">
        <f>F1432*F1433</f>
        <v>0</v>
      </c>
      <c r="G1434" s="91">
        <f>G1432*G1433</f>
        <v>0</v>
      </c>
      <c r="H1434" s="91">
        <f>H1432*H1433</f>
        <v>0</v>
      </c>
      <c r="I1434" s="91">
        <f t="shared" ref="I1434:O1434" si="227">I1432*I1433</f>
        <v>0</v>
      </c>
      <c r="J1434" s="91">
        <f t="shared" si="227"/>
        <v>0</v>
      </c>
      <c r="K1434" s="91">
        <f t="shared" si="227"/>
        <v>0</v>
      </c>
      <c r="L1434" s="91">
        <f t="shared" si="227"/>
        <v>0</v>
      </c>
      <c r="M1434" s="91">
        <f t="shared" si="227"/>
        <v>0</v>
      </c>
      <c r="N1434" s="91">
        <f t="shared" si="227"/>
        <v>0</v>
      </c>
      <c r="O1434" s="91">
        <f t="shared" si="227"/>
        <v>0</v>
      </c>
      <c r="P1434" s="32"/>
      <c r="Q1434" s="20">
        <f t="shared" si="205"/>
        <v>0</v>
      </c>
    </row>
    <row r="1435" spans="1:17">
      <c r="A1435" s="150"/>
      <c r="B1435" s="153"/>
      <c r="C1435" s="117" t="s">
        <v>9</v>
      </c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91"/>
      <c r="O1435" s="91"/>
      <c r="P1435" s="32"/>
      <c r="Q1435" s="20">
        <f t="shared" si="205"/>
        <v>0</v>
      </c>
    </row>
    <row r="1436" spans="1:17">
      <c r="A1436" s="150"/>
      <c r="B1436" s="153"/>
      <c r="C1436" s="117" t="s">
        <v>38</v>
      </c>
      <c r="D1436" s="89"/>
      <c r="E1436" s="89"/>
      <c r="F1436" s="89"/>
      <c r="G1436" s="89"/>
      <c r="H1436" s="89"/>
      <c r="I1436" s="89"/>
      <c r="J1436" s="89"/>
      <c r="K1436" s="89"/>
      <c r="L1436" s="89"/>
      <c r="M1436" s="89"/>
      <c r="N1436" s="89"/>
      <c r="O1436" s="89"/>
      <c r="P1436" s="28"/>
      <c r="Q1436" s="20">
        <f t="shared" si="205"/>
        <v>0</v>
      </c>
    </row>
    <row r="1437" spans="1:17">
      <c r="A1437" s="150"/>
      <c r="B1437" s="153"/>
      <c r="C1437" s="62"/>
      <c r="D1437" s="91"/>
      <c r="E1437" s="91"/>
      <c r="F1437" s="91"/>
      <c r="G1437" s="91"/>
      <c r="H1437" s="91"/>
      <c r="I1437" s="91"/>
      <c r="J1437" s="91"/>
      <c r="K1437" s="91"/>
      <c r="L1437" s="91"/>
      <c r="M1437" s="91"/>
      <c r="N1437" s="91"/>
      <c r="O1437" s="91"/>
      <c r="P1437" s="32"/>
      <c r="Q1437" s="20">
        <f t="shared" si="205"/>
        <v>0</v>
      </c>
    </row>
    <row r="1438" spans="1:17">
      <c r="A1438" s="150"/>
      <c r="B1438" s="154"/>
      <c r="C1438" s="6" t="s">
        <v>42</v>
      </c>
      <c r="D1438" s="92"/>
      <c r="E1438" s="92"/>
      <c r="F1438" s="92"/>
      <c r="G1438" s="92"/>
      <c r="H1438" s="92"/>
      <c r="I1438" s="92"/>
      <c r="J1438" s="92"/>
      <c r="K1438" s="92"/>
      <c r="L1438" s="92"/>
      <c r="M1438" s="92"/>
      <c r="N1438" s="92"/>
      <c r="O1438" s="92"/>
      <c r="P1438" s="33"/>
      <c r="Q1438" s="22">
        <f t="shared" si="205"/>
        <v>0</v>
      </c>
    </row>
    <row r="1439" spans="1:17">
      <c r="A1439" s="150"/>
      <c r="B1439" s="155" t="s">
        <v>11</v>
      </c>
      <c r="C1439" s="5" t="s">
        <v>7</v>
      </c>
      <c r="D1439" s="94"/>
      <c r="E1439" s="94"/>
      <c r="F1439" s="94"/>
      <c r="G1439" s="94"/>
      <c r="H1439" s="94"/>
      <c r="I1439" s="94"/>
      <c r="J1439" s="94"/>
      <c r="K1439" s="94"/>
      <c r="L1439" s="94"/>
      <c r="M1439" s="94"/>
      <c r="N1439" s="94"/>
      <c r="O1439" s="94"/>
      <c r="P1439" s="27"/>
      <c r="Q1439" s="21">
        <f t="shared" si="205"/>
        <v>0</v>
      </c>
    </row>
    <row r="1440" spans="1:17">
      <c r="A1440" s="150"/>
      <c r="B1440" s="153"/>
      <c r="C1440" s="6" t="s">
        <v>4</v>
      </c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32"/>
      <c r="Q1440" s="20">
        <f t="shared" si="205"/>
        <v>0</v>
      </c>
    </row>
    <row r="1441" spans="1:17">
      <c r="A1441" s="150"/>
      <c r="B1441" s="153"/>
      <c r="C1441" s="6" t="s">
        <v>17</v>
      </c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32"/>
      <c r="Q1441" s="20">
        <f t="shared" si="205"/>
        <v>0</v>
      </c>
    </row>
    <row r="1442" spans="1:17">
      <c r="A1442" s="150"/>
      <c r="B1442" s="153"/>
      <c r="C1442" s="6" t="s">
        <v>18</v>
      </c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32"/>
      <c r="Q1442" s="20">
        <f t="shared" si="205"/>
        <v>0</v>
      </c>
    </row>
    <row r="1443" spans="1:17">
      <c r="A1443" s="150"/>
      <c r="B1443" s="153"/>
      <c r="C1443" s="6" t="s">
        <v>60</v>
      </c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1"/>
      <c r="O1443" s="91"/>
      <c r="P1443" s="32"/>
      <c r="Q1443" s="20">
        <f t="shared" si="205"/>
        <v>0</v>
      </c>
    </row>
    <row r="1444" spans="1:17">
      <c r="A1444" s="150"/>
      <c r="B1444" s="155" t="s">
        <v>13</v>
      </c>
      <c r="C1444" s="5" t="s">
        <v>10</v>
      </c>
      <c r="D1444" s="94"/>
      <c r="E1444" s="94"/>
      <c r="F1444" s="94"/>
      <c r="G1444" s="94"/>
      <c r="H1444" s="94"/>
      <c r="I1444" s="94"/>
      <c r="J1444" s="94"/>
      <c r="K1444" s="94"/>
      <c r="L1444" s="94"/>
      <c r="M1444" s="94"/>
      <c r="N1444" s="94"/>
      <c r="O1444" s="94"/>
      <c r="P1444" s="27"/>
      <c r="Q1444" s="21">
        <f t="shared" si="205"/>
        <v>0</v>
      </c>
    </row>
    <row r="1445" spans="1:17">
      <c r="A1445" s="150"/>
      <c r="B1445" s="153"/>
      <c r="C1445" s="116" t="s">
        <v>55</v>
      </c>
      <c r="D1445" s="89"/>
      <c r="E1445" s="89"/>
      <c r="F1445" s="89"/>
      <c r="G1445" s="89"/>
      <c r="H1445" s="89"/>
      <c r="I1445" s="89"/>
      <c r="J1445" s="89"/>
      <c r="K1445" s="89"/>
      <c r="L1445" s="89"/>
      <c r="M1445" s="89"/>
      <c r="N1445" s="89"/>
      <c r="O1445" s="89"/>
      <c r="P1445" s="28"/>
      <c r="Q1445" s="20">
        <f t="shared" si="205"/>
        <v>0</v>
      </c>
    </row>
    <row r="1446" spans="1:17">
      <c r="A1446" s="150"/>
      <c r="B1446" s="153"/>
      <c r="C1446" s="8" t="s">
        <v>56</v>
      </c>
      <c r="D1446" s="89"/>
      <c r="E1446" s="89"/>
      <c r="F1446" s="89"/>
      <c r="G1446" s="89"/>
      <c r="H1446" s="89"/>
      <c r="I1446" s="89"/>
      <c r="J1446" s="89"/>
      <c r="K1446" s="89"/>
      <c r="L1446" s="89"/>
      <c r="M1446" s="89"/>
      <c r="N1446" s="89"/>
      <c r="O1446" s="89"/>
      <c r="P1446" s="28"/>
      <c r="Q1446" s="20">
        <f t="shared" si="205"/>
        <v>0</v>
      </c>
    </row>
    <row r="1447" spans="1:17">
      <c r="A1447" s="150"/>
      <c r="B1447" s="154"/>
      <c r="C1447" s="4" t="s">
        <v>61</v>
      </c>
      <c r="D1447" s="92"/>
      <c r="E1447" s="92"/>
      <c r="F1447" s="92"/>
      <c r="G1447" s="92"/>
      <c r="H1447" s="92"/>
      <c r="I1447" s="92"/>
      <c r="J1447" s="92"/>
      <c r="K1447" s="92"/>
      <c r="L1447" s="92"/>
      <c r="M1447" s="92"/>
      <c r="N1447" s="92"/>
      <c r="O1447" s="92"/>
      <c r="P1447" s="33"/>
      <c r="Q1447" s="22">
        <f t="shared" si="205"/>
        <v>0</v>
      </c>
    </row>
    <row r="1448" spans="1:17">
      <c r="A1448" s="150"/>
      <c r="B1448" s="156" t="s">
        <v>54</v>
      </c>
      <c r="C1448" s="157"/>
      <c r="D1448" s="56">
        <f t="shared" ref="D1448:O1448" si="228">SUM(D1434:D1438)-SUM(D1442:D1443)</f>
        <v>0</v>
      </c>
      <c r="E1448" s="56">
        <f t="shared" si="228"/>
        <v>0</v>
      </c>
      <c r="F1448" s="56">
        <f t="shared" si="228"/>
        <v>0</v>
      </c>
      <c r="G1448" s="56">
        <f t="shared" si="228"/>
        <v>0</v>
      </c>
      <c r="H1448" s="56">
        <f t="shared" si="228"/>
        <v>0</v>
      </c>
      <c r="I1448" s="56">
        <f t="shared" si="228"/>
        <v>0</v>
      </c>
      <c r="J1448" s="56">
        <f t="shared" si="228"/>
        <v>0</v>
      </c>
      <c r="K1448" s="56">
        <f t="shared" si="228"/>
        <v>0</v>
      </c>
      <c r="L1448" s="56">
        <f t="shared" si="228"/>
        <v>0</v>
      </c>
      <c r="M1448" s="56">
        <f t="shared" si="228"/>
        <v>0</v>
      </c>
      <c r="N1448" s="56">
        <f t="shared" si="228"/>
        <v>0</v>
      </c>
      <c r="O1448" s="56">
        <f t="shared" si="228"/>
        <v>0</v>
      </c>
      <c r="P1448" s="58">
        <f>SUM(P1432:P1438)-SUM(P1442:P1443)</f>
        <v>0</v>
      </c>
      <c r="Q1448" s="59">
        <f t="shared" si="205"/>
        <v>0</v>
      </c>
    </row>
    <row r="1449" spans="1:17" ht="14.25" thickBot="1">
      <c r="A1449" s="151"/>
      <c r="B1449" s="147" t="s">
        <v>5</v>
      </c>
      <c r="C1449" s="148"/>
      <c r="D1449" s="42">
        <f t="shared" ref="D1449:O1449" si="229">SUM(D1434:D1438)-SUM(D1439:D1443)+SUM(D1444:D1447)</f>
        <v>0</v>
      </c>
      <c r="E1449" s="42">
        <f t="shared" si="229"/>
        <v>0</v>
      </c>
      <c r="F1449" s="42">
        <f t="shared" si="229"/>
        <v>0</v>
      </c>
      <c r="G1449" s="42">
        <f t="shared" si="229"/>
        <v>0</v>
      </c>
      <c r="H1449" s="42">
        <f t="shared" si="229"/>
        <v>0</v>
      </c>
      <c r="I1449" s="42">
        <f t="shared" si="229"/>
        <v>0</v>
      </c>
      <c r="J1449" s="42">
        <f t="shared" si="229"/>
        <v>0</v>
      </c>
      <c r="K1449" s="42">
        <f t="shared" si="229"/>
        <v>0</v>
      </c>
      <c r="L1449" s="42">
        <f t="shared" si="229"/>
        <v>0</v>
      </c>
      <c r="M1449" s="42">
        <f t="shared" si="229"/>
        <v>0</v>
      </c>
      <c r="N1449" s="42">
        <f t="shared" si="229"/>
        <v>0</v>
      </c>
      <c r="O1449" s="42">
        <f t="shared" si="229"/>
        <v>0</v>
      </c>
      <c r="P1449" s="44">
        <f>SUM(P1432:P1438)-SUM(P1439:P1443)+SUM(P1444:P1447)</f>
        <v>0</v>
      </c>
      <c r="Q1449" s="46">
        <f t="shared" si="205"/>
        <v>0</v>
      </c>
    </row>
    <row r="1450" spans="1:17">
      <c r="A1450" s="149"/>
      <c r="B1450" s="152" t="s">
        <v>12</v>
      </c>
      <c r="C1450" s="114" t="s">
        <v>84</v>
      </c>
      <c r="D1450" s="87"/>
      <c r="E1450" s="87"/>
      <c r="F1450" s="87"/>
      <c r="G1450" s="87"/>
      <c r="H1450" s="87"/>
      <c r="I1450" s="87"/>
      <c r="J1450" s="87"/>
      <c r="K1450" s="87"/>
      <c r="L1450" s="87"/>
      <c r="M1450" s="87"/>
      <c r="N1450" s="87"/>
      <c r="O1450" s="87"/>
      <c r="P1450" s="30"/>
      <c r="Q1450" s="19">
        <f t="shared" si="205"/>
        <v>0</v>
      </c>
    </row>
    <row r="1451" spans="1:17">
      <c r="A1451" s="150"/>
      <c r="B1451" s="153"/>
      <c r="C1451" s="115" t="s">
        <v>85</v>
      </c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28"/>
      <c r="Q1451" s="20">
        <f t="shared" si="205"/>
        <v>0</v>
      </c>
    </row>
    <row r="1452" spans="1:17">
      <c r="A1452" s="150"/>
      <c r="B1452" s="153"/>
      <c r="C1452" s="116" t="s">
        <v>86</v>
      </c>
      <c r="D1452" s="91">
        <f>D1450*D1451</f>
        <v>0</v>
      </c>
      <c r="E1452" s="91">
        <f>E1450*E1451</f>
        <v>0</v>
      </c>
      <c r="F1452" s="91">
        <f>F1450*F1451</f>
        <v>0</v>
      </c>
      <c r="G1452" s="91">
        <f>G1450*G1451</f>
        <v>0</v>
      </c>
      <c r="H1452" s="91">
        <f>H1450*H1451</f>
        <v>0</v>
      </c>
      <c r="I1452" s="91">
        <f t="shared" ref="I1452:O1452" si="230">I1450*I1451</f>
        <v>0</v>
      </c>
      <c r="J1452" s="91">
        <f t="shared" si="230"/>
        <v>0</v>
      </c>
      <c r="K1452" s="91">
        <f t="shared" si="230"/>
        <v>0</v>
      </c>
      <c r="L1452" s="91">
        <f t="shared" si="230"/>
        <v>0</v>
      </c>
      <c r="M1452" s="91">
        <f t="shared" si="230"/>
        <v>0</v>
      </c>
      <c r="N1452" s="91">
        <f t="shared" si="230"/>
        <v>0</v>
      </c>
      <c r="O1452" s="91">
        <f t="shared" si="230"/>
        <v>0</v>
      </c>
      <c r="P1452" s="32"/>
      <c r="Q1452" s="20">
        <f t="shared" si="205"/>
        <v>0</v>
      </c>
    </row>
    <row r="1453" spans="1:17">
      <c r="A1453" s="150"/>
      <c r="B1453" s="153"/>
      <c r="C1453" s="117" t="s">
        <v>9</v>
      </c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1"/>
      <c r="O1453" s="91"/>
      <c r="P1453" s="32"/>
      <c r="Q1453" s="20">
        <f t="shared" si="205"/>
        <v>0</v>
      </c>
    </row>
    <row r="1454" spans="1:17">
      <c r="A1454" s="150"/>
      <c r="B1454" s="153"/>
      <c r="C1454" s="117" t="s">
        <v>38</v>
      </c>
      <c r="D1454" s="89"/>
      <c r="E1454" s="89"/>
      <c r="F1454" s="89"/>
      <c r="G1454" s="89"/>
      <c r="H1454" s="89"/>
      <c r="I1454" s="89"/>
      <c r="J1454" s="89"/>
      <c r="K1454" s="89"/>
      <c r="L1454" s="89"/>
      <c r="M1454" s="89"/>
      <c r="N1454" s="89"/>
      <c r="O1454" s="89"/>
      <c r="P1454" s="28"/>
      <c r="Q1454" s="20">
        <f t="shared" si="205"/>
        <v>0</v>
      </c>
    </row>
    <row r="1455" spans="1:17">
      <c r="A1455" s="150"/>
      <c r="B1455" s="153"/>
      <c r="C1455" s="62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1"/>
      <c r="O1455" s="91"/>
      <c r="P1455" s="32"/>
      <c r="Q1455" s="20">
        <f t="shared" si="205"/>
        <v>0</v>
      </c>
    </row>
    <row r="1456" spans="1:17">
      <c r="A1456" s="150"/>
      <c r="B1456" s="154"/>
      <c r="C1456" s="6" t="s">
        <v>42</v>
      </c>
      <c r="D1456" s="92"/>
      <c r="E1456" s="92"/>
      <c r="F1456" s="92"/>
      <c r="G1456" s="92"/>
      <c r="H1456" s="92"/>
      <c r="I1456" s="92"/>
      <c r="J1456" s="92"/>
      <c r="K1456" s="92"/>
      <c r="L1456" s="92"/>
      <c r="M1456" s="92"/>
      <c r="N1456" s="92"/>
      <c r="O1456" s="92"/>
      <c r="P1456" s="33"/>
      <c r="Q1456" s="22">
        <f t="shared" si="205"/>
        <v>0</v>
      </c>
    </row>
    <row r="1457" spans="1:17">
      <c r="A1457" s="150"/>
      <c r="B1457" s="155" t="s">
        <v>11</v>
      </c>
      <c r="C1457" s="5" t="s">
        <v>7</v>
      </c>
      <c r="D1457" s="94"/>
      <c r="E1457" s="94"/>
      <c r="F1457" s="94"/>
      <c r="G1457" s="94"/>
      <c r="H1457" s="94"/>
      <c r="I1457" s="94"/>
      <c r="J1457" s="94"/>
      <c r="K1457" s="94"/>
      <c r="L1457" s="94"/>
      <c r="M1457" s="94"/>
      <c r="N1457" s="94"/>
      <c r="O1457" s="94"/>
      <c r="P1457" s="27"/>
      <c r="Q1457" s="21">
        <f t="shared" si="205"/>
        <v>0</v>
      </c>
    </row>
    <row r="1458" spans="1:17">
      <c r="A1458" s="150"/>
      <c r="B1458" s="153"/>
      <c r="C1458" s="6" t="s">
        <v>4</v>
      </c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32"/>
      <c r="Q1458" s="20">
        <f t="shared" si="205"/>
        <v>0</v>
      </c>
    </row>
    <row r="1459" spans="1:17">
      <c r="A1459" s="150"/>
      <c r="B1459" s="153"/>
      <c r="C1459" s="6" t="s">
        <v>17</v>
      </c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32"/>
      <c r="Q1459" s="20">
        <f t="shared" si="205"/>
        <v>0</v>
      </c>
    </row>
    <row r="1460" spans="1:17">
      <c r="A1460" s="150"/>
      <c r="B1460" s="153"/>
      <c r="C1460" s="6" t="s">
        <v>18</v>
      </c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32"/>
      <c r="Q1460" s="20">
        <f t="shared" si="205"/>
        <v>0</v>
      </c>
    </row>
    <row r="1461" spans="1:17">
      <c r="A1461" s="150"/>
      <c r="B1461" s="153"/>
      <c r="C1461" s="6" t="s">
        <v>60</v>
      </c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32"/>
      <c r="Q1461" s="20">
        <f t="shared" si="205"/>
        <v>0</v>
      </c>
    </row>
    <row r="1462" spans="1:17">
      <c r="A1462" s="150"/>
      <c r="B1462" s="155" t="s">
        <v>13</v>
      </c>
      <c r="C1462" s="5" t="s">
        <v>10</v>
      </c>
      <c r="D1462" s="94"/>
      <c r="E1462" s="94"/>
      <c r="F1462" s="94"/>
      <c r="G1462" s="94"/>
      <c r="H1462" s="94"/>
      <c r="I1462" s="94"/>
      <c r="J1462" s="94"/>
      <c r="K1462" s="94"/>
      <c r="L1462" s="94"/>
      <c r="M1462" s="94"/>
      <c r="N1462" s="94"/>
      <c r="O1462" s="94"/>
      <c r="P1462" s="27"/>
      <c r="Q1462" s="21">
        <f t="shared" si="205"/>
        <v>0</v>
      </c>
    </row>
    <row r="1463" spans="1:17">
      <c r="A1463" s="150"/>
      <c r="B1463" s="153"/>
      <c r="C1463" s="116" t="s">
        <v>55</v>
      </c>
      <c r="D1463" s="89"/>
      <c r="E1463" s="89"/>
      <c r="F1463" s="89"/>
      <c r="G1463" s="89"/>
      <c r="H1463" s="89"/>
      <c r="I1463" s="89"/>
      <c r="J1463" s="89"/>
      <c r="K1463" s="89"/>
      <c r="L1463" s="89"/>
      <c r="M1463" s="89"/>
      <c r="N1463" s="89"/>
      <c r="O1463" s="89"/>
      <c r="P1463" s="28"/>
      <c r="Q1463" s="20">
        <f t="shared" si="205"/>
        <v>0</v>
      </c>
    </row>
    <row r="1464" spans="1:17">
      <c r="A1464" s="150"/>
      <c r="B1464" s="153"/>
      <c r="C1464" s="8" t="s">
        <v>56</v>
      </c>
      <c r="D1464" s="89"/>
      <c r="E1464" s="89"/>
      <c r="F1464" s="89"/>
      <c r="G1464" s="89"/>
      <c r="H1464" s="89"/>
      <c r="I1464" s="89"/>
      <c r="J1464" s="89"/>
      <c r="K1464" s="89"/>
      <c r="L1464" s="89"/>
      <c r="M1464" s="89"/>
      <c r="N1464" s="89"/>
      <c r="O1464" s="89"/>
      <c r="P1464" s="28"/>
      <c r="Q1464" s="20">
        <f t="shared" si="205"/>
        <v>0</v>
      </c>
    </row>
    <row r="1465" spans="1:17">
      <c r="A1465" s="150"/>
      <c r="B1465" s="154"/>
      <c r="C1465" s="4" t="s">
        <v>61</v>
      </c>
      <c r="D1465" s="92"/>
      <c r="E1465" s="92"/>
      <c r="F1465" s="92"/>
      <c r="G1465" s="92"/>
      <c r="H1465" s="92"/>
      <c r="I1465" s="92"/>
      <c r="J1465" s="92"/>
      <c r="K1465" s="92"/>
      <c r="L1465" s="92"/>
      <c r="M1465" s="92"/>
      <c r="N1465" s="92"/>
      <c r="O1465" s="92"/>
      <c r="P1465" s="33"/>
      <c r="Q1465" s="22">
        <f t="shared" si="205"/>
        <v>0</v>
      </c>
    </row>
    <row r="1466" spans="1:17">
      <c r="A1466" s="150"/>
      <c r="B1466" s="156" t="s">
        <v>54</v>
      </c>
      <c r="C1466" s="157"/>
      <c r="D1466" s="56">
        <f t="shared" ref="D1466:O1466" si="231">SUM(D1452:D1456)-SUM(D1460:D1461)</f>
        <v>0</v>
      </c>
      <c r="E1466" s="56">
        <f t="shared" si="231"/>
        <v>0</v>
      </c>
      <c r="F1466" s="56">
        <f t="shared" si="231"/>
        <v>0</v>
      </c>
      <c r="G1466" s="56">
        <f t="shared" si="231"/>
        <v>0</v>
      </c>
      <c r="H1466" s="56">
        <f t="shared" si="231"/>
        <v>0</v>
      </c>
      <c r="I1466" s="56">
        <f t="shared" si="231"/>
        <v>0</v>
      </c>
      <c r="J1466" s="56">
        <f t="shared" si="231"/>
        <v>0</v>
      </c>
      <c r="K1466" s="56">
        <f t="shared" si="231"/>
        <v>0</v>
      </c>
      <c r="L1466" s="56">
        <f t="shared" si="231"/>
        <v>0</v>
      </c>
      <c r="M1466" s="56">
        <f t="shared" si="231"/>
        <v>0</v>
      </c>
      <c r="N1466" s="56">
        <f t="shared" si="231"/>
        <v>0</v>
      </c>
      <c r="O1466" s="56">
        <f t="shared" si="231"/>
        <v>0</v>
      </c>
      <c r="P1466" s="58">
        <f>SUM(P1450:P1456)-SUM(P1460:P1461)</f>
        <v>0</v>
      </c>
      <c r="Q1466" s="59">
        <f t="shared" si="205"/>
        <v>0</v>
      </c>
    </row>
    <row r="1467" spans="1:17" ht="14.25" thickBot="1">
      <c r="A1467" s="151"/>
      <c r="B1467" s="147" t="s">
        <v>5</v>
      </c>
      <c r="C1467" s="148"/>
      <c r="D1467" s="42">
        <f t="shared" ref="D1467:O1467" si="232">SUM(D1452:D1456)-SUM(D1457:D1461)+SUM(D1462:D1465)</f>
        <v>0</v>
      </c>
      <c r="E1467" s="42">
        <f t="shared" si="232"/>
        <v>0</v>
      </c>
      <c r="F1467" s="42">
        <f t="shared" si="232"/>
        <v>0</v>
      </c>
      <c r="G1467" s="42">
        <f t="shared" si="232"/>
        <v>0</v>
      </c>
      <c r="H1467" s="42">
        <f t="shared" si="232"/>
        <v>0</v>
      </c>
      <c r="I1467" s="42">
        <f t="shared" si="232"/>
        <v>0</v>
      </c>
      <c r="J1467" s="42">
        <f t="shared" si="232"/>
        <v>0</v>
      </c>
      <c r="K1467" s="42">
        <f t="shared" si="232"/>
        <v>0</v>
      </c>
      <c r="L1467" s="42">
        <f t="shared" si="232"/>
        <v>0</v>
      </c>
      <c r="M1467" s="42">
        <f t="shared" si="232"/>
        <v>0</v>
      </c>
      <c r="N1467" s="42">
        <f t="shared" si="232"/>
        <v>0</v>
      </c>
      <c r="O1467" s="42">
        <f t="shared" si="232"/>
        <v>0</v>
      </c>
      <c r="P1467" s="44">
        <f>SUM(P1450:P1456)-SUM(P1457:P1461)+SUM(P1462:P1465)</f>
        <v>0</v>
      </c>
      <c r="Q1467" s="46">
        <f t="shared" si="205"/>
        <v>0</v>
      </c>
    </row>
    <row r="1468" spans="1:17">
      <c r="A1468" s="149"/>
      <c r="B1468" s="152" t="s">
        <v>12</v>
      </c>
      <c r="C1468" s="114" t="s">
        <v>84</v>
      </c>
      <c r="D1468" s="87"/>
      <c r="E1468" s="87"/>
      <c r="F1468" s="87"/>
      <c r="G1468" s="87"/>
      <c r="H1468" s="87"/>
      <c r="I1468" s="87"/>
      <c r="J1468" s="87"/>
      <c r="K1468" s="87"/>
      <c r="L1468" s="87"/>
      <c r="M1468" s="87"/>
      <c r="N1468" s="87"/>
      <c r="O1468" s="87"/>
      <c r="P1468" s="30"/>
      <c r="Q1468" s="19">
        <f t="shared" si="205"/>
        <v>0</v>
      </c>
    </row>
    <row r="1469" spans="1:17">
      <c r="A1469" s="150"/>
      <c r="B1469" s="153"/>
      <c r="C1469" s="115" t="s">
        <v>85</v>
      </c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28"/>
      <c r="Q1469" s="20">
        <f t="shared" si="205"/>
        <v>0</v>
      </c>
    </row>
    <row r="1470" spans="1:17">
      <c r="A1470" s="150"/>
      <c r="B1470" s="153"/>
      <c r="C1470" s="116" t="s">
        <v>86</v>
      </c>
      <c r="D1470" s="91">
        <f>D1468*D1469</f>
        <v>0</v>
      </c>
      <c r="E1470" s="91">
        <f>E1468*E1469</f>
        <v>0</v>
      </c>
      <c r="F1470" s="91">
        <f>F1468*F1469</f>
        <v>0</v>
      </c>
      <c r="G1470" s="91">
        <f>G1468*G1469</f>
        <v>0</v>
      </c>
      <c r="H1470" s="91">
        <f>H1468*H1469</f>
        <v>0</v>
      </c>
      <c r="I1470" s="91">
        <f t="shared" ref="I1470:O1470" si="233">I1468*I1469</f>
        <v>0</v>
      </c>
      <c r="J1470" s="91">
        <f t="shared" si="233"/>
        <v>0</v>
      </c>
      <c r="K1470" s="91">
        <f t="shared" si="233"/>
        <v>0</v>
      </c>
      <c r="L1470" s="91">
        <f t="shared" si="233"/>
        <v>0</v>
      </c>
      <c r="M1470" s="91">
        <f t="shared" si="233"/>
        <v>0</v>
      </c>
      <c r="N1470" s="91">
        <f t="shared" si="233"/>
        <v>0</v>
      </c>
      <c r="O1470" s="91">
        <f t="shared" si="233"/>
        <v>0</v>
      </c>
      <c r="P1470" s="32"/>
      <c r="Q1470" s="20">
        <f t="shared" si="205"/>
        <v>0</v>
      </c>
    </row>
    <row r="1471" spans="1:17">
      <c r="A1471" s="150"/>
      <c r="B1471" s="153"/>
      <c r="C1471" s="117" t="s">
        <v>9</v>
      </c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32"/>
      <c r="Q1471" s="20">
        <f t="shared" si="205"/>
        <v>0</v>
      </c>
    </row>
    <row r="1472" spans="1:17">
      <c r="A1472" s="150"/>
      <c r="B1472" s="153"/>
      <c r="C1472" s="117" t="s">
        <v>38</v>
      </c>
      <c r="D1472" s="89"/>
      <c r="E1472" s="89"/>
      <c r="F1472" s="89"/>
      <c r="G1472" s="89"/>
      <c r="H1472" s="89"/>
      <c r="I1472" s="89"/>
      <c r="J1472" s="89"/>
      <c r="K1472" s="89"/>
      <c r="L1472" s="89"/>
      <c r="M1472" s="89"/>
      <c r="N1472" s="89"/>
      <c r="O1472" s="89"/>
      <c r="P1472" s="28"/>
      <c r="Q1472" s="20">
        <f t="shared" si="205"/>
        <v>0</v>
      </c>
    </row>
    <row r="1473" spans="1:17">
      <c r="A1473" s="150"/>
      <c r="B1473" s="153"/>
      <c r="C1473" s="62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91"/>
      <c r="O1473" s="91"/>
      <c r="P1473" s="32"/>
      <c r="Q1473" s="20">
        <f t="shared" si="205"/>
        <v>0</v>
      </c>
    </row>
    <row r="1474" spans="1:17">
      <c r="A1474" s="150"/>
      <c r="B1474" s="154"/>
      <c r="C1474" s="6" t="s">
        <v>42</v>
      </c>
      <c r="D1474" s="92"/>
      <c r="E1474" s="92"/>
      <c r="F1474" s="92"/>
      <c r="G1474" s="92"/>
      <c r="H1474" s="92"/>
      <c r="I1474" s="92"/>
      <c r="J1474" s="92"/>
      <c r="K1474" s="92"/>
      <c r="L1474" s="92"/>
      <c r="M1474" s="92"/>
      <c r="N1474" s="92"/>
      <c r="O1474" s="92"/>
      <c r="P1474" s="33"/>
      <c r="Q1474" s="22">
        <f t="shared" si="205"/>
        <v>0</v>
      </c>
    </row>
    <row r="1475" spans="1:17">
      <c r="A1475" s="150"/>
      <c r="B1475" s="155" t="s">
        <v>11</v>
      </c>
      <c r="C1475" s="5" t="s">
        <v>7</v>
      </c>
      <c r="D1475" s="94"/>
      <c r="E1475" s="94"/>
      <c r="F1475" s="94"/>
      <c r="G1475" s="94"/>
      <c r="H1475" s="94"/>
      <c r="I1475" s="94"/>
      <c r="J1475" s="94"/>
      <c r="K1475" s="94"/>
      <c r="L1475" s="94"/>
      <c r="M1475" s="94"/>
      <c r="N1475" s="94"/>
      <c r="O1475" s="94"/>
      <c r="P1475" s="27"/>
      <c r="Q1475" s="21">
        <f t="shared" si="205"/>
        <v>0</v>
      </c>
    </row>
    <row r="1476" spans="1:17">
      <c r="A1476" s="150"/>
      <c r="B1476" s="153"/>
      <c r="C1476" s="6" t="s">
        <v>4</v>
      </c>
      <c r="D1476" s="91"/>
      <c r="E1476" s="91"/>
      <c r="F1476" s="91"/>
      <c r="G1476" s="91"/>
      <c r="H1476" s="91"/>
      <c r="I1476" s="91"/>
      <c r="J1476" s="91"/>
      <c r="K1476" s="91"/>
      <c r="L1476" s="91"/>
      <c r="M1476" s="91"/>
      <c r="N1476" s="91"/>
      <c r="O1476" s="91"/>
      <c r="P1476" s="32"/>
      <c r="Q1476" s="20">
        <f t="shared" si="205"/>
        <v>0</v>
      </c>
    </row>
    <row r="1477" spans="1:17">
      <c r="A1477" s="150"/>
      <c r="B1477" s="153"/>
      <c r="C1477" s="6" t="s">
        <v>17</v>
      </c>
      <c r="D1477" s="91"/>
      <c r="E1477" s="91"/>
      <c r="F1477" s="91"/>
      <c r="G1477" s="91"/>
      <c r="H1477" s="91"/>
      <c r="I1477" s="91"/>
      <c r="J1477" s="91"/>
      <c r="K1477" s="91"/>
      <c r="L1477" s="91"/>
      <c r="M1477" s="91"/>
      <c r="N1477" s="91"/>
      <c r="O1477" s="91"/>
      <c r="P1477" s="32"/>
      <c r="Q1477" s="20">
        <f t="shared" si="205"/>
        <v>0</v>
      </c>
    </row>
    <row r="1478" spans="1:17">
      <c r="A1478" s="150"/>
      <c r="B1478" s="153"/>
      <c r="C1478" s="6" t="s">
        <v>18</v>
      </c>
      <c r="D1478" s="91"/>
      <c r="E1478" s="91"/>
      <c r="F1478" s="91"/>
      <c r="G1478" s="91"/>
      <c r="H1478" s="91"/>
      <c r="I1478" s="91"/>
      <c r="J1478" s="91"/>
      <c r="K1478" s="91"/>
      <c r="L1478" s="91"/>
      <c r="M1478" s="91"/>
      <c r="N1478" s="91"/>
      <c r="O1478" s="91"/>
      <c r="P1478" s="32"/>
      <c r="Q1478" s="20">
        <f t="shared" si="205"/>
        <v>0</v>
      </c>
    </row>
    <row r="1479" spans="1:17">
      <c r="A1479" s="150"/>
      <c r="B1479" s="153"/>
      <c r="C1479" s="6" t="s">
        <v>60</v>
      </c>
      <c r="D1479" s="91"/>
      <c r="E1479" s="91"/>
      <c r="F1479" s="91"/>
      <c r="G1479" s="91"/>
      <c r="H1479" s="91"/>
      <c r="I1479" s="91"/>
      <c r="J1479" s="91"/>
      <c r="K1479" s="91"/>
      <c r="L1479" s="91"/>
      <c r="M1479" s="91"/>
      <c r="N1479" s="91"/>
      <c r="O1479" s="91"/>
      <c r="P1479" s="32"/>
      <c r="Q1479" s="20">
        <f t="shared" si="205"/>
        <v>0</v>
      </c>
    </row>
    <row r="1480" spans="1:17">
      <c r="A1480" s="150"/>
      <c r="B1480" s="155" t="s">
        <v>13</v>
      </c>
      <c r="C1480" s="5" t="s">
        <v>10</v>
      </c>
      <c r="D1480" s="94"/>
      <c r="E1480" s="94"/>
      <c r="F1480" s="94"/>
      <c r="G1480" s="94"/>
      <c r="H1480" s="94"/>
      <c r="I1480" s="94"/>
      <c r="J1480" s="94"/>
      <c r="K1480" s="94"/>
      <c r="L1480" s="94"/>
      <c r="M1480" s="94"/>
      <c r="N1480" s="94"/>
      <c r="O1480" s="94"/>
      <c r="P1480" s="27"/>
      <c r="Q1480" s="21">
        <f t="shared" si="205"/>
        <v>0</v>
      </c>
    </row>
    <row r="1481" spans="1:17">
      <c r="A1481" s="150"/>
      <c r="B1481" s="153"/>
      <c r="C1481" s="116" t="s">
        <v>55</v>
      </c>
      <c r="D1481" s="89"/>
      <c r="E1481" s="89"/>
      <c r="F1481" s="89"/>
      <c r="G1481" s="89"/>
      <c r="H1481" s="89"/>
      <c r="I1481" s="89"/>
      <c r="J1481" s="89"/>
      <c r="K1481" s="89"/>
      <c r="L1481" s="89"/>
      <c r="M1481" s="89"/>
      <c r="N1481" s="89"/>
      <c r="O1481" s="89"/>
      <c r="P1481" s="28"/>
      <c r="Q1481" s="20">
        <f t="shared" si="205"/>
        <v>0</v>
      </c>
    </row>
    <row r="1482" spans="1:17">
      <c r="A1482" s="150"/>
      <c r="B1482" s="153"/>
      <c r="C1482" s="8" t="s">
        <v>56</v>
      </c>
      <c r="D1482" s="89"/>
      <c r="E1482" s="89"/>
      <c r="F1482" s="89"/>
      <c r="G1482" s="89"/>
      <c r="H1482" s="89"/>
      <c r="I1482" s="89"/>
      <c r="J1482" s="89"/>
      <c r="K1482" s="89"/>
      <c r="L1482" s="89"/>
      <c r="M1482" s="89"/>
      <c r="N1482" s="89"/>
      <c r="O1482" s="89"/>
      <c r="P1482" s="28"/>
      <c r="Q1482" s="20">
        <f t="shared" si="205"/>
        <v>0</v>
      </c>
    </row>
    <row r="1483" spans="1:17">
      <c r="A1483" s="150"/>
      <c r="B1483" s="154"/>
      <c r="C1483" s="4" t="s">
        <v>61</v>
      </c>
      <c r="D1483" s="92"/>
      <c r="E1483" s="92"/>
      <c r="F1483" s="92"/>
      <c r="G1483" s="92"/>
      <c r="H1483" s="92"/>
      <c r="I1483" s="92"/>
      <c r="J1483" s="92"/>
      <c r="K1483" s="92"/>
      <c r="L1483" s="92"/>
      <c r="M1483" s="92"/>
      <c r="N1483" s="92"/>
      <c r="O1483" s="92"/>
      <c r="P1483" s="33"/>
      <c r="Q1483" s="22">
        <f t="shared" si="205"/>
        <v>0</v>
      </c>
    </row>
    <row r="1484" spans="1:17">
      <c r="A1484" s="150"/>
      <c r="B1484" s="156" t="s">
        <v>54</v>
      </c>
      <c r="C1484" s="157"/>
      <c r="D1484" s="56">
        <f t="shared" ref="D1484:O1484" si="234">SUM(D1470:D1474)-SUM(D1478:D1479)</f>
        <v>0</v>
      </c>
      <c r="E1484" s="56">
        <f t="shared" si="234"/>
        <v>0</v>
      </c>
      <c r="F1484" s="56">
        <f t="shared" si="234"/>
        <v>0</v>
      </c>
      <c r="G1484" s="56">
        <f t="shared" si="234"/>
        <v>0</v>
      </c>
      <c r="H1484" s="56">
        <f t="shared" si="234"/>
        <v>0</v>
      </c>
      <c r="I1484" s="56">
        <f t="shared" si="234"/>
        <v>0</v>
      </c>
      <c r="J1484" s="56">
        <f t="shared" si="234"/>
        <v>0</v>
      </c>
      <c r="K1484" s="56">
        <f t="shared" si="234"/>
        <v>0</v>
      </c>
      <c r="L1484" s="56">
        <f t="shared" si="234"/>
        <v>0</v>
      </c>
      <c r="M1484" s="56">
        <f t="shared" si="234"/>
        <v>0</v>
      </c>
      <c r="N1484" s="56">
        <f t="shared" si="234"/>
        <v>0</v>
      </c>
      <c r="O1484" s="56">
        <f t="shared" si="234"/>
        <v>0</v>
      </c>
      <c r="P1484" s="58">
        <f>SUM(P1468:P1474)-SUM(P1478:P1479)</f>
        <v>0</v>
      </c>
      <c r="Q1484" s="59">
        <f t="shared" si="205"/>
        <v>0</v>
      </c>
    </row>
    <row r="1485" spans="1:17" ht="14.25" thickBot="1">
      <c r="A1485" s="151"/>
      <c r="B1485" s="147" t="s">
        <v>5</v>
      </c>
      <c r="C1485" s="148"/>
      <c r="D1485" s="42">
        <f t="shared" ref="D1485:O1485" si="235">SUM(D1470:D1474)-SUM(D1475:D1479)+SUM(D1480:D1483)</f>
        <v>0</v>
      </c>
      <c r="E1485" s="42">
        <f t="shared" si="235"/>
        <v>0</v>
      </c>
      <c r="F1485" s="42">
        <f t="shared" si="235"/>
        <v>0</v>
      </c>
      <c r="G1485" s="42">
        <f t="shared" si="235"/>
        <v>0</v>
      </c>
      <c r="H1485" s="42">
        <f t="shared" si="235"/>
        <v>0</v>
      </c>
      <c r="I1485" s="42">
        <f t="shared" si="235"/>
        <v>0</v>
      </c>
      <c r="J1485" s="42">
        <f t="shared" si="235"/>
        <v>0</v>
      </c>
      <c r="K1485" s="42">
        <f t="shared" si="235"/>
        <v>0</v>
      </c>
      <c r="L1485" s="42">
        <f t="shared" si="235"/>
        <v>0</v>
      </c>
      <c r="M1485" s="42">
        <f t="shared" si="235"/>
        <v>0</v>
      </c>
      <c r="N1485" s="42">
        <f t="shared" si="235"/>
        <v>0</v>
      </c>
      <c r="O1485" s="42">
        <f t="shared" si="235"/>
        <v>0</v>
      </c>
      <c r="P1485" s="44">
        <f>SUM(P1468:P1474)-SUM(P1475:P1479)+SUM(P1480:P1483)</f>
        <v>0</v>
      </c>
      <c r="Q1485" s="46">
        <f t="shared" si="205"/>
        <v>0</v>
      </c>
    </row>
    <row r="1486" spans="1:17">
      <c r="A1486" s="149"/>
      <c r="B1486" s="152" t="s">
        <v>12</v>
      </c>
      <c r="C1486" s="114" t="s">
        <v>84</v>
      </c>
      <c r="D1486" s="87"/>
      <c r="E1486" s="87"/>
      <c r="F1486" s="87"/>
      <c r="G1486" s="87"/>
      <c r="H1486" s="87"/>
      <c r="I1486" s="87"/>
      <c r="J1486" s="87"/>
      <c r="K1486" s="87"/>
      <c r="L1486" s="87"/>
      <c r="M1486" s="87"/>
      <c r="N1486" s="87"/>
      <c r="O1486" s="87"/>
      <c r="P1486" s="30"/>
      <c r="Q1486" s="19">
        <f t="shared" si="205"/>
        <v>0</v>
      </c>
    </row>
    <row r="1487" spans="1:17">
      <c r="A1487" s="150"/>
      <c r="B1487" s="153"/>
      <c r="C1487" s="115" t="s">
        <v>85</v>
      </c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28"/>
      <c r="Q1487" s="20">
        <f t="shared" si="205"/>
        <v>0</v>
      </c>
    </row>
    <row r="1488" spans="1:17">
      <c r="A1488" s="150"/>
      <c r="B1488" s="153"/>
      <c r="C1488" s="116" t="s">
        <v>86</v>
      </c>
      <c r="D1488" s="91">
        <f>D1486*D1487</f>
        <v>0</v>
      </c>
      <c r="E1488" s="91">
        <f>E1486*E1487</f>
        <v>0</v>
      </c>
      <c r="F1488" s="91">
        <f>F1486*F1487</f>
        <v>0</v>
      </c>
      <c r="G1488" s="91">
        <f>G1486*G1487</f>
        <v>0</v>
      </c>
      <c r="H1488" s="91">
        <f>H1486*H1487</f>
        <v>0</v>
      </c>
      <c r="I1488" s="91">
        <f t="shared" ref="I1488:O1488" si="236">I1486*I1487</f>
        <v>0</v>
      </c>
      <c r="J1488" s="91">
        <f t="shared" si="236"/>
        <v>0</v>
      </c>
      <c r="K1488" s="91">
        <f t="shared" si="236"/>
        <v>0</v>
      </c>
      <c r="L1488" s="91">
        <f t="shared" si="236"/>
        <v>0</v>
      </c>
      <c r="M1488" s="91">
        <f t="shared" si="236"/>
        <v>0</v>
      </c>
      <c r="N1488" s="91">
        <f t="shared" si="236"/>
        <v>0</v>
      </c>
      <c r="O1488" s="91">
        <f t="shared" si="236"/>
        <v>0</v>
      </c>
      <c r="P1488" s="32"/>
      <c r="Q1488" s="20">
        <f t="shared" si="205"/>
        <v>0</v>
      </c>
    </row>
    <row r="1489" spans="1:17">
      <c r="A1489" s="150"/>
      <c r="B1489" s="153"/>
      <c r="C1489" s="117" t="s">
        <v>9</v>
      </c>
      <c r="D1489" s="91"/>
      <c r="E1489" s="91"/>
      <c r="F1489" s="91"/>
      <c r="G1489" s="91"/>
      <c r="H1489" s="91"/>
      <c r="I1489" s="91"/>
      <c r="J1489" s="91"/>
      <c r="K1489" s="91"/>
      <c r="L1489" s="91"/>
      <c r="M1489" s="91"/>
      <c r="N1489" s="91"/>
      <c r="O1489" s="91"/>
      <c r="P1489" s="32"/>
      <c r="Q1489" s="20">
        <f t="shared" si="205"/>
        <v>0</v>
      </c>
    </row>
    <row r="1490" spans="1:17">
      <c r="A1490" s="150"/>
      <c r="B1490" s="153"/>
      <c r="C1490" s="117" t="s">
        <v>38</v>
      </c>
      <c r="D1490" s="89"/>
      <c r="E1490" s="89"/>
      <c r="F1490" s="89"/>
      <c r="G1490" s="89"/>
      <c r="H1490" s="89"/>
      <c r="I1490" s="89"/>
      <c r="J1490" s="89"/>
      <c r="K1490" s="89"/>
      <c r="L1490" s="89"/>
      <c r="M1490" s="89"/>
      <c r="N1490" s="89"/>
      <c r="O1490" s="89"/>
      <c r="P1490" s="28"/>
      <c r="Q1490" s="20">
        <f t="shared" si="205"/>
        <v>0</v>
      </c>
    </row>
    <row r="1491" spans="1:17">
      <c r="A1491" s="150"/>
      <c r="B1491" s="153"/>
      <c r="C1491" s="62"/>
      <c r="D1491" s="91"/>
      <c r="E1491" s="91"/>
      <c r="F1491" s="91"/>
      <c r="G1491" s="91"/>
      <c r="H1491" s="91"/>
      <c r="I1491" s="91"/>
      <c r="J1491" s="91"/>
      <c r="K1491" s="91"/>
      <c r="L1491" s="91"/>
      <c r="M1491" s="91"/>
      <c r="N1491" s="91"/>
      <c r="O1491" s="91"/>
      <c r="P1491" s="32"/>
      <c r="Q1491" s="20">
        <f t="shared" si="205"/>
        <v>0</v>
      </c>
    </row>
    <row r="1492" spans="1:17">
      <c r="A1492" s="150"/>
      <c r="B1492" s="154"/>
      <c r="C1492" s="6" t="s">
        <v>42</v>
      </c>
      <c r="D1492" s="92"/>
      <c r="E1492" s="92"/>
      <c r="F1492" s="92"/>
      <c r="G1492" s="92"/>
      <c r="H1492" s="92"/>
      <c r="I1492" s="92"/>
      <c r="J1492" s="92"/>
      <c r="K1492" s="92"/>
      <c r="L1492" s="92"/>
      <c r="M1492" s="92"/>
      <c r="N1492" s="92"/>
      <c r="O1492" s="92"/>
      <c r="P1492" s="33"/>
      <c r="Q1492" s="22">
        <f t="shared" si="205"/>
        <v>0</v>
      </c>
    </row>
    <row r="1493" spans="1:17">
      <c r="A1493" s="150"/>
      <c r="B1493" s="155" t="s">
        <v>11</v>
      </c>
      <c r="C1493" s="5" t="s">
        <v>7</v>
      </c>
      <c r="D1493" s="94"/>
      <c r="E1493" s="94"/>
      <c r="F1493" s="94"/>
      <c r="G1493" s="94"/>
      <c r="H1493" s="94"/>
      <c r="I1493" s="94"/>
      <c r="J1493" s="94"/>
      <c r="K1493" s="94"/>
      <c r="L1493" s="94"/>
      <c r="M1493" s="94"/>
      <c r="N1493" s="94"/>
      <c r="O1493" s="94"/>
      <c r="P1493" s="27"/>
      <c r="Q1493" s="21">
        <f t="shared" si="205"/>
        <v>0</v>
      </c>
    </row>
    <row r="1494" spans="1:17">
      <c r="A1494" s="150"/>
      <c r="B1494" s="153"/>
      <c r="C1494" s="6" t="s">
        <v>4</v>
      </c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32"/>
      <c r="Q1494" s="20">
        <f t="shared" si="205"/>
        <v>0</v>
      </c>
    </row>
    <row r="1495" spans="1:17">
      <c r="A1495" s="150"/>
      <c r="B1495" s="153"/>
      <c r="C1495" s="6" t="s">
        <v>17</v>
      </c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32"/>
      <c r="Q1495" s="20">
        <f t="shared" si="205"/>
        <v>0</v>
      </c>
    </row>
    <row r="1496" spans="1:17">
      <c r="A1496" s="150"/>
      <c r="B1496" s="153"/>
      <c r="C1496" s="6" t="s">
        <v>18</v>
      </c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32"/>
      <c r="Q1496" s="20">
        <f t="shared" si="205"/>
        <v>0</v>
      </c>
    </row>
    <row r="1497" spans="1:17">
      <c r="A1497" s="150"/>
      <c r="B1497" s="153"/>
      <c r="C1497" s="6" t="s">
        <v>60</v>
      </c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32"/>
      <c r="Q1497" s="20">
        <f t="shared" si="205"/>
        <v>0</v>
      </c>
    </row>
    <row r="1498" spans="1:17">
      <c r="A1498" s="150"/>
      <c r="B1498" s="155" t="s">
        <v>13</v>
      </c>
      <c r="C1498" s="5" t="s">
        <v>10</v>
      </c>
      <c r="D1498" s="94"/>
      <c r="E1498" s="94"/>
      <c r="F1498" s="94"/>
      <c r="G1498" s="94"/>
      <c r="H1498" s="94"/>
      <c r="I1498" s="94"/>
      <c r="J1498" s="94"/>
      <c r="K1498" s="94"/>
      <c r="L1498" s="94"/>
      <c r="M1498" s="94"/>
      <c r="N1498" s="94"/>
      <c r="O1498" s="94"/>
      <c r="P1498" s="27"/>
      <c r="Q1498" s="21">
        <f t="shared" si="205"/>
        <v>0</v>
      </c>
    </row>
    <row r="1499" spans="1:17">
      <c r="A1499" s="150"/>
      <c r="B1499" s="153"/>
      <c r="C1499" s="116" t="s">
        <v>55</v>
      </c>
      <c r="D1499" s="89"/>
      <c r="E1499" s="89"/>
      <c r="F1499" s="89"/>
      <c r="G1499" s="89"/>
      <c r="H1499" s="89"/>
      <c r="I1499" s="89"/>
      <c r="J1499" s="89"/>
      <c r="K1499" s="89"/>
      <c r="L1499" s="89"/>
      <c r="M1499" s="89"/>
      <c r="N1499" s="89"/>
      <c r="O1499" s="89"/>
      <c r="P1499" s="28"/>
      <c r="Q1499" s="20">
        <f t="shared" si="205"/>
        <v>0</v>
      </c>
    </row>
    <row r="1500" spans="1:17">
      <c r="A1500" s="150"/>
      <c r="B1500" s="153"/>
      <c r="C1500" s="8" t="s">
        <v>56</v>
      </c>
      <c r="D1500" s="89"/>
      <c r="E1500" s="89"/>
      <c r="F1500" s="89"/>
      <c r="G1500" s="89"/>
      <c r="H1500" s="89"/>
      <c r="I1500" s="89"/>
      <c r="J1500" s="89"/>
      <c r="K1500" s="89"/>
      <c r="L1500" s="89"/>
      <c r="M1500" s="89"/>
      <c r="N1500" s="89"/>
      <c r="O1500" s="89"/>
      <c r="P1500" s="28"/>
      <c r="Q1500" s="20">
        <f t="shared" si="205"/>
        <v>0</v>
      </c>
    </row>
    <row r="1501" spans="1:17">
      <c r="A1501" s="150"/>
      <c r="B1501" s="154"/>
      <c r="C1501" s="4" t="s">
        <v>61</v>
      </c>
      <c r="D1501" s="92"/>
      <c r="E1501" s="92"/>
      <c r="F1501" s="92"/>
      <c r="G1501" s="92"/>
      <c r="H1501" s="92"/>
      <c r="I1501" s="92"/>
      <c r="J1501" s="92"/>
      <c r="K1501" s="92"/>
      <c r="L1501" s="92"/>
      <c r="M1501" s="92"/>
      <c r="N1501" s="92"/>
      <c r="O1501" s="92"/>
      <c r="P1501" s="33"/>
      <c r="Q1501" s="22">
        <f t="shared" si="205"/>
        <v>0</v>
      </c>
    </row>
    <row r="1502" spans="1:17">
      <c r="A1502" s="150"/>
      <c r="B1502" s="156" t="s">
        <v>54</v>
      </c>
      <c r="C1502" s="157"/>
      <c r="D1502" s="56">
        <f t="shared" ref="D1502:O1502" si="237">SUM(D1488:D1492)-SUM(D1496:D1497)</f>
        <v>0</v>
      </c>
      <c r="E1502" s="56">
        <f t="shared" si="237"/>
        <v>0</v>
      </c>
      <c r="F1502" s="56">
        <f t="shared" si="237"/>
        <v>0</v>
      </c>
      <c r="G1502" s="56">
        <f t="shared" si="237"/>
        <v>0</v>
      </c>
      <c r="H1502" s="56">
        <f t="shared" si="237"/>
        <v>0</v>
      </c>
      <c r="I1502" s="56">
        <f t="shared" si="237"/>
        <v>0</v>
      </c>
      <c r="J1502" s="56">
        <f t="shared" si="237"/>
        <v>0</v>
      </c>
      <c r="K1502" s="56">
        <f t="shared" si="237"/>
        <v>0</v>
      </c>
      <c r="L1502" s="56">
        <f t="shared" si="237"/>
        <v>0</v>
      </c>
      <c r="M1502" s="56">
        <f t="shared" si="237"/>
        <v>0</v>
      </c>
      <c r="N1502" s="56">
        <f t="shared" si="237"/>
        <v>0</v>
      </c>
      <c r="O1502" s="56">
        <f t="shared" si="237"/>
        <v>0</v>
      </c>
      <c r="P1502" s="58">
        <f>SUM(P1486:P1492)-SUM(P1496:P1497)</f>
        <v>0</v>
      </c>
      <c r="Q1502" s="59">
        <f t="shared" si="205"/>
        <v>0</v>
      </c>
    </row>
    <row r="1503" spans="1:17" ht="14.25" thickBot="1">
      <c r="A1503" s="151"/>
      <c r="B1503" s="147" t="s">
        <v>5</v>
      </c>
      <c r="C1503" s="148"/>
      <c r="D1503" s="42">
        <f t="shared" ref="D1503:O1503" si="238">SUM(D1488:D1492)-SUM(D1493:D1497)+SUM(D1498:D1501)</f>
        <v>0</v>
      </c>
      <c r="E1503" s="42">
        <f t="shared" si="238"/>
        <v>0</v>
      </c>
      <c r="F1503" s="42">
        <f t="shared" si="238"/>
        <v>0</v>
      </c>
      <c r="G1503" s="42">
        <f t="shared" si="238"/>
        <v>0</v>
      </c>
      <c r="H1503" s="42">
        <f t="shared" si="238"/>
        <v>0</v>
      </c>
      <c r="I1503" s="42">
        <f t="shared" si="238"/>
        <v>0</v>
      </c>
      <c r="J1503" s="42">
        <f t="shared" si="238"/>
        <v>0</v>
      </c>
      <c r="K1503" s="42">
        <f t="shared" si="238"/>
        <v>0</v>
      </c>
      <c r="L1503" s="42">
        <f t="shared" si="238"/>
        <v>0</v>
      </c>
      <c r="M1503" s="42">
        <f t="shared" si="238"/>
        <v>0</v>
      </c>
      <c r="N1503" s="42">
        <f t="shared" si="238"/>
        <v>0</v>
      </c>
      <c r="O1503" s="42">
        <f t="shared" si="238"/>
        <v>0</v>
      </c>
      <c r="P1503" s="44">
        <f>SUM(P1486:P1492)-SUM(P1493:P1497)+SUM(P1498:P1501)</f>
        <v>0</v>
      </c>
      <c r="Q1503" s="46">
        <f t="shared" si="205"/>
        <v>0</v>
      </c>
    </row>
    <row r="1504" spans="1:17">
      <c r="A1504" s="149"/>
      <c r="B1504" s="152" t="s">
        <v>12</v>
      </c>
      <c r="C1504" s="114" t="s">
        <v>84</v>
      </c>
      <c r="D1504" s="87"/>
      <c r="E1504" s="87"/>
      <c r="F1504" s="87"/>
      <c r="G1504" s="87"/>
      <c r="H1504" s="87"/>
      <c r="I1504" s="87"/>
      <c r="J1504" s="87"/>
      <c r="K1504" s="87"/>
      <c r="L1504" s="87"/>
      <c r="M1504" s="87"/>
      <c r="N1504" s="87"/>
      <c r="O1504" s="87"/>
      <c r="P1504" s="30"/>
      <c r="Q1504" s="19">
        <f t="shared" si="205"/>
        <v>0</v>
      </c>
    </row>
    <row r="1505" spans="1:17">
      <c r="A1505" s="150"/>
      <c r="B1505" s="153"/>
      <c r="C1505" s="115" t="s">
        <v>85</v>
      </c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28"/>
      <c r="Q1505" s="20">
        <f t="shared" si="205"/>
        <v>0</v>
      </c>
    </row>
    <row r="1506" spans="1:17">
      <c r="A1506" s="150"/>
      <c r="B1506" s="153"/>
      <c r="C1506" s="116" t="s">
        <v>86</v>
      </c>
      <c r="D1506" s="91">
        <f>D1504*D1505</f>
        <v>0</v>
      </c>
      <c r="E1506" s="91">
        <f>E1504*E1505</f>
        <v>0</v>
      </c>
      <c r="F1506" s="91">
        <f>F1504*F1505</f>
        <v>0</v>
      </c>
      <c r="G1506" s="91">
        <f>G1504*G1505</f>
        <v>0</v>
      </c>
      <c r="H1506" s="91">
        <f>H1504*H1505</f>
        <v>0</v>
      </c>
      <c r="I1506" s="91">
        <f t="shared" ref="I1506:O1506" si="239">I1504*I1505</f>
        <v>0</v>
      </c>
      <c r="J1506" s="91">
        <f t="shared" si="239"/>
        <v>0</v>
      </c>
      <c r="K1506" s="91">
        <f t="shared" si="239"/>
        <v>0</v>
      </c>
      <c r="L1506" s="91">
        <f t="shared" si="239"/>
        <v>0</v>
      </c>
      <c r="M1506" s="91">
        <f t="shared" si="239"/>
        <v>0</v>
      </c>
      <c r="N1506" s="91">
        <f t="shared" si="239"/>
        <v>0</v>
      </c>
      <c r="O1506" s="91">
        <f t="shared" si="239"/>
        <v>0</v>
      </c>
      <c r="P1506" s="32"/>
      <c r="Q1506" s="20">
        <f t="shared" si="205"/>
        <v>0</v>
      </c>
    </row>
    <row r="1507" spans="1:17">
      <c r="A1507" s="150"/>
      <c r="B1507" s="153"/>
      <c r="C1507" s="117" t="s">
        <v>9</v>
      </c>
      <c r="D1507" s="91"/>
      <c r="E1507" s="91"/>
      <c r="F1507" s="91"/>
      <c r="G1507" s="91"/>
      <c r="H1507" s="91"/>
      <c r="I1507" s="91"/>
      <c r="J1507" s="91"/>
      <c r="K1507" s="91"/>
      <c r="L1507" s="91"/>
      <c r="M1507" s="91"/>
      <c r="N1507" s="91"/>
      <c r="O1507" s="91"/>
      <c r="P1507" s="32"/>
      <c r="Q1507" s="20">
        <f t="shared" si="205"/>
        <v>0</v>
      </c>
    </row>
    <row r="1508" spans="1:17">
      <c r="A1508" s="150"/>
      <c r="B1508" s="153"/>
      <c r="C1508" s="117" t="s">
        <v>38</v>
      </c>
      <c r="D1508" s="89"/>
      <c r="E1508" s="89"/>
      <c r="F1508" s="89"/>
      <c r="G1508" s="89"/>
      <c r="H1508" s="89"/>
      <c r="I1508" s="89"/>
      <c r="J1508" s="89"/>
      <c r="K1508" s="89"/>
      <c r="L1508" s="89"/>
      <c r="M1508" s="89"/>
      <c r="N1508" s="89"/>
      <c r="O1508" s="89"/>
      <c r="P1508" s="28"/>
      <c r="Q1508" s="20">
        <f t="shared" si="205"/>
        <v>0</v>
      </c>
    </row>
    <row r="1509" spans="1:17">
      <c r="A1509" s="150"/>
      <c r="B1509" s="153"/>
      <c r="C1509" s="62"/>
      <c r="D1509" s="91"/>
      <c r="E1509" s="91"/>
      <c r="F1509" s="91"/>
      <c r="G1509" s="91"/>
      <c r="H1509" s="91"/>
      <c r="I1509" s="91"/>
      <c r="J1509" s="91"/>
      <c r="K1509" s="91"/>
      <c r="L1509" s="91"/>
      <c r="M1509" s="91"/>
      <c r="N1509" s="91"/>
      <c r="O1509" s="91"/>
      <c r="P1509" s="32"/>
      <c r="Q1509" s="20">
        <f t="shared" si="205"/>
        <v>0</v>
      </c>
    </row>
    <row r="1510" spans="1:17">
      <c r="A1510" s="150"/>
      <c r="B1510" s="154"/>
      <c r="C1510" s="6" t="s">
        <v>42</v>
      </c>
      <c r="D1510" s="92"/>
      <c r="E1510" s="92"/>
      <c r="F1510" s="92"/>
      <c r="G1510" s="92"/>
      <c r="H1510" s="92"/>
      <c r="I1510" s="92"/>
      <c r="J1510" s="92"/>
      <c r="K1510" s="92"/>
      <c r="L1510" s="92"/>
      <c r="M1510" s="92"/>
      <c r="N1510" s="92"/>
      <c r="O1510" s="92"/>
      <c r="P1510" s="33"/>
      <c r="Q1510" s="22">
        <f t="shared" si="205"/>
        <v>0</v>
      </c>
    </row>
    <row r="1511" spans="1:17">
      <c r="A1511" s="150"/>
      <c r="B1511" s="155" t="s">
        <v>11</v>
      </c>
      <c r="C1511" s="5" t="s">
        <v>7</v>
      </c>
      <c r="D1511" s="94"/>
      <c r="E1511" s="94"/>
      <c r="F1511" s="94"/>
      <c r="G1511" s="94"/>
      <c r="H1511" s="94"/>
      <c r="I1511" s="94"/>
      <c r="J1511" s="94"/>
      <c r="K1511" s="94"/>
      <c r="L1511" s="94"/>
      <c r="M1511" s="94"/>
      <c r="N1511" s="94"/>
      <c r="O1511" s="94"/>
      <c r="P1511" s="27"/>
      <c r="Q1511" s="21">
        <f t="shared" si="205"/>
        <v>0</v>
      </c>
    </row>
    <row r="1512" spans="1:17">
      <c r="A1512" s="150"/>
      <c r="B1512" s="153"/>
      <c r="C1512" s="6" t="s">
        <v>4</v>
      </c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32"/>
      <c r="Q1512" s="20">
        <f t="shared" si="205"/>
        <v>0</v>
      </c>
    </row>
    <row r="1513" spans="1:17">
      <c r="A1513" s="150"/>
      <c r="B1513" s="153"/>
      <c r="C1513" s="6" t="s">
        <v>17</v>
      </c>
      <c r="D1513" s="91"/>
      <c r="E1513" s="91"/>
      <c r="F1513" s="91"/>
      <c r="G1513" s="91"/>
      <c r="H1513" s="91"/>
      <c r="I1513" s="91"/>
      <c r="J1513" s="91"/>
      <c r="K1513" s="91"/>
      <c r="L1513" s="91"/>
      <c r="M1513" s="91"/>
      <c r="N1513" s="91"/>
      <c r="O1513" s="91"/>
      <c r="P1513" s="32"/>
      <c r="Q1513" s="20">
        <f t="shared" si="205"/>
        <v>0</v>
      </c>
    </row>
    <row r="1514" spans="1:17">
      <c r="A1514" s="150"/>
      <c r="B1514" s="153"/>
      <c r="C1514" s="6" t="s">
        <v>18</v>
      </c>
      <c r="D1514" s="91"/>
      <c r="E1514" s="91"/>
      <c r="F1514" s="91"/>
      <c r="G1514" s="91"/>
      <c r="H1514" s="91"/>
      <c r="I1514" s="91"/>
      <c r="J1514" s="91"/>
      <c r="K1514" s="91"/>
      <c r="L1514" s="91"/>
      <c r="M1514" s="91"/>
      <c r="N1514" s="91"/>
      <c r="O1514" s="91"/>
      <c r="P1514" s="32"/>
      <c r="Q1514" s="20">
        <f t="shared" si="205"/>
        <v>0</v>
      </c>
    </row>
    <row r="1515" spans="1:17">
      <c r="A1515" s="150"/>
      <c r="B1515" s="153"/>
      <c r="C1515" s="6" t="s">
        <v>60</v>
      </c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91"/>
      <c r="O1515" s="91"/>
      <c r="P1515" s="32"/>
      <c r="Q1515" s="20">
        <f t="shared" si="205"/>
        <v>0</v>
      </c>
    </row>
    <row r="1516" spans="1:17">
      <c r="A1516" s="150"/>
      <c r="B1516" s="155" t="s">
        <v>13</v>
      </c>
      <c r="C1516" s="5" t="s">
        <v>10</v>
      </c>
      <c r="D1516" s="94"/>
      <c r="E1516" s="94"/>
      <c r="F1516" s="94"/>
      <c r="G1516" s="94"/>
      <c r="H1516" s="94"/>
      <c r="I1516" s="94"/>
      <c r="J1516" s="94"/>
      <c r="K1516" s="94"/>
      <c r="L1516" s="94"/>
      <c r="M1516" s="94"/>
      <c r="N1516" s="94"/>
      <c r="O1516" s="94"/>
      <c r="P1516" s="27"/>
      <c r="Q1516" s="21">
        <f t="shared" si="205"/>
        <v>0</v>
      </c>
    </row>
    <row r="1517" spans="1:17">
      <c r="A1517" s="150"/>
      <c r="B1517" s="153"/>
      <c r="C1517" s="116" t="s">
        <v>55</v>
      </c>
      <c r="D1517" s="89"/>
      <c r="E1517" s="89"/>
      <c r="F1517" s="89"/>
      <c r="G1517" s="89"/>
      <c r="H1517" s="89"/>
      <c r="I1517" s="89"/>
      <c r="J1517" s="89"/>
      <c r="K1517" s="89"/>
      <c r="L1517" s="89"/>
      <c r="M1517" s="89"/>
      <c r="N1517" s="89"/>
      <c r="O1517" s="89"/>
      <c r="P1517" s="28"/>
      <c r="Q1517" s="20">
        <f t="shared" si="205"/>
        <v>0</v>
      </c>
    </row>
    <row r="1518" spans="1:17">
      <c r="A1518" s="150"/>
      <c r="B1518" s="153"/>
      <c r="C1518" s="8" t="s">
        <v>56</v>
      </c>
      <c r="D1518" s="89"/>
      <c r="E1518" s="89"/>
      <c r="F1518" s="89"/>
      <c r="G1518" s="89"/>
      <c r="H1518" s="89"/>
      <c r="I1518" s="89"/>
      <c r="J1518" s="89"/>
      <c r="K1518" s="89"/>
      <c r="L1518" s="89"/>
      <c r="M1518" s="89"/>
      <c r="N1518" s="89"/>
      <c r="O1518" s="89"/>
      <c r="P1518" s="28"/>
      <c r="Q1518" s="20">
        <f t="shared" si="205"/>
        <v>0</v>
      </c>
    </row>
    <row r="1519" spans="1:17">
      <c r="A1519" s="150"/>
      <c r="B1519" s="154"/>
      <c r="C1519" s="4" t="s">
        <v>61</v>
      </c>
      <c r="D1519" s="92"/>
      <c r="E1519" s="92"/>
      <c r="F1519" s="92"/>
      <c r="G1519" s="92"/>
      <c r="H1519" s="92"/>
      <c r="I1519" s="92"/>
      <c r="J1519" s="92"/>
      <c r="K1519" s="92"/>
      <c r="L1519" s="92"/>
      <c r="M1519" s="92"/>
      <c r="N1519" s="92"/>
      <c r="O1519" s="92"/>
      <c r="P1519" s="33"/>
      <c r="Q1519" s="22">
        <f t="shared" si="205"/>
        <v>0</v>
      </c>
    </row>
    <row r="1520" spans="1:17">
      <c r="A1520" s="150"/>
      <c r="B1520" s="156" t="s">
        <v>54</v>
      </c>
      <c r="C1520" s="157"/>
      <c r="D1520" s="56">
        <f t="shared" ref="D1520:O1520" si="240">SUM(D1506:D1510)-SUM(D1514:D1515)</f>
        <v>0</v>
      </c>
      <c r="E1520" s="56">
        <f t="shared" si="240"/>
        <v>0</v>
      </c>
      <c r="F1520" s="56">
        <f t="shared" si="240"/>
        <v>0</v>
      </c>
      <c r="G1520" s="56">
        <f t="shared" si="240"/>
        <v>0</v>
      </c>
      <c r="H1520" s="56">
        <f t="shared" si="240"/>
        <v>0</v>
      </c>
      <c r="I1520" s="56">
        <f t="shared" si="240"/>
        <v>0</v>
      </c>
      <c r="J1520" s="56">
        <f t="shared" si="240"/>
        <v>0</v>
      </c>
      <c r="K1520" s="56">
        <f t="shared" si="240"/>
        <v>0</v>
      </c>
      <c r="L1520" s="56">
        <f t="shared" si="240"/>
        <v>0</v>
      </c>
      <c r="M1520" s="56">
        <f t="shared" si="240"/>
        <v>0</v>
      </c>
      <c r="N1520" s="56">
        <f t="shared" si="240"/>
        <v>0</v>
      </c>
      <c r="O1520" s="56">
        <f t="shared" si="240"/>
        <v>0</v>
      </c>
      <c r="P1520" s="58">
        <f>SUM(P1504:P1510)-SUM(P1514:P1515)</f>
        <v>0</v>
      </c>
      <c r="Q1520" s="59">
        <f t="shared" si="205"/>
        <v>0</v>
      </c>
    </row>
    <row r="1521" spans="1:17" ht="14.25" thickBot="1">
      <c r="A1521" s="151"/>
      <c r="B1521" s="147" t="s">
        <v>5</v>
      </c>
      <c r="C1521" s="148"/>
      <c r="D1521" s="42">
        <f t="shared" ref="D1521:O1521" si="241">SUM(D1506:D1510)-SUM(D1511:D1515)+SUM(D1516:D1519)</f>
        <v>0</v>
      </c>
      <c r="E1521" s="42">
        <f t="shared" si="241"/>
        <v>0</v>
      </c>
      <c r="F1521" s="42">
        <f t="shared" si="241"/>
        <v>0</v>
      </c>
      <c r="G1521" s="42">
        <f t="shared" si="241"/>
        <v>0</v>
      </c>
      <c r="H1521" s="42">
        <f t="shared" si="241"/>
        <v>0</v>
      </c>
      <c r="I1521" s="42">
        <f t="shared" si="241"/>
        <v>0</v>
      </c>
      <c r="J1521" s="42">
        <f t="shared" si="241"/>
        <v>0</v>
      </c>
      <c r="K1521" s="42">
        <f t="shared" si="241"/>
        <v>0</v>
      </c>
      <c r="L1521" s="42">
        <f t="shared" si="241"/>
        <v>0</v>
      </c>
      <c r="M1521" s="42">
        <f t="shared" si="241"/>
        <v>0</v>
      </c>
      <c r="N1521" s="42">
        <f t="shared" si="241"/>
        <v>0</v>
      </c>
      <c r="O1521" s="42">
        <f t="shared" si="241"/>
        <v>0</v>
      </c>
      <c r="P1521" s="44">
        <f>SUM(P1504:P1510)-SUM(P1511:P1515)+SUM(P1516:P1519)</f>
        <v>0</v>
      </c>
      <c r="Q1521" s="46">
        <f t="shared" si="205"/>
        <v>0</v>
      </c>
    </row>
    <row r="1522" spans="1:17">
      <c r="A1522" s="149"/>
      <c r="B1522" s="152" t="s">
        <v>12</v>
      </c>
      <c r="C1522" s="114" t="s">
        <v>84</v>
      </c>
      <c r="D1522" s="87"/>
      <c r="E1522" s="87"/>
      <c r="F1522" s="87"/>
      <c r="G1522" s="87"/>
      <c r="H1522" s="87"/>
      <c r="I1522" s="87"/>
      <c r="J1522" s="87"/>
      <c r="K1522" s="87"/>
      <c r="L1522" s="87"/>
      <c r="M1522" s="87"/>
      <c r="N1522" s="87"/>
      <c r="O1522" s="87"/>
      <c r="P1522" s="30"/>
      <c r="Q1522" s="19">
        <f t="shared" si="205"/>
        <v>0</v>
      </c>
    </row>
    <row r="1523" spans="1:17">
      <c r="A1523" s="150"/>
      <c r="B1523" s="153"/>
      <c r="C1523" s="115" t="s">
        <v>85</v>
      </c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28"/>
      <c r="Q1523" s="20">
        <f t="shared" si="205"/>
        <v>0</v>
      </c>
    </row>
    <row r="1524" spans="1:17">
      <c r="A1524" s="150"/>
      <c r="B1524" s="153"/>
      <c r="C1524" s="116" t="s">
        <v>86</v>
      </c>
      <c r="D1524" s="91">
        <f>D1522*D1523</f>
        <v>0</v>
      </c>
      <c r="E1524" s="91">
        <f>E1522*E1523</f>
        <v>0</v>
      </c>
      <c r="F1524" s="91">
        <f>F1522*F1523</f>
        <v>0</v>
      </c>
      <c r="G1524" s="91">
        <f>G1522*G1523</f>
        <v>0</v>
      </c>
      <c r="H1524" s="91">
        <f>H1522*H1523</f>
        <v>0</v>
      </c>
      <c r="I1524" s="91">
        <f t="shared" ref="I1524:O1524" si="242">I1522*I1523</f>
        <v>0</v>
      </c>
      <c r="J1524" s="91">
        <f t="shared" si="242"/>
        <v>0</v>
      </c>
      <c r="K1524" s="91">
        <f t="shared" si="242"/>
        <v>0</v>
      </c>
      <c r="L1524" s="91">
        <f t="shared" si="242"/>
        <v>0</v>
      </c>
      <c r="M1524" s="91">
        <f t="shared" si="242"/>
        <v>0</v>
      </c>
      <c r="N1524" s="91">
        <f t="shared" si="242"/>
        <v>0</v>
      </c>
      <c r="O1524" s="91">
        <f t="shared" si="242"/>
        <v>0</v>
      </c>
      <c r="P1524" s="32"/>
      <c r="Q1524" s="20">
        <f t="shared" si="205"/>
        <v>0</v>
      </c>
    </row>
    <row r="1525" spans="1:17">
      <c r="A1525" s="150"/>
      <c r="B1525" s="153"/>
      <c r="C1525" s="117" t="s">
        <v>9</v>
      </c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32"/>
      <c r="Q1525" s="20">
        <f t="shared" si="205"/>
        <v>0</v>
      </c>
    </row>
    <row r="1526" spans="1:17">
      <c r="A1526" s="150"/>
      <c r="B1526" s="153"/>
      <c r="C1526" s="117" t="s">
        <v>38</v>
      </c>
      <c r="D1526" s="89"/>
      <c r="E1526" s="89"/>
      <c r="F1526" s="89"/>
      <c r="G1526" s="89"/>
      <c r="H1526" s="89"/>
      <c r="I1526" s="89"/>
      <c r="J1526" s="89"/>
      <c r="K1526" s="89"/>
      <c r="L1526" s="89"/>
      <c r="M1526" s="89"/>
      <c r="N1526" s="89"/>
      <c r="O1526" s="89"/>
      <c r="P1526" s="28"/>
      <c r="Q1526" s="20">
        <f t="shared" si="205"/>
        <v>0</v>
      </c>
    </row>
    <row r="1527" spans="1:17">
      <c r="A1527" s="150"/>
      <c r="B1527" s="153"/>
      <c r="C1527" s="62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32"/>
      <c r="Q1527" s="20">
        <f t="shared" si="205"/>
        <v>0</v>
      </c>
    </row>
    <row r="1528" spans="1:17">
      <c r="A1528" s="150"/>
      <c r="B1528" s="154"/>
      <c r="C1528" s="6" t="s">
        <v>42</v>
      </c>
      <c r="D1528" s="92"/>
      <c r="E1528" s="92"/>
      <c r="F1528" s="92"/>
      <c r="G1528" s="92"/>
      <c r="H1528" s="92"/>
      <c r="I1528" s="92"/>
      <c r="J1528" s="92"/>
      <c r="K1528" s="92"/>
      <c r="L1528" s="92"/>
      <c r="M1528" s="92"/>
      <c r="N1528" s="92"/>
      <c r="O1528" s="92"/>
      <c r="P1528" s="33"/>
      <c r="Q1528" s="22">
        <f t="shared" si="205"/>
        <v>0</v>
      </c>
    </row>
    <row r="1529" spans="1:17">
      <c r="A1529" s="150"/>
      <c r="B1529" s="155" t="s">
        <v>11</v>
      </c>
      <c r="C1529" s="5" t="s">
        <v>7</v>
      </c>
      <c r="D1529" s="94"/>
      <c r="E1529" s="94"/>
      <c r="F1529" s="94"/>
      <c r="G1529" s="94"/>
      <c r="H1529" s="94"/>
      <c r="I1529" s="94"/>
      <c r="J1529" s="94"/>
      <c r="K1529" s="94"/>
      <c r="L1529" s="94"/>
      <c r="M1529" s="94"/>
      <c r="N1529" s="94"/>
      <c r="O1529" s="94"/>
      <c r="P1529" s="27"/>
      <c r="Q1529" s="21">
        <f t="shared" si="205"/>
        <v>0</v>
      </c>
    </row>
    <row r="1530" spans="1:17">
      <c r="A1530" s="150"/>
      <c r="B1530" s="153"/>
      <c r="C1530" s="6" t="s">
        <v>4</v>
      </c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32"/>
      <c r="Q1530" s="20">
        <f t="shared" si="205"/>
        <v>0</v>
      </c>
    </row>
    <row r="1531" spans="1:17">
      <c r="A1531" s="150"/>
      <c r="B1531" s="153"/>
      <c r="C1531" s="6" t="s">
        <v>17</v>
      </c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32"/>
      <c r="Q1531" s="20">
        <f t="shared" si="205"/>
        <v>0</v>
      </c>
    </row>
    <row r="1532" spans="1:17">
      <c r="A1532" s="150"/>
      <c r="B1532" s="153"/>
      <c r="C1532" s="6" t="s">
        <v>18</v>
      </c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32"/>
      <c r="Q1532" s="20">
        <f t="shared" si="205"/>
        <v>0</v>
      </c>
    </row>
    <row r="1533" spans="1:17">
      <c r="A1533" s="150"/>
      <c r="B1533" s="153"/>
      <c r="C1533" s="6" t="s">
        <v>60</v>
      </c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1"/>
      <c r="O1533" s="91"/>
      <c r="P1533" s="32"/>
      <c r="Q1533" s="20">
        <f t="shared" si="205"/>
        <v>0</v>
      </c>
    </row>
    <row r="1534" spans="1:17">
      <c r="A1534" s="150"/>
      <c r="B1534" s="155" t="s">
        <v>13</v>
      </c>
      <c r="C1534" s="5" t="s">
        <v>10</v>
      </c>
      <c r="D1534" s="94"/>
      <c r="E1534" s="94"/>
      <c r="F1534" s="94"/>
      <c r="G1534" s="94"/>
      <c r="H1534" s="94"/>
      <c r="I1534" s="94"/>
      <c r="J1534" s="94"/>
      <c r="K1534" s="94"/>
      <c r="L1534" s="94"/>
      <c r="M1534" s="94"/>
      <c r="N1534" s="94"/>
      <c r="O1534" s="94"/>
      <c r="P1534" s="27"/>
      <c r="Q1534" s="21">
        <f t="shared" si="205"/>
        <v>0</v>
      </c>
    </row>
    <row r="1535" spans="1:17">
      <c r="A1535" s="150"/>
      <c r="B1535" s="153"/>
      <c r="C1535" s="116" t="s">
        <v>55</v>
      </c>
      <c r="D1535" s="89"/>
      <c r="E1535" s="89"/>
      <c r="F1535" s="89"/>
      <c r="G1535" s="89"/>
      <c r="H1535" s="89"/>
      <c r="I1535" s="89"/>
      <c r="J1535" s="89"/>
      <c r="K1535" s="89"/>
      <c r="L1535" s="89"/>
      <c r="M1535" s="89"/>
      <c r="N1535" s="89"/>
      <c r="O1535" s="89"/>
      <c r="P1535" s="28"/>
      <c r="Q1535" s="20">
        <f t="shared" si="205"/>
        <v>0</v>
      </c>
    </row>
    <row r="1536" spans="1:17">
      <c r="A1536" s="150"/>
      <c r="B1536" s="153"/>
      <c r="C1536" s="8" t="s">
        <v>56</v>
      </c>
      <c r="D1536" s="89"/>
      <c r="E1536" s="89"/>
      <c r="F1536" s="89"/>
      <c r="G1536" s="89"/>
      <c r="H1536" s="89"/>
      <c r="I1536" s="89"/>
      <c r="J1536" s="89"/>
      <c r="K1536" s="89"/>
      <c r="L1536" s="89"/>
      <c r="M1536" s="89"/>
      <c r="N1536" s="89"/>
      <c r="O1536" s="89"/>
      <c r="P1536" s="28"/>
      <c r="Q1536" s="20">
        <f t="shared" si="205"/>
        <v>0</v>
      </c>
    </row>
    <row r="1537" spans="1:17">
      <c r="A1537" s="150"/>
      <c r="B1537" s="154"/>
      <c r="C1537" s="4" t="s">
        <v>61</v>
      </c>
      <c r="D1537" s="92"/>
      <c r="E1537" s="92"/>
      <c r="F1537" s="92"/>
      <c r="G1537" s="92"/>
      <c r="H1537" s="92"/>
      <c r="I1537" s="92"/>
      <c r="J1537" s="92"/>
      <c r="K1537" s="92"/>
      <c r="L1537" s="92"/>
      <c r="M1537" s="92"/>
      <c r="N1537" s="92"/>
      <c r="O1537" s="92"/>
      <c r="P1537" s="33"/>
      <c r="Q1537" s="22">
        <f t="shared" si="205"/>
        <v>0</v>
      </c>
    </row>
    <row r="1538" spans="1:17">
      <c r="A1538" s="150"/>
      <c r="B1538" s="156" t="s">
        <v>54</v>
      </c>
      <c r="C1538" s="157"/>
      <c r="D1538" s="56">
        <f t="shared" ref="D1538:O1538" si="243">SUM(D1524:D1528)-SUM(D1532:D1533)</f>
        <v>0</v>
      </c>
      <c r="E1538" s="56">
        <f t="shared" si="243"/>
        <v>0</v>
      </c>
      <c r="F1538" s="56">
        <f t="shared" si="243"/>
        <v>0</v>
      </c>
      <c r="G1538" s="56">
        <f t="shared" si="243"/>
        <v>0</v>
      </c>
      <c r="H1538" s="56">
        <f t="shared" si="243"/>
        <v>0</v>
      </c>
      <c r="I1538" s="56">
        <f t="shared" si="243"/>
        <v>0</v>
      </c>
      <c r="J1538" s="56">
        <f t="shared" si="243"/>
        <v>0</v>
      </c>
      <c r="K1538" s="56">
        <f t="shared" si="243"/>
        <v>0</v>
      </c>
      <c r="L1538" s="56">
        <f t="shared" si="243"/>
        <v>0</v>
      </c>
      <c r="M1538" s="56">
        <f t="shared" si="243"/>
        <v>0</v>
      </c>
      <c r="N1538" s="56">
        <f t="shared" si="243"/>
        <v>0</v>
      </c>
      <c r="O1538" s="56">
        <f t="shared" si="243"/>
        <v>0</v>
      </c>
      <c r="P1538" s="58">
        <f>SUM(P1522:P1528)-SUM(P1532:P1533)</f>
        <v>0</v>
      </c>
      <c r="Q1538" s="59">
        <f t="shared" si="205"/>
        <v>0</v>
      </c>
    </row>
    <row r="1539" spans="1:17" ht="14.25" thickBot="1">
      <c r="A1539" s="151"/>
      <c r="B1539" s="147" t="s">
        <v>5</v>
      </c>
      <c r="C1539" s="148"/>
      <c r="D1539" s="42">
        <f t="shared" ref="D1539:O1539" si="244">SUM(D1524:D1528)-SUM(D1529:D1533)+SUM(D1534:D1537)</f>
        <v>0</v>
      </c>
      <c r="E1539" s="42">
        <f t="shared" si="244"/>
        <v>0</v>
      </c>
      <c r="F1539" s="42">
        <f t="shared" si="244"/>
        <v>0</v>
      </c>
      <c r="G1539" s="42">
        <f t="shared" si="244"/>
        <v>0</v>
      </c>
      <c r="H1539" s="42">
        <f t="shared" si="244"/>
        <v>0</v>
      </c>
      <c r="I1539" s="42">
        <f t="shared" si="244"/>
        <v>0</v>
      </c>
      <c r="J1539" s="42">
        <f t="shared" si="244"/>
        <v>0</v>
      </c>
      <c r="K1539" s="42">
        <f t="shared" si="244"/>
        <v>0</v>
      </c>
      <c r="L1539" s="42">
        <f t="shared" si="244"/>
        <v>0</v>
      </c>
      <c r="M1539" s="42">
        <f t="shared" si="244"/>
        <v>0</v>
      </c>
      <c r="N1539" s="42">
        <f t="shared" si="244"/>
        <v>0</v>
      </c>
      <c r="O1539" s="42">
        <f t="shared" si="244"/>
        <v>0</v>
      </c>
      <c r="P1539" s="44">
        <f>SUM(P1522:P1528)-SUM(P1529:P1533)+SUM(P1534:P1537)</f>
        <v>0</v>
      </c>
      <c r="Q1539" s="46">
        <f t="shared" si="205"/>
        <v>0</v>
      </c>
    </row>
    <row r="1540" spans="1:17">
      <c r="A1540" s="149"/>
      <c r="B1540" s="152" t="s">
        <v>12</v>
      </c>
      <c r="C1540" s="114" t="s">
        <v>84</v>
      </c>
      <c r="D1540" s="87"/>
      <c r="E1540" s="87"/>
      <c r="F1540" s="87"/>
      <c r="G1540" s="87"/>
      <c r="H1540" s="87"/>
      <c r="I1540" s="87"/>
      <c r="J1540" s="87"/>
      <c r="K1540" s="87"/>
      <c r="L1540" s="87"/>
      <c r="M1540" s="87"/>
      <c r="N1540" s="87"/>
      <c r="O1540" s="87"/>
      <c r="P1540" s="30"/>
      <c r="Q1540" s="19">
        <f t="shared" si="205"/>
        <v>0</v>
      </c>
    </row>
    <row r="1541" spans="1:17">
      <c r="A1541" s="150"/>
      <c r="B1541" s="153"/>
      <c r="C1541" s="115" t="s">
        <v>85</v>
      </c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28"/>
      <c r="Q1541" s="20">
        <f t="shared" si="205"/>
        <v>0</v>
      </c>
    </row>
    <row r="1542" spans="1:17">
      <c r="A1542" s="150"/>
      <c r="B1542" s="153"/>
      <c r="C1542" s="116" t="s">
        <v>86</v>
      </c>
      <c r="D1542" s="91">
        <f>D1540*D1541</f>
        <v>0</v>
      </c>
      <c r="E1542" s="91">
        <f>E1540*E1541</f>
        <v>0</v>
      </c>
      <c r="F1542" s="91">
        <f>F1540*F1541</f>
        <v>0</v>
      </c>
      <c r="G1542" s="91">
        <f>G1540*G1541</f>
        <v>0</v>
      </c>
      <c r="H1542" s="91">
        <f>H1540*H1541</f>
        <v>0</v>
      </c>
      <c r="I1542" s="91">
        <f t="shared" ref="I1542:O1542" si="245">I1540*I1541</f>
        <v>0</v>
      </c>
      <c r="J1542" s="91">
        <f t="shared" si="245"/>
        <v>0</v>
      </c>
      <c r="K1542" s="91">
        <f t="shared" si="245"/>
        <v>0</v>
      </c>
      <c r="L1542" s="91">
        <f t="shared" si="245"/>
        <v>0</v>
      </c>
      <c r="M1542" s="91">
        <f t="shared" si="245"/>
        <v>0</v>
      </c>
      <c r="N1542" s="91">
        <f t="shared" si="245"/>
        <v>0</v>
      </c>
      <c r="O1542" s="91">
        <f t="shared" si="245"/>
        <v>0</v>
      </c>
      <c r="P1542" s="32"/>
      <c r="Q1542" s="20">
        <f t="shared" si="205"/>
        <v>0</v>
      </c>
    </row>
    <row r="1543" spans="1:17">
      <c r="A1543" s="150"/>
      <c r="B1543" s="153"/>
      <c r="C1543" s="117" t="s">
        <v>9</v>
      </c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1"/>
      <c r="O1543" s="91"/>
      <c r="P1543" s="32"/>
      <c r="Q1543" s="20">
        <f t="shared" si="205"/>
        <v>0</v>
      </c>
    </row>
    <row r="1544" spans="1:17">
      <c r="A1544" s="150"/>
      <c r="B1544" s="153"/>
      <c r="C1544" s="117" t="s">
        <v>38</v>
      </c>
      <c r="D1544" s="89"/>
      <c r="E1544" s="89"/>
      <c r="F1544" s="89"/>
      <c r="G1544" s="89"/>
      <c r="H1544" s="89"/>
      <c r="I1544" s="89"/>
      <c r="J1544" s="89"/>
      <c r="K1544" s="89"/>
      <c r="L1544" s="89"/>
      <c r="M1544" s="89"/>
      <c r="N1544" s="89"/>
      <c r="O1544" s="89"/>
      <c r="P1544" s="28"/>
      <c r="Q1544" s="20">
        <f t="shared" si="205"/>
        <v>0</v>
      </c>
    </row>
    <row r="1545" spans="1:17">
      <c r="A1545" s="150"/>
      <c r="B1545" s="153"/>
      <c r="C1545" s="62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1"/>
      <c r="O1545" s="91"/>
      <c r="P1545" s="32"/>
      <c r="Q1545" s="20">
        <f t="shared" si="205"/>
        <v>0</v>
      </c>
    </row>
    <row r="1546" spans="1:17">
      <c r="A1546" s="150"/>
      <c r="B1546" s="154"/>
      <c r="C1546" s="6" t="s">
        <v>42</v>
      </c>
      <c r="D1546" s="92"/>
      <c r="E1546" s="92"/>
      <c r="F1546" s="92"/>
      <c r="G1546" s="92"/>
      <c r="H1546" s="92"/>
      <c r="I1546" s="92"/>
      <c r="J1546" s="92"/>
      <c r="K1546" s="92"/>
      <c r="L1546" s="92"/>
      <c r="M1546" s="92"/>
      <c r="N1546" s="92"/>
      <c r="O1546" s="92"/>
      <c r="P1546" s="33"/>
      <c r="Q1546" s="22">
        <f t="shared" si="205"/>
        <v>0</v>
      </c>
    </row>
    <row r="1547" spans="1:17">
      <c r="A1547" s="150"/>
      <c r="B1547" s="155" t="s">
        <v>11</v>
      </c>
      <c r="C1547" s="5" t="s">
        <v>7</v>
      </c>
      <c r="D1547" s="94"/>
      <c r="E1547" s="94"/>
      <c r="F1547" s="94"/>
      <c r="G1547" s="94"/>
      <c r="H1547" s="94"/>
      <c r="I1547" s="94"/>
      <c r="J1547" s="94"/>
      <c r="K1547" s="94"/>
      <c r="L1547" s="94"/>
      <c r="M1547" s="94"/>
      <c r="N1547" s="94"/>
      <c r="O1547" s="94"/>
      <c r="P1547" s="27"/>
      <c r="Q1547" s="21">
        <f t="shared" si="205"/>
        <v>0</v>
      </c>
    </row>
    <row r="1548" spans="1:17">
      <c r="A1548" s="150"/>
      <c r="B1548" s="153"/>
      <c r="C1548" s="6" t="s">
        <v>4</v>
      </c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32"/>
      <c r="Q1548" s="20">
        <f t="shared" si="205"/>
        <v>0</v>
      </c>
    </row>
    <row r="1549" spans="1:17">
      <c r="A1549" s="150"/>
      <c r="B1549" s="153"/>
      <c r="C1549" s="6" t="s">
        <v>17</v>
      </c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32"/>
      <c r="Q1549" s="20">
        <f t="shared" si="205"/>
        <v>0</v>
      </c>
    </row>
    <row r="1550" spans="1:17">
      <c r="A1550" s="150"/>
      <c r="B1550" s="153"/>
      <c r="C1550" s="6" t="s">
        <v>18</v>
      </c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32"/>
      <c r="Q1550" s="20">
        <f t="shared" si="205"/>
        <v>0</v>
      </c>
    </row>
    <row r="1551" spans="1:17">
      <c r="A1551" s="150"/>
      <c r="B1551" s="153"/>
      <c r="C1551" s="6" t="s">
        <v>60</v>
      </c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32"/>
      <c r="Q1551" s="20">
        <f t="shared" si="205"/>
        <v>0</v>
      </c>
    </row>
    <row r="1552" spans="1:17">
      <c r="A1552" s="150"/>
      <c r="B1552" s="155" t="s">
        <v>13</v>
      </c>
      <c r="C1552" s="5" t="s">
        <v>10</v>
      </c>
      <c r="D1552" s="94"/>
      <c r="E1552" s="94"/>
      <c r="F1552" s="94"/>
      <c r="G1552" s="94"/>
      <c r="H1552" s="94"/>
      <c r="I1552" s="94"/>
      <c r="J1552" s="94"/>
      <c r="K1552" s="94"/>
      <c r="L1552" s="94"/>
      <c r="M1552" s="94"/>
      <c r="N1552" s="94"/>
      <c r="O1552" s="94"/>
      <c r="P1552" s="27"/>
      <c r="Q1552" s="21">
        <f t="shared" si="205"/>
        <v>0</v>
      </c>
    </row>
    <row r="1553" spans="1:17">
      <c r="A1553" s="150"/>
      <c r="B1553" s="153"/>
      <c r="C1553" s="116" t="s">
        <v>55</v>
      </c>
      <c r="D1553" s="89"/>
      <c r="E1553" s="89"/>
      <c r="F1553" s="89"/>
      <c r="G1553" s="89"/>
      <c r="H1553" s="89"/>
      <c r="I1553" s="89"/>
      <c r="J1553" s="89"/>
      <c r="K1553" s="89"/>
      <c r="L1553" s="89"/>
      <c r="M1553" s="89"/>
      <c r="N1553" s="89"/>
      <c r="O1553" s="89"/>
      <c r="P1553" s="28"/>
      <c r="Q1553" s="20">
        <f t="shared" si="205"/>
        <v>0</v>
      </c>
    </row>
    <row r="1554" spans="1:17">
      <c r="A1554" s="150"/>
      <c r="B1554" s="153"/>
      <c r="C1554" s="8" t="s">
        <v>56</v>
      </c>
      <c r="D1554" s="89"/>
      <c r="E1554" s="89"/>
      <c r="F1554" s="89"/>
      <c r="G1554" s="89"/>
      <c r="H1554" s="89"/>
      <c r="I1554" s="89"/>
      <c r="J1554" s="89"/>
      <c r="K1554" s="89"/>
      <c r="L1554" s="89"/>
      <c r="M1554" s="89"/>
      <c r="N1554" s="89"/>
      <c r="O1554" s="89"/>
      <c r="P1554" s="28"/>
      <c r="Q1554" s="20">
        <f t="shared" si="205"/>
        <v>0</v>
      </c>
    </row>
    <row r="1555" spans="1:17">
      <c r="A1555" s="150"/>
      <c r="B1555" s="154"/>
      <c r="C1555" s="4" t="s">
        <v>61</v>
      </c>
      <c r="D1555" s="92"/>
      <c r="E1555" s="92"/>
      <c r="F1555" s="92"/>
      <c r="G1555" s="92"/>
      <c r="H1555" s="92"/>
      <c r="I1555" s="92"/>
      <c r="J1555" s="92"/>
      <c r="K1555" s="92"/>
      <c r="L1555" s="92"/>
      <c r="M1555" s="92"/>
      <c r="N1555" s="92"/>
      <c r="O1555" s="92"/>
      <c r="P1555" s="33"/>
      <c r="Q1555" s="22">
        <f t="shared" ref="Q1555:Q1618" si="246">SUM(P1555:P1555)</f>
        <v>0</v>
      </c>
    </row>
    <row r="1556" spans="1:17">
      <c r="A1556" s="150"/>
      <c r="B1556" s="156" t="s">
        <v>54</v>
      </c>
      <c r="C1556" s="157"/>
      <c r="D1556" s="56">
        <f t="shared" ref="D1556:O1556" si="247">SUM(D1542:D1546)-SUM(D1550:D1551)</f>
        <v>0</v>
      </c>
      <c r="E1556" s="56">
        <f t="shared" si="247"/>
        <v>0</v>
      </c>
      <c r="F1556" s="56">
        <f t="shared" si="247"/>
        <v>0</v>
      </c>
      <c r="G1556" s="56">
        <f t="shared" si="247"/>
        <v>0</v>
      </c>
      <c r="H1556" s="56">
        <f t="shared" si="247"/>
        <v>0</v>
      </c>
      <c r="I1556" s="56">
        <f t="shared" si="247"/>
        <v>0</v>
      </c>
      <c r="J1556" s="56">
        <f t="shared" si="247"/>
        <v>0</v>
      </c>
      <c r="K1556" s="56">
        <f t="shared" si="247"/>
        <v>0</v>
      </c>
      <c r="L1556" s="56">
        <f t="shared" si="247"/>
        <v>0</v>
      </c>
      <c r="M1556" s="56">
        <f t="shared" si="247"/>
        <v>0</v>
      </c>
      <c r="N1556" s="56">
        <f t="shared" si="247"/>
        <v>0</v>
      </c>
      <c r="O1556" s="56">
        <f t="shared" si="247"/>
        <v>0</v>
      </c>
      <c r="P1556" s="58">
        <f>SUM(P1540:P1546)-SUM(P1550:P1551)</f>
        <v>0</v>
      </c>
      <c r="Q1556" s="59">
        <f t="shared" si="246"/>
        <v>0</v>
      </c>
    </row>
    <row r="1557" spans="1:17" ht="14.25" thickBot="1">
      <c r="A1557" s="151"/>
      <c r="B1557" s="147" t="s">
        <v>5</v>
      </c>
      <c r="C1557" s="148"/>
      <c r="D1557" s="42">
        <f t="shared" ref="D1557:O1557" si="248">SUM(D1542:D1546)-SUM(D1547:D1551)+SUM(D1552:D1555)</f>
        <v>0</v>
      </c>
      <c r="E1557" s="42">
        <f t="shared" si="248"/>
        <v>0</v>
      </c>
      <c r="F1557" s="42">
        <f t="shared" si="248"/>
        <v>0</v>
      </c>
      <c r="G1557" s="42">
        <f t="shared" si="248"/>
        <v>0</v>
      </c>
      <c r="H1557" s="42">
        <f t="shared" si="248"/>
        <v>0</v>
      </c>
      <c r="I1557" s="42">
        <f t="shared" si="248"/>
        <v>0</v>
      </c>
      <c r="J1557" s="42">
        <f t="shared" si="248"/>
        <v>0</v>
      </c>
      <c r="K1557" s="42">
        <f t="shared" si="248"/>
        <v>0</v>
      </c>
      <c r="L1557" s="42">
        <f t="shared" si="248"/>
        <v>0</v>
      </c>
      <c r="M1557" s="42">
        <f t="shared" si="248"/>
        <v>0</v>
      </c>
      <c r="N1557" s="42">
        <f t="shared" si="248"/>
        <v>0</v>
      </c>
      <c r="O1557" s="42">
        <f t="shared" si="248"/>
        <v>0</v>
      </c>
      <c r="P1557" s="44">
        <f>SUM(P1540:P1546)-SUM(P1547:P1551)+SUM(P1552:P1555)</f>
        <v>0</v>
      </c>
      <c r="Q1557" s="46">
        <f t="shared" si="246"/>
        <v>0</v>
      </c>
    </row>
    <row r="1558" spans="1:17">
      <c r="A1558" s="149"/>
      <c r="B1558" s="152" t="s">
        <v>12</v>
      </c>
      <c r="C1558" s="114" t="s">
        <v>84</v>
      </c>
      <c r="D1558" s="87"/>
      <c r="E1558" s="87"/>
      <c r="F1558" s="87"/>
      <c r="G1558" s="87"/>
      <c r="H1558" s="87"/>
      <c r="I1558" s="87"/>
      <c r="J1558" s="87"/>
      <c r="K1558" s="87"/>
      <c r="L1558" s="87"/>
      <c r="M1558" s="87"/>
      <c r="N1558" s="87"/>
      <c r="O1558" s="87"/>
      <c r="P1558" s="30"/>
      <c r="Q1558" s="19">
        <f t="shared" si="246"/>
        <v>0</v>
      </c>
    </row>
    <row r="1559" spans="1:17">
      <c r="A1559" s="150"/>
      <c r="B1559" s="153"/>
      <c r="C1559" s="115" t="s">
        <v>85</v>
      </c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28"/>
      <c r="Q1559" s="20">
        <f t="shared" si="246"/>
        <v>0</v>
      </c>
    </row>
    <row r="1560" spans="1:17">
      <c r="A1560" s="150"/>
      <c r="B1560" s="153"/>
      <c r="C1560" s="116" t="s">
        <v>86</v>
      </c>
      <c r="D1560" s="91">
        <f>D1558*D1559</f>
        <v>0</v>
      </c>
      <c r="E1560" s="91">
        <f>E1558*E1559</f>
        <v>0</v>
      </c>
      <c r="F1560" s="91">
        <f>F1558*F1559</f>
        <v>0</v>
      </c>
      <c r="G1560" s="91">
        <f>G1558*G1559</f>
        <v>0</v>
      </c>
      <c r="H1560" s="91">
        <f>H1558*H1559</f>
        <v>0</v>
      </c>
      <c r="I1560" s="91">
        <f t="shared" ref="I1560:O1560" si="249">I1558*I1559</f>
        <v>0</v>
      </c>
      <c r="J1560" s="91">
        <f t="shared" si="249"/>
        <v>0</v>
      </c>
      <c r="K1560" s="91">
        <f t="shared" si="249"/>
        <v>0</v>
      </c>
      <c r="L1560" s="91">
        <f t="shared" si="249"/>
        <v>0</v>
      </c>
      <c r="M1560" s="91">
        <f t="shared" si="249"/>
        <v>0</v>
      </c>
      <c r="N1560" s="91">
        <f t="shared" si="249"/>
        <v>0</v>
      </c>
      <c r="O1560" s="91">
        <f t="shared" si="249"/>
        <v>0</v>
      </c>
      <c r="P1560" s="32"/>
      <c r="Q1560" s="20">
        <f t="shared" si="246"/>
        <v>0</v>
      </c>
    </row>
    <row r="1561" spans="1:17">
      <c r="A1561" s="150"/>
      <c r="B1561" s="153"/>
      <c r="C1561" s="117" t="s">
        <v>9</v>
      </c>
      <c r="D1561" s="91"/>
      <c r="E1561" s="91"/>
      <c r="F1561" s="91"/>
      <c r="G1561" s="91"/>
      <c r="H1561" s="91"/>
      <c r="I1561" s="91"/>
      <c r="J1561" s="91"/>
      <c r="K1561" s="91"/>
      <c r="L1561" s="91"/>
      <c r="M1561" s="91"/>
      <c r="N1561" s="91"/>
      <c r="O1561" s="91"/>
      <c r="P1561" s="32"/>
      <c r="Q1561" s="20">
        <f t="shared" si="246"/>
        <v>0</v>
      </c>
    </row>
    <row r="1562" spans="1:17">
      <c r="A1562" s="150"/>
      <c r="B1562" s="153"/>
      <c r="C1562" s="117" t="s">
        <v>38</v>
      </c>
      <c r="D1562" s="89"/>
      <c r="E1562" s="89"/>
      <c r="F1562" s="89"/>
      <c r="G1562" s="89"/>
      <c r="H1562" s="89"/>
      <c r="I1562" s="89"/>
      <c r="J1562" s="89"/>
      <c r="K1562" s="89"/>
      <c r="L1562" s="89"/>
      <c r="M1562" s="89"/>
      <c r="N1562" s="89"/>
      <c r="O1562" s="89"/>
      <c r="P1562" s="28"/>
      <c r="Q1562" s="20">
        <f t="shared" si="246"/>
        <v>0</v>
      </c>
    </row>
    <row r="1563" spans="1:17">
      <c r="A1563" s="150"/>
      <c r="B1563" s="153"/>
      <c r="C1563" s="62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91"/>
      <c r="O1563" s="91"/>
      <c r="P1563" s="32"/>
      <c r="Q1563" s="20">
        <f t="shared" si="246"/>
        <v>0</v>
      </c>
    </row>
    <row r="1564" spans="1:17">
      <c r="A1564" s="150"/>
      <c r="B1564" s="154"/>
      <c r="C1564" s="6" t="s">
        <v>42</v>
      </c>
      <c r="D1564" s="92"/>
      <c r="E1564" s="92"/>
      <c r="F1564" s="92"/>
      <c r="G1564" s="92"/>
      <c r="H1564" s="92"/>
      <c r="I1564" s="92"/>
      <c r="J1564" s="92"/>
      <c r="K1564" s="92"/>
      <c r="L1564" s="92"/>
      <c r="M1564" s="92"/>
      <c r="N1564" s="92"/>
      <c r="O1564" s="92"/>
      <c r="P1564" s="33"/>
      <c r="Q1564" s="22">
        <f t="shared" si="246"/>
        <v>0</v>
      </c>
    </row>
    <row r="1565" spans="1:17">
      <c r="A1565" s="150"/>
      <c r="B1565" s="155" t="s">
        <v>11</v>
      </c>
      <c r="C1565" s="5" t="s">
        <v>7</v>
      </c>
      <c r="D1565" s="94"/>
      <c r="E1565" s="94"/>
      <c r="F1565" s="94"/>
      <c r="G1565" s="94"/>
      <c r="H1565" s="94"/>
      <c r="I1565" s="94"/>
      <c r="J1565" s="94"/>
      <c r="K1565" s="94"/>
      <c r="L1565" s="94"/>
      <c r="M1565" s="94"/>
      <c r="N1565" s="94"/>
      <c r="O1565" s="94"/>
      <c r="P1565" s="27"/>
      <c r="Q1565" s="21">
        <f t="shared" si="246"/>
        <v>0</v>
      </c>
    </row>
    <row r="1566" spans="1:17">
      <c r="A1566" s="150"/>
      <c r="B1566" s="153"/>
      <c r="C1566" s="6" t="s">
        <v>4</v>
      </c>
      <c r="D1566" s="91"/>
      <c r="E1566" s="91"/>
      <c r="F1566" s="91"/>
      <c r="G1566" s="91"/>
      <c r="H1566" s="91"/>
      <c r="I1566" s="91"/>
      <c r="J1566" s="91"/>
      <c r="K1566" s="91"/>
      <c r="L1566" s="91"/>
      <c r="M1566" s="91"/>
      <c r="N1566" s="91"/>
      <c r="O1566" s="91"/>
      <c r="P1566" s="32"/>
      <c r="Q1566" s="20">
        <f t="shared" si="246"/>
        <v>0</v>
      </c>
    </row>
    <row r="1567" spans="1:17">
      <c r="A1567" s="150"/>
      <c r="B1567" s="153"/>
      <c r="C1567" s="6" t="s">
        <v>17</v>
      </c>
      <c r="D1567" s="91"/>
      <c r="E1567" s="91"/>
      <c r="F1567" s="91"/>
      <c r="G1567" s="91"/>
      <c r="H1567" s="91"/>
      <c r="I1567" s="91"/>
      <c r="J1567" s="91"/>
      <c r="K1567" s="91"/>
      <c r="L1567" s="91"/>
      <c r="M1567" s="91"/>
      <c r="N1567" s="91"/>
      <c r="O1567" s="91"/>
      <c r="P1567" s="32"/>
      <c r="Q1567" s="20">
        <f t="shared" si="246"/>
        <v>0</v>
      </c>
    </row>
    <row r="1568" spans="1:17">
      <c r="A1568" s="150"/>
      <c r="B1568" s="153"/>
      <c r="C1568" s="6" t="s">
        <v>18</v>
      </c>
      <c r="D1568" s="91"/>
      <c r="E1568" s="91"/>
      <c r="F1568" s="91"/>
      <c r="G1568" s="91"/>
      <c r="H1568" s="91"/>
      <c r="I1568" s="91"/>
      <c r="J1568" s="91"/>
      <c r="K1568" s="91"/>
      <c r="L1568" s="91"/>
      <c r="M1568" s="91"/>
      <c r="N1568" s="91"/>
      <c r="O1568" s="91"/>
      <c r="P1568" s="32"/>
      <c r="Q1568" s="20">
        <f t="shared" si="246"/>
        <v>0</v>
      </c>
    </row>
    <row r="1569" spans="1:17">
      <c r="A1569" s="150"/>
      <c r="B1569" s="153"/>
      <c r="C1569" s="6" t="s">
        <v>60</v>
      </c>
      <c r="D1569" s="91"/>
      <c r="E1569" s="91"/>
      <c r="F1569" s="91"/>
      <c r="G1569" s="91"/>
      <c r="H1569" s="91"/>
      <c r="I1569" s="91"/>
      <c r="J1569" s="91"/>
      <c r="K1569" s="91"/>
      <c r="L1569" s="91"/>
      <c r="M1569" s="91"/>
      <c r="N1569" s="91"/>
      <c r="O1569" s="91"/>
      <c r="P1569" s="32"/>
      <c r="Q1569" s="20">
        <f t="shared" si="246"/>
        <v>0</v>
      </c>
    </row>
    <row r="1570" spans="1:17">
      <c r="A1570" s="150"/>
      <c r="B1570" s="155" t="s">
        <v>13</v>
      </c>
      <c r="C1570" s="5" t="s">
        <v>10</v>
      </c>
      <c r="D1570" s="94"/>
      <c r="E1570" s="94"/>
      <c r="F1570" s="94"/>
      <c r="G1570" s="94"/>
      <c r="H1570" s="94"/>
      <c r="I1570" s="94"/>
      <c r="J1570" s="94"/>
      <c r="K1570" s="94"/>
      <c r="L1570" s="94"/>
      <c r="M1570" s="94"/>
      <c r="N1570" s="94"/>
      <c r="O1570" s="94"/>
      <c r="P1570" s="27"/>
      <c r="Q1570" s="21">
        <f t="shared" si="246"/>
        <v>0</v>
      </c>
    </row>
    <row r="1571" spans="1:17">
      <c r="A1571" s="150"/>
      <c r="B1571" s="153"/>
      <c r="C1571" s="116" t="s">
        <v>55</v>
      </c>
      <c r="D1571" s="89"/>
      <c r="E1571" s="89"/>
      <c r="F1571" s="89"/>
      <c r="G1571" s="89"/>
      <c r="H1571" s="89"/>
      <c r="I1571" s="89"/>
      <c r="J1571" s="89"/>
      <c r="K1571" s="89"/>
      <c r="L1571" s="89"/>
      <c r="M1571" s="89"/>
      <c r="N1571" s="89"/>
      <c r="O1571" s="89"/>
      <c r="P1571" s="28"/>
      <c r="Q1571" s="20">
        <f t="shared" si="246"/>
        <v>0</v>
      </c>
    </row>
    <row r="1572" spans="1:17">
      <c r="A1572" s="150"/>
      <c r="B1572" s="153"/>
      <c r="C1572" s="8" t="s">
        <v>56</v>
      </c>
      <c r="D1572" s="89"/>
      <c r="E1572" s="89"/>
      <c r="F1572" s="89"/>
      <c r="G1572" s="89"/>
      <c r="H1572" s="89"/>
      <c r="I1572" s="89"/>
      <c r="J1572" s="89"/>
      <c r="K1572" s="89"/>
      <c r="L1572" s="89"/>
      <c r="M1572" s="89"/>
      <c r="N1572" s="89"/>
      <c r="O1572" s="89"/>
      <c r="P1572" s="28"/>
      <c r="Q1572" s="20">
        <f t="shared" si="246"/>
        <v>0</v>
      </c>
    </row>
    <row r="1573" spans="1:17">
      <c r="A1573" s="150"/>
      <c r="B1573" s="154"/>
      <c r="C1573" s="4" t="s">
        <v>61</v>
      </c>
      <c r="D1573" s="92"/>
      <c r="E1573" s="92"/>
      <c r="F1573" s="92"/>
      <c r="G1573" s="92"/>
      <c r="H1573" s="92"/>
      <c r="I1573" s="92"/>
      <c r="J1573" s="92"/>
      <c r="K1573" s="92"/>
      <c r="L1573" s="92"/>
      <c r="M1573" s="92"/>
      <c r="N1573" s="92"/>
      <c r="O1573" s="92"/>
      <c r="P1573" s="33"/>
      <c r="Q1573" s="22">
        <f t="shared" si="246"/>
        <v>0</v>
      </c>
    </row>
    <row r="1574" spans="1:17">
      <c r="A1574" s="150"/>
      <c r="B1574" s="156" t="s">
        <v>54</v>
      </c>
      <c r="C1574" s="157"/>
      <c r="D1574" s="56">
        <f t="shared" ref="D1574:O1574" si="250">SUM(D1560:D1564)-SUM(D1568:D1569)</f>
        <v>0</v>
      </c>
      <c r="E1574" s="56">
        <f t="shared" si="250"/>
        <v>0</v>
      </c>
      <c r="F1574" s="56">
        <f t="shared" si="250"/>
        <v>0</v>
      </c>
      <c r="G1574" s="56">
        <f t="shared" si="250"/>
        <v>0</v>
      </c>
      <c r="H1574" s="56">
        <f t="shared" si="250"/>
        <v>0</v>
      </c>
      <c r="I1574" s="56">
        <f t="shared" si="250"/>
        <v>0</v>
      </c>
      <c r="J1574" s="56">
        <f t="shared" si="250"/>
        <v>0</v>
      </c>
      <c r="K1574" s="56">
        <f t="shared" si="250"/>
        <v>0</v>
      </c>
      <c r="L1574" s="56">
        <f t="shared" si="250"/>
        <v>0</v>
      </c>
      <c r="M1574" s="56">
        <f t="shared" si="250"/>
        <v>0</v>
      </c>
      <c r="N1574" s="56">
        <f t="shared" si="250"/>
        <v>0</v>
      </c>
      <c r="O1574" s="56">
        <f t="shared" si="250"/>
        <v>0</v>
      </c>
      <c r="P1574" s="58">
        <f>SUM(P1558:P1564)-SUM(P1568:P1569)</f>
        <v>0</v>
      </c>
      <c r="Q1574" s="59">
        <f t="shared" si="246"/>
        <v>0</v>
      </c>
    </row>
    <row r="1575" spans="1:17" ht="14.25" thickBot="1">
      <c r="A1575" s="151"/>
      <c r="B1575" s="147" t="s">
        <v>5</v>
      </c>
      <c r="C1575" s="148"/>
      <c r="D1575" s="42">
        <f t="shared" ref="D1575:O1575" si="251">SUM(D1560:D1564)-SUM(D1565:D1569)+SUM(D1570:D1573)</f>
        <v>0</v>
      </c>
      <c r="E1575" s="42">
        <f t="shared" si="251"/>
        <v>0</v>
      </c>
      <c r="F1575" s="42">
        <f t="shared" si="251"/>
        <v>0</v>
      </c>
      <c r="G1575" s="42">
        <f t="shared" si="251"/>
        <v>0</v>
      </c>
      <c r="H1575" s="42">
        <f t="shared" si="251"/>
        <v>0</v>
      </c>
      <c r="I1575" s="42">
        <f t="shared" si="251"/>
        <v>0</v>
      </c>
      <c r="J1575" s="42">
        <f t="shared" si="251"/>
        <v>0</v>
      </c>
      <c r="K1575" s="42">
        <f t="shared" si="251"/>
        <v>0</v>
      </c>
      <c r="L1575" s="42">
        <f t="shared" si="251"/>
        <v>0</v>
      </c>
      <c r="M1575" s="42">
        <f t="shared" si="251"/>
        <v>0</v>
      </c>
      <c r="N1575" s="42">
        <f t="shared" si="251"/>
        <v>0</v>
      </c>
      <c r="O1575" s="42">
        <f t="shared" si="251"/>
        <v>0</v>
      </c>
      <c r="P1575" s="44">
        <f>SUM(P1558:P1564)-SUM(P1565:P1569)+SUM(P1570:P1573)</f>
        <v>0</v>
      </c>
      <c r="Q1575" s="46">
        <f t="shared" si="246"/>
        <v>0</v>
      </c>
    </row>
    <row r="1576" spans="1:17">
      <c r="A1576" s="149"/>
      <c r="B1576" s="152" t="s">
        <v>12</v>
      </c>
      <c r="C1576" s="114" t="s">
        <v>84</v>
      </c>
      <c r="D1576" s="87"/>
      <c r="E1576" s="87"/>
      <c r="F1576" s="87"/>
      <c r="G1576" s="87"/>
      <c r="H1576" s="87"/>
      <c r="I1576" s="87"/>
      <c r="J1576" s="87"/>
      <c r="K1576" s="87"/>
      <c r="L1576" s="87"/>
      <c r="M1576" s="87"/>
      <c r="N1576" s="87"/>
      <c r="O1576" s="87"/>
      <c r="P1576" s="30"/>
      <c r="Q1576" s="19">
        <f t="shared" si="246"/>
        <v>0</v>
      </c>
    </row>
    <row r="1577" spans="1:17">
      <c r="A1577" s="150"/>
      <c r="B1577" s="153"/>
      <c r="C1577" s="115" t="s">
        <v>85</v>
      </c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28"/>
      <c r="Q1577" s="20">
        <f t="shared" si="246"/>
        <v>0</v>
      </c>
    </row>
    <row r="1578" spans="1:17">
      <c r="A1578" s="150"/>
      <c r="B1578" s="153"/>
      <c r="C1578" s="116" t="s">
        <v>86</v>
      </c>
      <c r="D1578" s="91">
        <f>D1576*D1577</f>
        <v>0</v>
      </c>
      <c r="E1578" s="91">
        <f>E1576*E1577</f>
        <v>0</v>
      </c>
      <c r="F1578" s="91">
        <f>F1576*F1577</f>
        <v>0</v>
      </c>
      <c r="G1578" s="91">
        <f>G1576*G1577</f>
        <v>0</v>
      </c>
      <c r="H1578" s="91">
        <f>H1576*H1577</f>
        <v>0</v>
      </c>
      <c r="I1578" s="91">
        <f t="shared" ref="I1578:O1578" si="252">I1576*I1577</f>
        <v>0</v>
      </c>
      <c r="J1578" s="91">
        <f t="shared" si="252"/>
        <v>0</v>
      </c>
      <c r="K1578" s="91">
        <f t="shared" si="252"/>
        <v>0</v>
      </c>
      <c r="L1578" s="91">
        <f t="shared" si="252"/>
        <v>0</v>
      </c>
      <c r="M1578" s="91">
        <f t="shared" si="252"/>
        <v>0</v>
      </c>
      <c r="N1578" s="91">
        <f t="shared" si="252"/>
        <v>0</v>
      </c>
      <c r="O1578" s="91">
        <f t="shared" si="252"/>
        <v>0</v>
      </c>
      <c r="P1578" s="32"/>
      <c r="Q1578" s="20">
        <f t="shared" si="246"/>
        <v>0</v>
      </c>
    </row>
    <row r="1579" spans="1:17">
      <c r="A1579" s="150"/>
      <c r="B1579" s="153"/>
      <c r="C1579" s="117" t="s">
        <v>9</v>
      </c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91"/>
      <c r="O1579" s="91"/>
      <c r="P1579" s="32"/>
      <c r="Q1579" s="20">
        <f t="shared" si="246"/>
        <v>0</v>
      </c>
    </row>
    <row r="1580" spans="1:17">
      <c r="A1580" s="150"/>
      <c r="B1580" s="153"/>
      <c r="C1580" s="117" t="s">
        <v>38</v>
      </c>
      <c r="D1580" s="89"/>
      <c r="E1580" s="89"/>
      <c r="F1580" s="89"/>
      <c r="G1580" s="89"/>
      <c r="H1580" s="89"/>
      <c r="I1580" s="89"/>
      <c r="J1580" s="89"/>
      <c r="K1580" s="89"/>
      <c r="L1580" s="89"/>
      <c r="M1580" s="89"/>
      <c r="N1580" s="89"/>
      <c r="O1580" s="89"/>
      <c r="P1580" s="28"/>
      <c r="Q1580" s="20">
        <f t="shared" si="246"/>
        <v>0</v>
      </c>
    </row>
    <row r="1581" spans="1:17">
      <c r="A1581" s="150"/>
      <c r="B1581" s="153"/>
      <c r="C1581" s="62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32"/>
      <c r="Q1581" s="20">
        <f t="shared" si="246"/>
        <v>0</v>
      </c>
    </row>
    <row r="1582" spans="1:17">
      <c r="A1582" s="150"/>
      <c r="B1582" s="154"/>
      <c r="C1582" s="6" t="s">
        <v>42</v>
      </c>
      <c r="D1582" s="92"/>
      <c r="E1582" s="92"/>
      <c r="F1582" s="92"/>
      <c r="G1582" s="92"/>
      <c r="H1582" s="92"/>
      <c r="I1582" s="92"/>
      <c r="J1582" s="92"/>
      <c r="K1582" s="92"/>
      <c r="L1582" s="92"/>
      <c r="M1582" s="92"/>
      <c r="N1582" s="92"/>
      <c r="O1582" s="92"/>
      <c r="P1582" s="33"/>
      <c r="Q1582" s="22">
        <f t="shared" si="246"/>
        <v>0</v>
      </c>
    </row>
    <row r="1583" spans="1:17">
      <c r="A1583" s="150"/>
      <c r="B1583" s="155" t="s">
        <v>11</v>
      </c>
      <c r="C1583" s="5" t="s">
        <v>7</v>
      </c>
      <c r="D1583" s="94"/>
      <c r="E1583" s="94"/>
      <c r="F1583" s="94"/>
      <c r="G1583" s="94"/>
      <c r="H1583" s="94"/>
      <c r="I1583" s="94"/>
      <c r="J1583" s="94"/>
      <c r="K1583" s="94"/>
      <c r="L1583" s="94"/>
      <c r="M1583" s="94"/>
      <c r="N1583" s="94"/>
      <c r="O1583" s="94"/>
      <c r="P1583" s="27"/>
      <c r="Q1583" s="21">
        <f t="shared" si="246"/>
        <v>0</v>
      </c>
    </row>
    <row r="1584" spans="1:17">
      <c r="A1584" s="150"/>
      <c r="B1584" s="153"/>
      <c r="C1584" s="6" t="s">
        <v>4</v>
      </c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32"/>
      <c r="Q1584" s="20">
        <f t="shared" si="246"/>
        <v>0</v>
      </c>
    </row>
    <row r="1585" spans="1:17">
      <c r="A1585" s="150"/>
      <c r="B1585" s="153"/>
      <c r="C1585" s="6" t="s">
        <v>17</v>
      </c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32"/>
      <c r="Q1585" s="20">
        <f t="shared" si="246"/>
        <v>0</v>
      </c>
    </row>
    <row r="1586" spans="1:17">
      <c r="A1586" s="150"/>
      <c r="B1586" s="153"/>
      <c r="C1586" s="6" t="s">
        <v>18</v>
      </c>
      <c r="D1586" s="91"/>
      <c r="E1586" s="91"/>
      <c r="F1586" s="91"/>
      <c r="G1586" s="91"/>
      <c r="H1586" s="91"/>
      <c r="I1586" s="91"/>
      <c r="J1586" s="91"/>
      <c r="K1586" s="91"/>
      <c r="L1586" s="91"/>
      <c r="M1586" s="91"/>
      <c r="N1586" s="91"/>
      <c r="O1586" s="91"/>
      <c r="P1586" s="32"/>
      <c r="Q1586" s="20">
        <f t="shared" si="246"/>
        <v>0</v>
      </c>
    </row>
    <row r="1587" spans="1:17">
      <c r="A1587" s="150"/>
      <c r="B1587" s="153"/>
      <c r="C1587" s="6" t="s">
        <v>60</v>
      </c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91"/>
      <c r="O1587" s="91"/>
      <c r="P1587" s="32"/>
      <c r="Q1587" s="20">
        <f t="shared" si="246"/>
        <v>0</v>
      </c>
    </row>
    <row r="1588" spans="1:17">
      <c r="A1588" s="150"/>
      <c r="B1588" s="155" t="s">
        <v>13</v>
      </c>
      <c r="C1588" s="5" t="s">
        <v>10</v>
      </c>
      <c r="D1588" s="94"/>
      <c r="E1588" s="94"/>
      <c r="F1588" s="94"/>
      <c r="G1588" s="94"/>
      <c r="H1588" s="94"/>
      <c r="I1588" s="94"/>
      <c r="J1588" s="94"/>
      <c r="K1588" s="94"/>
      <c r="L1588" s="94"/>
      <c r="M1588" s="94"/>
      <c r="N1588" s="94"/>
      <c r="O1588" s="94"/>
      <c r="P1588" s="27"/>
      <c r="Q1588" s="21">
        <f t="shared" si="246"/>
        <v>0</v>
      </c>
    </row>
    <row r="1589" spans="1:17">
      <c r="A1589" s="150"/>
      <c r="B1589" s="153"/>
      <c r="C1589" s="116" t="s">
        <v>55</v>
      </c>
      <c r="D1589" s="89"/>
      <c r="E1589" s="89"/>
      <c r="F1589" s="89"/>
      <c r="G1589" s="89"/>
      <c r="H1589" s="89"/>
      <c r="I1589" s="89"/>
      <c r="J1589" s="89"/>
      <c r="K1589" s="89"/>
      <c r="L1589" s="89"/>
      <c r="M1589" s="89"/>
      <c r="N1589" s="89"/>
      <c r="O1589" s="89"/>
      <c r="P1589" s="28"/>
      <c r="Q1589" s="20">
        <f t="shared" si="246"/>
        <v>0</v>
      </c>
    </row>
    <row r="1590" spans="1:17">
      <c r="A1590" s="150"/>
      <c r="B1590" s="153"/>
      <c r="C1590" s="8" t="s">
        <v>56</v>
      </c>
      <c r="D1590" s="89"/>
      <c r="E1590" s="89"/>
      <c r="F1590" s="89"/>
      <c r="G1590" s="89"/>
      <c r="H1590" s="89"/>
      <c r="I1590" s="89"/>
      <c r="J1590" s="89"/>
      <c r="K1590" s="89"/>
      <c r="L1590" s="89"/>
      <c r="M1590" s="89"/>
      <c r="N1590" s="89"/>
      <c r="O1590" s="89"/>
      <c r="P1590" s="28"/>
      <c r="Q1590" s="20">
        <f t="shared" si="246"/>
        <v>0</v>
      </c>
    </row>
    <row r="1591" spans="1:17">
      <c r="A1591" s="150"/>
      <c r="B1591" s="154"/>
      <c r="C1591" s="4" t="s">
        <v>61</v>
      </c>
      <c r="D1591" s="92"/>
      <c r="E1591" s="92"/>
      <c r="F1591" s="92"/>
      <c r="G1591" s="92"/>
      <c r="H1591" s="92"/>
      <c r="I1591" s="92"/>
      <c r="J1591" s="92"/>
      <c r="K1591" s="92"/>
      <c r="L1591" s="92"/>
      <c r="M1591" s="92"/>
      <c r="N1591" s="92"/>
      <c r="O1591" s="92"/>
      <c r="P1591" s="33"/>
      <c r="Q1591" s="22">
        <f t="shared" si="246"/>
        <v>0</v>
      </c>
    </row>
    <row r="1592" spans="1:17">
      <c r="A1592" s="150"/>
      <c r="B1592" s="156" t="s">
        <v>54</v>
      </c>
      <c r="C1592" s="157"/>
      <c r="D1592" s="56">
        <f t="shared" ref="D1592:O1592" si="253">SUM(D1578:D1582)-SUM(D1586:D1587)</f>
        <v>0</v>
      </c>
      <c r="E1592" s="56">
        <f t="shared" si="253"/>
        <v>0</v>
      </c>
      <c r="F1592" s="56">
        <f t="shared" si="253"/>
        <v>0</v>
      </c>
      <c r="G1592" s="56">
        <f t="shared" si="253"/>
        <v>0</v>
      </c>
      <c r="H1592" s="56">
        <f t="shared" si="253"/>
        <v>0</v>
      </c>
      <c r="I1592" s="56">
        <f t="shared" si="253"/>
        <v>0</v>
      </c>
      <c r="J1592" s="56">
        <f t="shared" si="253"/>
        <v>0</v>
      </c>
      <c r="K1592" s="56">
        <f t="shared" si="253"/>
        <v>0</v>
      </c>
      <c r="L1592" s="56">
        <f t="shared" si="253"/>
        <v>0</v>
      </c>
      <c r="M1592" s="56">
        <f t="shared" si="253"/>
        <v>0</v>
      </c>
      <c r="N1592" s="56">
        <f t="shared" si="253"/>
        <v>0</v>
      </c>
      <c r="O1592" s="56">
        <f t="shared" si="253"/>
        <v>0</v>
      </c>
      <c r="P1592" s="58">
        <f>SUM(P1576:P1582)-SUM(P1586:P1587)</f>
        <v>0</v>
      </c>
      <c r="Q1592" s="59">
        <f t="shared" si="246"/>
        <v>0</v>
      </c>
    </row>
    <row r="1593" spans="1:17" ht="14.25" thickBot="1">
      <c r="A1593" s="151"/>
      <c r="B1593" s="147" t="s">
        <v>5</v>
      </c>
      <c r="C1593" s="148"/>
      <c r="D1593" s="42">
        <f t="shared" ref="D1593:O1593" si="254">SUM(D1578:D1582)-SUM(D1583:D1587)+SUM(D1588:D1591)</f>
        <v>0</v>
      </c>
      <c r="E1593" s="42">
        <f t="shared" si="254"/>
        <v>0</v>
      </c>
      <c r="F1593" s="42">
        <f t="shared" si="254"/>
        <v>0</v>
      </c>
      <c r="G1593" s="42">
        <f t="shared" si="254"/>
        <v>0</v>
      </c>
      <c r="H1593" s="42">
        <f t="shared" si="254"/>
        <v>0</v>
      </c>
      <c r="I1593" s="42">
        <f t="shared" si="254"/>
        <v>0</v>
      </c>
      <c r="J1593" s="42">
        <f t="shared" si="254"/>
        <v>0</v>
      </c>
      <c r="K1593" s="42">
        <f t="shared" si="254"/>
        <v>0</v>
      </c>
      <c r="L1593" s="42">
        <f t="shared" si="254"/>
        <v>0</v>
      </c>
      <c r="M1593" s="42">
        <f t="shared" si="254"/>
        <v>0</v>
      </c>
      <c r="N1593" s="42">
        <f t="shared" si="254"/>
        <v>0</v>
      </c>
      <c r="O1593" s="42">
        <f t="shared" si="254"/>
        <v>0</v>
      </c>
      <c r="P1593" s="44">
        <f>SUM(P1576:P1582)-SUM(P1583:P1587)+SUM(P1588:P1591)</f>
        <v>0</v>
      </c>
      <c r="Q1593" s="46">
        <f t="shared" si="246"/>
        <v>0</v>
      </c>
    </row>
    <row r="1594" spans="1:17">
      <c r="A1594" s="149"/>
      <c r="B1594" s="152" t="s">
        <v>12</v>
      </c>
      <c r="C1594" s="114" t="s">
        <v>84</v>
      </c>
      <c r="D1594" s="87"/>
      <c r="E1594" s="87"/>
      <c r="F1594" s="87"/>
      <c r="G1594" s="87"/>
      <c r="H1594" s="87"/>
      <c r="I1594" s="87"/>
      <c r="J1594" s="87"/>
      <c r="K1594" s="87"/>
      <c r="L1594" s="87"/>
      <c r="M1594" s="87"/>
      <c r="N1594" s="87"/>
      <c r="O1594" s="87"/>
      <c r="P1594" s="30"/>
      <c r="Q1594" s="19">
        <f t="shared" si="246"/>
        <v>0</v>
      </c>
    </row>
    <row r="1595" spans="1:17">
      <c r="A1595" s="150"/>
      <c r="B1595" s="153"/>
      <c r="C1595" s="115" t="s">
        <v>85</v>
      </c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28"/>
      <c r="Q1595" s="20">
        <f t="shared" si="246"/>
        <v>0</v>
      </c>
    </row>
    <row r="1596" spans="1:17">
      <c r="A1596" s="150"/>
      <c r="B1596" s="153"/>
      <c r="C1596" s="116" t="s">
        <v>86</v>
      </c>
      <c r="D1596" s="91">
        <f>D1594*D1595</f>
        <v>0</v>
      </c>
      <c r="E1596" s="91">
        <f>E1594*E1595</f>
        <v>0</v>
      </c>
      <c r="F1596" s="91">
        <f>F1594*F1595</f>
        <v>0</v>
      </c>
      <c r="G1596" s="91">
        <f>G1594*G1595</f>
        <v>0</v>
      </c>
      <c r="H1596" s="91">
        <f>H1594*H1595</f>
        <v>0</v>
      </c>
      <c r="I1596" s="91">
        <f t="shared" ref="I1596:O1596" si="255">I1594*I1595</f>
        <v>0</v>
      </c>
      <c r="J1596" s="91">
        <f t="shared" si="255"/>
        <v>0</v>
      </c>
      <c r="K1596" s="91">
        <f t="shared" si="255"/>
        <v>0</v>
      </c>
      <c r="L1596" s="91">
        <f t="shared" si="255"/>
        <v>0</v>
      </c>
      <c r="M1596" s="91">
        <f t="shared" si="255"/>
        <v>0</v>
      </c>
      <c r="N1596" s="91">
        <f t="shared" si="255"/>
        <v>0</v>
      </c>
      <c r="O1596" s="91">
        <f t="shared" si="255"/>
        <v>0</v>
      </c>
      <c r="P1596" s="32"/>
      <c r="Q1596" s="20">
        <f t="shared" si="246"/>
        <v>0</v>
      </c>
    </row>
    <row r="1597" spans="1:17">
      <c r="A1597" s="150"/>
      <c r="B1597" s="153"/>
      <c r="C1597" s="117" t="s">
        <v>9</v>
      </c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1"/>
      <c r="O1597" s="91"/>
      <c r="P1597" s="32"/>
      <c r="Q1597" s="20">
        <f t="shared" si="246"/>
        <v>0</v>
      </c>
    </row>
    <row r="1598" spans="1:17">
      <c r="A1598" s="150"/>
      <c r="B1598" s="153"/>
      <c r="C1598" s="117" t="s">
        <v>38</v>
      </c>
      <c r="D1598" s="89"/>
      <c r="E1598" s="89"/>
      <c r="F1598" s="89"/>
      <c r="G1598" s="89"/>
      <c r="H1598" s="89"/>
      <c r="I1598" s="89"/>
      <c r="J1598" s="89"/>
      <c r="K1598" s="89"/>
      <c r="L1598" s="89"/>
      <c r="M1598" s="89"/>
      <c r="N1598" s="89"/>
      <c r="O1598" s="89"/>
      <c r="P1598" s="28"/>
      <c r="Q1598" s="20">
        <f t="shared" si="246"/>
        <v>0</v>
      </c>
    </row>
    <row r="1599" spans="1:17">
      <c r="A1599" s="150"/>
      <c r="B1599" s="153"/>
      <c r="C1599" s="62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91"/>
      <c r="O1599" s="91"/>
      <c r="P1599" s="32"/>
      <c r="Q1599" s="20">
        <f t="shared" si="246"/>
        <v>0</v>
      </c>
    </row>
    <row r="1600" spans="1:17">
      <c r="A1600" s="150"/>
      <c r="B1600" s="154"/>
      <c r="C1600" s="6" t="s">
        <v>42</v>
      </c>
      <c r="D1600" s="92"/>
      <c r="E1600" s="92"/>
      <c r="F1600" s="92"/>
      <c r="G1600" s="92"/>
      <c r="H1600" s="92"/>
      <c r="I1600" s="92"/>
      <c r="J1600" s="92"/>
      <c r="K1600" s="92"/>
      <c r="L1600" s="92"/>
      <c r="M1600" s="92"/>
      <c r="N1600" s="92"/>
      <c r="O1600" s="92"/>
      <c r="P1600" s="33"/>
      <c r="Q1600" s="22">
        <f t="shared" si="246"/>
        <v>0</v>
      </c>
    </row>
    <row r="1601" spans="1:17">
      <c r="A1601" s="150"/>
      <c r="B1601" s="155" t="s">
        <v>11</v>
      </c>
      <c r="C1601" s="5" t="s">
        <v>7</v>
      </c>
      <c r="D1601" s="94"/>
      <c r="E1601" s="94"/>
      <c r="F1601" s="94"/>
      <c r="G1601" s="94"/>
      <c r="H1601" s="94"/>
      <c r="I1601" s="94"/>
      <c r="J1601" s="94"/>
      <c r="K1601" s="94"/>
      <c r="L1601" s="94"/>
      <c r="M1601" s="94"/>
      <c r="N1601" s="94"/>
      <c r="O1601" s="94"/>
      <c r="P1601" s="27"/>
      <c r="Q1601" s="21">
        <f t="shared" si="246"/>
        <v>0</v>
      </c>
    </row>
    <row r="1602" spans="1:17">
      <c r="A1602" s="150"/>
      <c r="B1602" s="153"/>
      <c r="C1602" s="6" t="s">
        <v>4</v>
      </c>
      <c r="D1602" s="91"/>
      <c r="E1602" s="91"/>
      <c r="F1602" s="91"/>
      <c r="G1602" s="91"/>
      <c r="H1602" s="91"/>
      <c r="I1602" s="91"/>
      <c r="J1602" s="91"/>
      <c r="K1602" s="91"/>
      <c r="L1602" s="91"/>
      <c r="M1602" s="91"/>
      <c r="N1602" s="91"/>
      <c r="O1602" s="91"/>
      <c r="P1602" s="32"/>
      <c r="Q1602" s="20">
        <f t="shared" si="246"/>
        <v>0</v>
      </c>
    </row>
    <row r="1603" spans="1:17">
      <c r="A1603" s="150"/>
      <c r="B1603" s="153"/>
      <c r="C1603" s="6" t="s">
        <v>17</v>
      </c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91"/>
      <c r="O1603" s="91"/>
      <c r="P1603" s="32"/>
      <c r="Q1603" s="20">
        <f t="shared" si="246"/>
        <v>0</v>
      </c>
    </row>
    <row r="1604" spans="1:17">
      <c r="A1604" s="150"/>
      <c r="B1604" s="153"/>
      <c r="C1604" s="6" t="s">
        <v>18</v>
      </c>
      <c r="D1604" s="91"/>
      <c r="E1604" s="91"/>
      <c r="F1604" s="91"/>
      <c r="G1604" s="91"/>
      <c r="H1604" s="91"/>
      <c r="I1604" s="91"/>
      <c r="J1604" s="91"/>
      <c r="K1604" s="91"/>
      <c r="L1604" s="91"/>
      <c r="M1604" s="91"/>
      <c r="N1604" s="91"/>
      <c r="O1604" s="91"/>
      <c r="P1604" s="32"/>
      <c r="Q1604" s="20">
        <f t="shared" si="246"/>
        <v>0</v>
      </c>
    </row>
    <row r="1605" spans="1:17">
      <c r="A1605" s="150"/>
      <c r="B1605" s="153"/>
      <c r="C1605" s="6" t="s">
        <v>60</v>
      </c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91"/>
      <c r="O1605" s="91"/>
      <c r="P1605" s="32"/>
      <c r="Q1605" s="20">
        <f t="shared" si="246"/>
        <v>0</v>
      </c>
    </row>
    <row r="1606" spans="1:17">
      <c r="A1606" s="150"/>
      <c r="B1606" s="155" t="s">
        <v>13</v>
      </c>
      <c r="C1606" s="5" t="s">
        <v>10</v>
      </c>
      <c r="D1606" s="94"/>
      <c r="E1606" s="94"/>
      <c r="F1606" s="94"/>
      <c r="G1606" s="94"/>
      <c r="H1606" s="94"/>
      <c r="I1606" s="94"/>
      <c r="J1606" s="94"/>
      <c r="K1606" s="94"/>
      <c r="L1606" s="94"/>
      <c r="M1606" s="94"/>
      <c r="N1606" s="94"/>
      <c r="O1606" s="94"/>
      <c r="P1606" s="27"/>
      <c r="Q1606" s="21">
        <f t="shared" si="246"/>
        <v>0</v>
      </c>
    </row>
    <row r="1607" spans="1:17">
      <c r="A1607" s="150"/>
      <c r="B1607" s="153"/>
      <c r="C1607" s="116" t="s">
        <v>55</v>
      </c>
      <c r="D1607" s="89"/>
      <c r="E1607" s="89"/>
      <c r="F1607" s="89"/>
      <c r="G1607" s="89"/>
      <c r="H1607" s="89"/>
      <c r="I1607" s="89"/>
      <c r="J1607" s="89"/>
      <c r="K1607" s="89"/>
      <c r="L1607" s="89"/>
      <c r="M1607" s="89"/>
      <c r="N1607" s="89"/>
      <c r="O1607" s="89"/>
      <c r="P1607" s="28"/>
      <c r="Q1607" s="20">
        <f t="shared" si="246"/>
        <v>0</v>
      </c>
    </row>
    <row r="1608" spans="1:17">
      <c r="A1608" s="150"/>
      <c r="B1608" s="153"/>
      <c r="C1608" s="8" t="s">
        <v>56</v>
      </c>
      <c r="D1608" s="89"/>
      <c r="E1608" s="89"/>
      <c r="F1608" s="89"/>
      <c r="G1608" s="89"/>
      <c r="H1608" s="89"/>
      <c r="I1608" s="89"/>
      <c r="J1608" s="89"/>
      <c r="K1608" s="89"/>
      <c r="L1608" s="89"/>
      <c r="M1608" s="89"/>
      <c r="N1608" s="89"/>
      <c r="O1608" s="89"/>
      <c r="P1608" s="28"/>
      <c r="Q1608" s="20">
        <f t="shared" si="246"/>
        <v>0</v>
      </c>
    </row>
    <row r="1609" spans="1:17">
      <c r="A1609" s="150"/>
      <c r="B1609" s="154"/>
      <c r="C1609" s="4" t="s">
        <v>61</v>
      </c>
      <c r="D1609" s="92"/>
      <c r="E1609" s="92"/>
      <c r="F1609" s="92"/>
      <c r="G1609" s="92"/>
      <c r="H1609" s="92"/>
      <c r="I1609" s="92"/>
      <c r="J1609" s="92"/>
      <c r="K1609" s="92"/>
      <c r="L1609" s="92"/>
      <c r="M1609" s="92"/>
      <c r="N1609" s="92"/>
      <c r="O1609" s="92"/>
      <c r="P1609" s="33"/>
      <c r="Q1609" s="22">
        <f t="shared" si="246"/>
        <v>0</v>
      </c>
    </row>
    <row r="1610" spans="1:17">
      <c r="A1610" s="150"/>
      <c r="B1610" s="156" t="s">
        <v>54</v>
      </c>
      <c r="C1610" s="157"/>
      <c r="D1610" s="56">
        <f t="shared" ref="D1610:O1610" si="256">SUM(D1596:D1600)-SUM(D1604:D1605)</f>
        <v>0</v>
      </c>
      <c r="E1610" s="56">
        <f t="shared" si="256"/>
        <v>0</v>
      </c>
      <c r="F1610" s="56">
        <f t="shared" si="256"/>
        <v>0</v>
      </c>
      <c r="G1610" s="56">
        <f t="shared" si="256"/>
        <v>0</v>
      </c>
      <c r="H1610" s="56">
        <f t="shared" si="256"/>
        <v>0</v>
      </c>
      <c r="I1610" s="56">
        <f t="shared" si="256"/>
        <v>0</v>
      </c>
      <c r="J1610" s="56">
        <f t="shared" si="256"/>
        <v>0</v>
      </c>
      <c r="K1610" s="56">
        <f t="shared" si="256"/>
        <v>0</v>
      </c>
      <c r="L1610" s="56">
        <f t="shared" si="256"/>
        <v>0</v>
      </c>
      <c r="M1610" s="56">
        <f t="shared" si="256"/>
        <v>0</v>
      </c>
      <c r="N1610" s="56">
        <f t="shared" si="256"/>
        <v>0</v>
      </c>
      <c r="O1610" s="56">
        <f t="shared" si="256"/>
        <v>0</v>
      </c>
      <c r="P1610" s="58">
        <f>SUM(P1594:P1600)-SUM(P1604:P1605)</f>
        <v>0</v>
      </c>
      <c r="Q1610" s="59">
        <f t="shared" si="246"/>
        <v>0</v>
      </c>
    </row>
    <row r="1611" spans="1:17" ht="14.25" thickBot="1">
      <c r="A1611" s="151"/>
      <c r="B1611" s="147" t="s">
        <v>5</v>
      </c>
      <c r="C1611" s="148"/>
      <c r="D1611" s="42">
        <f t="shared" ref="D1611:O1611" si="257">SUM(D1596:D1600)-SUM(D1601:D1605)+SUM(D1606:D1609)</f>
        <v>0</v>
      </c>
      <c r="E1611" s="42">
        <f t="shared" si="257"/>
        <v>0</v>
      </c>
      <c r="F1611" s="42">
        <f t="shared" si="257"/>
        <v>0</v>
      </c>
      <c r="G1611" s="42">
        <f t="shared" si="257"/>
        <v>0</v>
      </c>
      <c r="H1611" s="42">
        <f t="shared" si="257"/>
        <v>0</v>
      </c>
      <c r="I1611" s="42">
        <f t="shared" si="257"/>
        <v>0</v>
      </c>
      <c r="J1611" s="42">
        <f t="shared" si="257"/>
        <v>0</v>
      </c>
      <c r="K1611" s="42">
        <f t="shared" si="257"/>
        <v>0</v>
      </c>
      <c r="L1611" s="42">
        <f t="shared" si="257"/>
        <v>0</v>
      </c>
      <c r="M1611" s="42">
        <f t="shared" si="257"/>
        <v>0</v>
      </c>
      <c r="N1611" s="42">
        <f t="shared" si="257"/>
        <v>0</v>
      </c>
      <c r="O1611" s="42">
        <f t="shared" si="257"/>
        <v>0</v>
      </c>
      <c r="P1611" s="44">
        <f>SUM(P1594:P1600)-SUM(P1601:P1605)+SUM(P1606:P1609)</f>
        <v>0</v>
      </c>
      <c r="Q1611" s="46">
        <f t="shared" si="246"/>
        <v>0</v>
      </c>
    </row>
    <row r="1612" spans="1:17">
      <c r="A1612" s="149"/>
      <c r="B1612" s="152" t="s">
        <v>12</v>
      </c>
      <c r="C1612" s="114" t="s">
        <v>84</v>
      </c>
      <c r="D1612" s="87"/>
      <c r="E1612" s="87"/>
      <c r="F1612" s="87"/>
      <c r="G1612" s="87"/>
      <c r="H1612" s="87"/>
      <c r="I1612" s="87"/>
      <c r="J1612" s="87"/>
      <c r="K1612" s="87"/>
      <c r="L1612" s="87"/>
      <c r="M1612" s="87"/>
      <c r="N1612" s="87"/>
      <c r="O1612" s="87"/>
      <c r="P1612" s="30"/>
      <c r="Q1612" s="19">
        <f t="shared" si="246"/>
        <v>0</v>
      </c>
    </row>
    <row r="1613" spans="1:17">
      <c r="A1613" s="150"/>
      <c r="B1613" s="153"/>
      <c r="C1613" s="115" t="s">
        <v>85</v>
      </c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28"/>
      <c r="Q1613" s="20">
        <f t="shared" si="246"/>
        <v>0</v>
      </c>
    </row>
    <row r="1614" spans="1:17">
      <c r="A1614" s="150"/>
      <c r="B1614" s="153"/>
      <c r="C1614" s="116" t="s">
        <v>86</v>
      </c>
      <c r="D1614" s="91">
        <f>D1612*D1613</f>
        <v>0</v>
      </c>
      <c r="E1614" s="91">
        <f>E1612*E1613</f>
        <v>0</v>
      </c>
      <c r="F1614" s="91">
        <f>F1612*F1613</f>
        <v>0</v>
      </c>
      <c r="G1614" s="91">
        <f>G1612*G1613</f>
        <v>0</v>
      </c>
      <c r="H1614" s="91">
        <f>H1612*H1613</f>
        <v>0</v>
      </c>
      <c r="I1614" s="91">
        <f t="shared" ref="I1614:O1614" si="258">I1612*I1613</f>
        <v>0</v>
      </c>
      <c r="J1614" s="91">
        <f t="shared" si="258"/>
        <v>0</v>
      </c>
      <c r="K1614" s="91">
        <f t="shared" si="258"/>
        <v>0</v>
      </c>
      <c r="L1614" s="91">
        <f t="shared" si="258"/>
        <v>0</v>
      </c>
      <c r="M1614" s="91">
        <f t="shared" si="258"/>
        <v>0</v>
      </c>
      <c r="N1614" s="91">
        <f t="shared" si="258"/>
        <v>0</v>
      </c>
      <c r="O1614" s="91">
        <f t="shared" si="258"/>
        <v>0</v>
      </c>
      <c r="P1614" s="32"/>
      <c r="Q1614" s="20">
        <f t="shared" si="246"/>
        <v>0</v>
      </c>
    </row>
    <row r="1615" spans="1:17">
      <c r="A1615" s="150"/>
      <c r="B1615" s="153"/>
      <c r="C1615" s="117" t="s">
        <v>9</v>
      </c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32"/>
      <c r="Q1615" s="20">
        <f t="shared" si="246"/>
        <v>0</v>
      </c>
    </row>
    <row r="1616" spans="1:17">
      <c r="A1616" s="150"/>
      <c r="B1616" s="153"/>
      <c r="C1616" s="117" t="s">
        <v>38</v>
      </c>
      <c r="D1616" s="89"/>
      <c r="E1616" s="89"/>
      <c r="F1616" s="89"/>
      <c r="G1616" s="89"/>
      <c r="H1616" s="89"/>
      <c r="I1616" s="89"/>
      <c r="J1616" s="89"/>
      <c r="K1616" s="89"/>
      <c r="L1616" s="89"/>
      <c r="M1616" s="89"/>
      <c r="N1616" s="89"/>
      <c r="O1616" s="89"/>
      <c r="P1616" s="28"/>
      <c r="Q1616" s="20">
        <f t="shared" si="246"/>
        <v>0</v>
      </c>
    </row>
    <row r="1617" spans="1:17">
      <c r="A1617" s="150"/>
      <c r="B1617" s="153"/>
      <c r="C1617" s="62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32"/>
      <c r="Q1617" s="20">
        <f t="shared" si="246"/>
        <v>0</v>
      </c>
    </row>
    <row r="1618" spans="1:17">
      <c r="A1618" s="150"/>
      <c r="B1618" s="154"/>
      <c r="C1618" s="6" t="s">
        <v>42</v>
      </c>
      <c r="D1618" s="92"/>
      <c r="E1618" s="92"/>
      <c r="F1618" s="92"/>
      <c r="G1618" s="92"/>
      <c r="H1618" s="92"/>
      <c r="I1618" s="92"/>
      <c r="J1618" s="92"/>
      <c r="K1618" s="92"/>
      <c r="L1618" s="92"/>
      <c r="M1618" s="92"/>
      <c r="N1618" s="92"/>
      <c r="O1618" s="92"/>
      <c r="P1618" s="33"/>
      <c r="Q1618" s="22">
        <f t="shared" si="246"/>
        <v>0</v>
      </c>
    </row>
    <row r="1619" spans="1:17">
      <c r="A1619" s="150"/>
      <c r="B1619" s="155" t="s">
        <v>11</v>
      </c>
      <c r="C1619" s="5" t="s">
        <v>7</v>
      </c>
      <c r="D1619" s="94"/>
      <c r="E1619" s="94"/>
      <c r="F1619" s="94"/>
      <c r="G1619" s="94"/>
      <c r="H1619" s="94"/>
      <c r="I1619" s="94"/>
      <c r="J1619" s="94"/>
      <c r="K1619" s="94"/>
      <c r="L1619" s="94"/>
      <c r="M1619" s="94"/>
      <c r="N1619" s="94"/>
      <c r="O1619" s="94"/>
      <c r="P1619" s="27"/>
      <c r="Q1619" s="21">
        <f t="shared" ref="Q1619:Q1682" si="259">SUM(P1619:P1619)</f>
        <v>0</v>
      </c>
    </row>
    <row r="1620" spans="1:17">
      <c r="A1620" s="150"/>
      <c r="B1620" s="153"/>
      <c r="C1620" s="6" t="s">
        <v>4</v>
      </c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32"/>
      <c r="Q1620" s="20">
        <f t="shared" si="259"/>
        <v>0</v>
      </c>
    </row>
    <row r="1621" spans="1:17">
      <c r="A1621" s="150"/>
      <c r="B1621" s="153"/>
      <c r="C1621" s="6" t="s">
        <v>17</v>
      </c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32"/>
      <c r="Q1621" s="20">
        <f t="shared" si="259"/>
        <v>0</v>
      </c>
    </row>
    <row r="1622" spans="1:17">
      <c r="A1622" s="150"/>
      <c r="B1622" s="153"/>
      <c r="C1622" s="6" t="s">
        <v>18</v>
      </c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32"/>
      <c r="Q1622" s="20">
        <f t="shared" si="259"/>
        <v>0</v>
      </c>
    </row>
    <row r="1623" spans="1:17">
      <c r="A1623" s="150"/>
      <c r="B1623" s="153"/>
      <c r="C1623" s="6" t="s">
        <v>60</v>
      </c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1"/>
      <c r="O1623" s="91"/>
      <c r="P1623" s="32"/>
      <c r="Q1623" s="20">
        <f t="shared" si="259"/>
        <v>0</v>
      </c>
    </row>
    <row r="1624" spans="1:17">
      <c r="A1624" s="150"/>
      <c r="B1624" s="155" t="s">
        <v>13</v>
      </c>
      <c r="C1624" s="5" t="s">
        <v>10</v>
      </c>
      <c r="D1624" s="94"/>
      <c r="E1624" s="94"/>
      <c r="F1624" s="94"/>
      <c r="G1624" s="94"/>
      <c r="H1624" s="94"/>
      <c r="I1624" s="94"/>
      <c r="J1624" s="94"/>
      <c r="K1624" s="94"/>
      <c r="L1624" s="94"/>
      <c r="M1624" s="94"/>
      <c r="N1624" s="94"/>
      <c r="O1624" s="94"/>
      <c r="P1624" s="27"/>
      <c r="Q1624" s="21">
        <f t="shared" si="259"/>
        <v>0</v>
      </c>
    </row>
    <row r="1625" spans="1:17">
      <c r="A1625" s="150"/>
      <c r="B1625" s="153"/>
      <c r="C1625" s="116" t="s">
        <v>55</v>
      </c>
      <c r="D1625" s="89"/>
      <c r="E1625" s="89"/>
      <c r="F1625" s="89"/>
      <c r="G1625" s="89"/>
      <c r="H1625" s="89"/>
      <c r="I1625" s="89"/>
      <c r="J1625" s="89"/>
      <c r="K1625" s="89"/>
      <c r="L1625" s="89"/>
      <c r="M1625" s="89"/>
      <c r="N1625" s="89"/>
      <c r="O1625" s="89"/>
      <c r="P1625" s="28"/>
      <c r="Q1625" s="20">
        <f t="shared" si="259"/>
        <v>0</v>
      </c>
    </row>
    <row r="1626" spans="1:17">
      <c r="A1626" s="150"/>
      <c r="B1626" s="153"/>
      <c r="C1626" s="8" t="s">
        <v>56</v>
      </c>
      <c r="D1626" s="89"/>
      <c r="E1626" s="89"/>
      <c r="F1626" s="89"/>
      <c r="G1626" s="89"/>
      <c r="H1626" s="89"/>
      <c r="I1626" s="89"/>
      <c r="J1626" s="89"/>
      <c r="K1626" s="89"/>
      <c r="L1626" s="89"/>
      <c r="M1626" s="89"/>
      <c r="N1626" s="89"/>
      <c r="O1626" s="89"/>
      <c r="P1626" s="28"/>
      <c r="Q1626" s="20">
        <f t="shared" si="259"/>
        <v>0</v>
      </c>
    </row>
    <row r="1627" spans="1:17">
      <c r="A1627" s="150"/>
      <c r="B1627" s="154"/>
      <c r="C1627" s="4" t="s">
        <v>61</v>
      </c>
      <c r="D1627" s="92"/>
      <c r="E1627" s="92"/>
      <c r="F1627" s="92"/>
      <c r="G1627" s="92"/>
      <c r="H1627" s="92"/>
      <c r="I1627" s="92"/>
      <c r="J1627" s="92"/>
      <c r="K1627" s="92"/>
      <c r="L1627" s="92"/>
      <c r="M1627" s="92"/>
      <c r="N1627" s="92"/>
      <c r="O1627" s="92"/>
      <c r="P1627" s="33"/>
      <c r="Q1627" s="22">
        <f t="shared" si="259"/>
        <v>0</v>
      </c>
    </row>
    <row r="1628" spans="1:17">
      <c r="A1628" s="150"/>
      <c r="B1628" s="156" t="s">
        <v>54</v>
      </c>
      <c r="C1628" s="157"/>
      <c r="D1628" s="56">
        <f t="shared" ref="D1628:O1628" si="260">SUM(D1614:D1618)-SUM(D1622:D1623)</f>
        <v>0</v>
      </c>
      <c r="E1628" s="56">
        <f t="shared" si="260"/>
        <v>0</v>
      </c>
      <c r="F1628" s="56">
        <f t="shared" si="260"/>
        <v>0</v>
      </c>
      <c r="G1628" s="56">
        <f t="shared" si="260"/>
        <v>0</v>
      </c>
      <c r="H1628" s="56">
        <f t="shared" si="260"/>
        <v>0</v>
      </c>
      <c r="I1628" s="56">
        <f t="shared" si="260"/>
        <v>0</v>
      </c>
      <c r="J1628" s="56">
        <f t="shared" si="260"/>
        <v>0</v>
      </c>
      <c r="K1628" s="56">
        <f t="shared" si="260"/>
        <v>0</v>
      </c>
      <c r="L1628" s="56">
        <f t="shared" si="260"/>
        <v>0</v>
      </c>
      <c r="M1628" s="56">
        <f t="shared" si="260"/>
        <v>0</v>
      </c>
      <c r="N1628" s="56">
        <f t="shared" si="260"/>
        <v>0</v>
      </c>
      <c r="O1628" s="56">
        <f t="shared" si="260"/>
        <v>0</v>
      </c>
      <c r="P1628" s="58">
        <f>SUM(P1612:P1618)-SUM(P1622:P1623)</f>
        <v>0</v>
      </c>
      <c r="Q1628" s="59">
        <f t="shared" si="259"/>
        <v>0</v>
      </c>
    </row>
    <row r="1629" spans="1:17" ht="14.25" thickBot="1">
      <c r="A1629" s="151"/>
      <c r="B1629" s="147" t="s">
        <v>5</v>
      </c>
      <c r="C1629" s="148"/>
      <c r="D1629" s="42">
        <f t="shared" ref="D1629:O1629" si="261">SUM(D1614:D1618)-SUM(D1619:D1623)+SUM(D1624:D1627)</f>
        <v>0</v>
      </c>
      <c r="E1629" s="42">
        <f t="shared" si="261"/>
        <v>0</v>
      </c>
      <c r="F1629" s="42">
        <f t="shared" si="261"/>
        <v>0</v>
      </c>
      <c r="G1629" s="42">
        <f t="shared" si="261"/>
        <v>0</v>
      </c>
      <c r="H1629" s="42">
        <f t="shared" si="261"/>
        <v>0</v>
      </c>
      <c r="I1629" s="42">
        <f t="shared" si="261"/>
        <v>0</v>
      </c>
      <c r="J1629" s="42">
        <f t="shared" si="261"/>
        <v>0</v>
      </c>
      <c r="K1629" s="42">
        <f t="shared" si="261"/>
        <v>0</v>
      </c>
      <c r="L1629" s="42">
        <f t="shared" si="261"/>
        <v>0</v>
      </c>
      <c r="M1629" s="42">
        <f t="shared" si="261"/>
        <v>0</v>
      </c>
      <c r="N1629" s="42">
        <f t="shared" si="261"/>
        <v>0</v>
      </c>
      <c r="O1629" s="42">
        <f t="shared" si="261"/>
        <v>0</v>
      </c>
      <c r="P1629" s="44">
        <f>SUM(P1612:P1618)-SUM(P1619:P1623)+SUM(P1624:P1627)</f>
        <v>0</v>
      </c>
      <c r="Q1629" s="46">
        <f t="shared" si="259"/>
        <v>0</v>
      </c>
    </row>
    <row r="1630" spans="1:17">
      <c r="A1630" s="149"/>
      <c r="B1630" s="152" t="s">
        <v>12</v>
      </c>
      <c r="C1630" s="114" t="s">
        <v>84</v>
      </c>
      <c r="D1630" s="87"/>
      <c r="E1630" s="87"/>
      <c r="F1630" s="87"/>
      <c r="G1630" s="87"/>
      <c r="H1630" s="87"/>
      <c r="I1630" s="87"/>
      <c r="J1630" s="87"/>
      <c r="K1630" s="87"/>
      <c r="L1630" s="87"/>
      <c r="M1630" s="87"/>
      <c r="N1630" s="87"/>
      <c r="O1630" s="87"/>
      <c r="P1630" s="30"/>
      <c r="Q1630" s="19">
        <f t="shared" si="259"/>
        <v>0</v>
      </c>
    </row>
    <row r="1631" spans="1:17">
      <c r="A1631" s="150"/>
      <c r="B1631" s="153"/>
      <c r="C1631" s="115" t="s">
        <v>85</v>
      </c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28"/>
      <c r="Q1631" s="20">
        <f t="shared" si="259"/>
        <v>0</v>
      </c>
    </row>
    <row r="1632" spans="1:17">
      <c r="A1632" s="150"/>
      <c r="B1632" s="153"/>
      <c r="C1632" s="116" t="s">
        <v>86</v>
      </c>
      <c r="D1632" s="91">
        <f>D1630*D1631</f>
        <v>0</v>
      </c>
      <c r="E1632" s="91">
        <f>E1630*E1631</f>
        <v>0</v>
      </c>
      <c r="F1632" s="91">
        <f>F1630*F1631</f>
        <v>0</v>
      </c>
      <c r="G1632" s="91">
        <f>G1630*G1631</f>
        <v>0</v>
      </c>
      <c r="H1632" s="91">
        <f>H1630*H1631</f>
        <v>0</v>
      </c>
      <c r="I1632" s="91">
        <f t="shared" ref="I1632:O1632" si="262">I1630*I1631</f>
        <v>0</v>
      </c>
      <c r="J1632" s="91">
        <f t="shared" si="262"/>
        <v>0</v>
      </c>
      <c r="K1632" s="91">
        <f t="shared" si="262"/>
        <v>0</v>
      </c>
      <c r="L1632" s="91">
        <f t="shared" si="262"/>
        <v>0</v>
      </c>
      <c r="M1632" s="91">
        <f t="shared" si="262"/>
        <v>0</v>
      </c>
      <c r="N1632" s="91">
        <f t="shared" si="262"/>
        <v>0</v>
      </c>
      <c r="O1632" s="91">
        <f t="shared" si="262"/>
        <v>0</v>
      </c>
      <c r="P1632" s="32"/>
      <c r="Q1632" s="20">
        <f t="shared" si="259"/>
        <v>0</v>
      </c>
    </row>
    <row r="1633" spans="1:17">
      <c r="A1633" s="150"/>
      <c r="B1633" s="153"/>
      <c r="C1633" s="117" t="s">
        <v>9</v>
      </c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1"/>
      <c r="O1633" s="91"/>
      <c r="P1633" s="32"/>
      <c r="Q1633" s="20">
        <f t="shared" si="259"/>
        <v>0</v>
      </c>
    </row>
    <row r="1634" spans="1:17">
      <c r="A1634" s="150"/>
      <c r="B1634" s="153"/>
      <c r="C1634" s="117" t="s">
        <v>38</v>
      </c>
      <c r="D1634" s="89"/>
      <c r="E1634" s="89"/>
      <c r="F1634" s="89"/>
      <c r="G1634" s="89"/>
      <c r="H1634" s="89"/>
      <c r="I1634" s="89"/>
      <c r="J1634" s="89"/>
      <c r="K1634" s="89"/>
      <c r="L1634" s="89"/>
      <c r="M1634" s="89"/>
      <c r="N1634" s="89"/>
      <c r="O1634" s="89"/>
      <c r="P1634" s="28"/>
      <c r="Q1634" s="20">
        <f t="shared" si="259"/>
        <v>0</v>
      </c>
    </row>
    <row r="1635" spans="1:17">
      <c r="A1635" s="150"/>
      <c r="B1635" s="153"/>
      <c r="C1635" s="62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1"/>
      <c r="O1635" s="91"/>
      <c r="P1635" s="32"/>
      <c r="Q1635" s="20">
        <f t="shared" si="259"/>
        <v>0</v>
      </c>
    </row>
    <row r="1636" spans="1:17">
      <c r="A1636" s="150"/>
      <c r="B1636" s="154"/>
      <c r="C1636" s="6" t="s">
        <v>42</v>
      </c>
      <c r="D1636" s="92"/>
      <c r="E1636" s="92"/>
      <c r="F1636" s="92"/>
      <c r="G1636" s="92"/>
      <c r="H1636" s="92"/>
      <c r="I1636" s="92"/>
      <c r="J1636" s="92"/>
      <c r="K1636" s="92"/>
      <c r="L1636" s="92"/>
      <c r="M1636" s="92"/>
      <c r="N1636" s="92"/>
      <c r="O1636" s="92"/>
      <c r="P1636" s="33"/>
      <c r="Q1636" s="22">
        <f t="shared" si="259"/>
        <v>0</v>
      </c>
    </row>
    <row r="1637" spans="1:17">
      <c r="A1637" s="150"/>
      <c r="B1637" s="155" t="s">
        <v>11</v>
      </c>
      <c r="C1637" s="5" t="s">
        <v>7</v>
      </c>
      <c r="D1637" s="94"/>
      <c r="E1637" s="94"/>
      <c r="F1637" s="94"/>
      <c r="G1637" s="94"/>
      <c r="H1637" s="94"/>
      <c r="I1637" s="94"/>
      <c r="J1637" s="94"/>
      <c r="K1637" s="94"/>
      <c r="L1637" s="94"/>
      <c r="M1637" s="94"/>
      <c r="N1637" s="94"/>
      <c r="O1637" s="94"/>
      <c r="P1637" s="27"/>
      <c r="Q1637" s="21">
        <f t="shared" si="259"/>
        <v>0</v>
      </c>
    </row>
    <row r="1638" spans="1:17">
      <c r="A1638" s="150"/>
      <c r="B1638" s="153"/>
      <c r="C1638" s="6" t="s">
        <v>4</v>
      </c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32"/>
      <c r="Q1638" s="20">
        <f t="shared" si="259"/>
        <v>0</v>
      </c>
    </row>
    <row r="1639" spans="1:17">
      <c r="A1639" s="150"/>
      <c r="B1639" s="153"/>
      <c r="C1639" s="6" t="s">
        <v>17</v>
      </c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32"/>
      <c r="Q1639" s="20">
        <f t="shared" si="259"/>
        <v>0</v>
      </c>
    </row>
    <row r="1640" spans="1:17">
      <c r="A1640" s="150"/>
      <c r="B1640" s="153"/>
      <c r="C1640" s="6" t="s">
        <v>18</v>
      </c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32"/>
      <c r="Q1640" s="20">
        <f t="shared" si="259"/>
        <v>0</v>
      </c>
    </row>
    <row r="1641" spans="1:17">
      <c r="A1641" s="150"/>
      <c r="B1641" s="153"/>
      <c r="C1641" s="6" t="s">
        <v>60</v>
      </c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32"/>
      <c r="Q1641" s="20">
        <f t="shared" si="259"/>
        <v>0</v>
      </c>
    </row>
    <row r="1642" spans="1:17">
      <c r="A1642" s="150"/>
      <c r="B1642" s="155" t="s">
        <v>13</v>
      </c>
      <c r="C1642" s="5" t="s">
        <v>10</v>
      </c>
      <c r="D1642" s="94"/>
      <c r="E1642" s="94"/>
      <c r="F1642" s="94"/>
      <c r="G1642" s="94"/>
      <c r="H1642" s="94"/>
      <c r="I1642" s="94"/>
      <c r="J1642" s="94"/>
      <c r="K1642" s="94"/>
      <c r="L1642" s="94"/>
      <c r="M1642" s="94"/>
      <c r="N1642" s="94"/>
      <c r="O1642" s="94"/>
      <c r="P1642" s="27"/>
      <c r="Q1642" s="21">
        <f t="shared" si="259"/>
        <v>0</v>
      </c>
    </row>
    <row r="1643" spans="1:17">
      <c r="A1643" s="150"/>
      <c r="B1643" s="153"/>
      <c r="C1643" s="116" t="s">
        <v>55</v>
      </c>
      <c r="D1643" s="89"/>
      <c r="E1643" s="89"/>
      <c r="F1643" s="89"/>
      <c r="G1643" s="89"/>
      <c r="H1643" s="89"/>
      <c r="I1643" s="89"/>
      <c r="J1643" s="89"/>
      <c r="K1643" s="89"/>
      <c r="L1643" s="89"/>
      <c r="M1643" s="89"/>
      <c r="N1643" s="89"/>
      <c r="O1643" s="89"/>
      <c r="P1643" s="28"/>
      <c r="Q1643" s="20">
        <f t="shared" si="259"/>
        <v>0</v>
      </c>
    </row>
    <row r="1644" spans="1:17">
      <c r="A1644" s="150"/>
      <c r="B1644" s="153"/>
      <c r="C1644" s="8" t="s">
        <v>56</v>
      </c>
      <c r="D1644" s="89"/>
      <c r="E1644" s="89"/>
      <c r="F1644" s="89"/>
      <c r="G1644" s="89"/>
      <c r="H1644" s="89"/>
      <c r="I1644" s="89"/>
      <c r="J1644" s="89"/>
      <c r="K1644" s="89"/>
      <c r="L1644" s="89"/>
      <c r="M1644" s="89"/>
      <c r="N1644" s="89"/>
      <c r="O1644" s="89"/>
      <c r="P1644" s="28"/>
      <c r="Q1644" s="20">
        <f t="shared" si="259"/>
        <v>0</v>
      </c>
    </row>
    <row r="1645" spans="1:17">
      <c r="A1645" s="150"/>
      <c r="B1645" s="154"/>
      <c r="C1645" s="4" t="s">
        <v>61</v>
      </c>
      <c r="D1645" s="92"/>
      <c r="E1645" s="92"/>
      <c r="F1645" s="92"/>
      <c r="G1645" s="92"/>
      <c r="H1645" s="92"/>
      <c r="I1645" s="92"/>
      <c r="J1645" s="92"/>
      <c r="K1645" s="92"/>
      <c r="L1645" s="92"/>
      <c r="M1645" s="92"/>
      <c r="N1645" s="92"/>
      <c r="O1645" s="92"/>
      <c r="P1645" s="33"/>
      <c r="Q1645" s="22">
        <f t="shared" si="259"/>
        <v>0</v>
      </c>
    </row>
    <row r="1646" spans="1:17">
      <c r="A1646" s="150"/>
      <c r="B1646" s="156" t="s">
        <v>54</v>
      </c>
      <c r="C1646" s="157"/>
      <c r="D1646" s="56">
        <f t="shared" ref="D1646:O1646" si="263">SUM(D1632:D1636)-SUM(D1640:D1641)</f>
        <v>0</v>
      </c>
      <c r="E1646" s="56">
        <f t="shared" si="263"/>
        <v>0</v>
      </c>
      <c r="F1646" s="56">
        <f t="shared" si="263"/>
        <v>0</v>
      </c>
      <c r="G1646" s="56">
        <f t="shared" si="263"/>
        <v>0</v>
      </c>
      <c r="H1646" s="56">
        <f t="shared" si="263"/>
        <v>0</v>
      </c>
      <c r="I1646" s="56">
        <f t="shared" si="263"/>
        <v>0</v>
      </c>
      <c r="J1646" s="56">
        <f t="shared" si="263"/>
        <v>0</v>
      </c>
      <c r="K1646" s="56">
        <f t="shared" si="263"/>
        <v>0</v>
      </c>
      <c r="L1646" s="56">
        <f t="shared" si="263"/>
        <v>0</v>
      </c>
      <c r="M1646" s="56">
        <f t="shared" si="263"/>
        <v>0</v>
      </c>
      <c r="N1646" s="56">
        <f t="shared" si="263"/>
        <v>0</v>
      </c>
      <c r="O1646" s="56">
        <f t="shared" si="263"/>
        <v>0</v>
      </c>
      <c r="P1646" s="58">
        <f>SUM(P1630:P1636)-SUM(P1640:P1641)</f>
        <v>0</v>
      </c>
      <c r="Q1646" s="59">
        <f t="shared" si="259"/>
        <v>0</v>
      </c>
    </row>
    <row r="1647" spans="1:17" ht="14.25" thickBot="1">
      <c r="A1647" s="151"/>
      <c r="B1647" s="147" t="s">
        <v>5</v>
      </c>
      <c r="C1647" s="148"/>
      <c r="D1647" s="42">
        <f t="shared" ref="D1647:O1647" si="264">SUM(D1632:D1636)-SUM(D1637:D1641)+SUM(D1642:D1645)</f>
        <v>0</v>
      </c>
      <c r="E1647" s="42">
        <f t="shared" si="264"/>
        <v>0</v>
      </c>
      <c r="F1647" s="42">
        <f t="shared" si="264"/>
        <v>0</v>
      </c>
      <c r="G1647" s="42">
        <f t="shared" si="264"/>
        <v>0</v>
      </c>
      <c r="H1647" s="42">
        <f t="shared" si="264"/>
        <v>0</v>
      </c>
      <c r="I1647" s="42">
        <f t="shared" si="264"/>
        <v>0</v>
      </c>
      <c r="J1647" s="42">
        <f t="shared" si="264"/>
        <v>0</v>
      </c>
      <c r="K1647" s="42">
        <f t="shared" si="264"/>
        <v>0</v>
      </c>
      <c r="L1647" s="42">
        <f t="shared" si="264"/>
        <v>0</v>
      </c>
      <c r="M1647" s="42">
        <f t="shared" si="264"/>
        <v>0</v>
      </c>
      <c r="N1647" s="42">
        <f t="shared" si="264"/>
        <v>0</v>
      </c>
      <c r="O1647" s="42">
        <f t="shared" si="264"/>
        <v>0</v>
      </c>
      <c r="P1647" s="44">
        <f>SUM(P1630:P1636)-SUM(P1637:P1641)+SUM(P1642:P1645)</f>
        <v>0</v>
      </c>
      <c r="Q1647" s="46">
        <f t="shared" si="259"/>
        <v>0</v>
      </c>
    </row>
    <row r="1648" spans="1:17">
      <c r="A1648" s="149"/>
      <c r="B1648" s="152" t="s">
        <v>12</v>
      </c>
      <c r="C1648" s="114" t="s">
        <v>84</v>
      </c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87"/>
      <c r="O1648" s="87"/>
      <c r="P1648" s="30"/>
      <c r="Q1648" s="19">
        <f t="shared" si="259"/>
        <v>0</v>
      </c>
    </row>
    <row r="1649" spans="1:17">
      <c r="A1649" s="150"/>
      <c r="B1649" s="153"/>
      <c r="C1649" s="115" t="s">
        <v>85</v>
      </c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28"/>
      <c r="Q1649" s="20">
        <f t="shared" si="259"/>
        <v>0</v>
      </c>
    </row>
    <row r="1650" spans="1:17">
      <c r="A1650" s="150"/>
      <c r="B1650" s="153"/>
      <c r="C1650" s="116" t="s">
        <v>86</v>
      </c>
      <c r="D1650" s="91">
        <f>D1648*D1649</f>
        <v>0</v>
      </c>
      <c r="E1650" s="91">
        <f>E1648*E1649</f>
        <v>0</v>
      </c>
      <c r="F1650" s="91">
        <f>F1648*F1649</f>
        <v>0</v>
      </c>
      <c r="G1650" s="91">
        <f>G1648*G1649</f>
        <v>0</v>
      </c>
      <c r="H1650" s="91">
        <f>H1648*H1649</f>
        <v>0</v>
      </c>
      <c r="I1650" s="91">
        <f t="shared" ref="I1650:O1650" si="265">I1648*I1649</f>
        <v>0</v>
      </c>
      <c r="J1650" s="91">
        <f t="shared" si="265"/>
        <v>0</v>
      </c>
      <c r="K1650" s="91">
        <f t="shared" si="265"/>
        <v>0</v>
      </c>
      <c r="L1650" s="91">
        <f t="shared" si="265"/>
        <v>0</v>
      </c>
      <c r="M1650" s="91">
        <f t="shared" si="265"/>
        <v>0</v>
      </c>
      <c r="N1650" s="91">
        <f t="shared" si="265"/>
        <v>0</v>
      </c>
      <c r="O1650" s="91">
        <f t="shared" si="265"/>
        <v>0</v>
      </c>
      <c r="P1650" s="32"/>
      <c r="Q1650" s="20">
        <f t="shared" si="259"/>
        <v>0</v>
      </c>
    </row>
    <row r="1651" spans="1:17">
      <c r="A1651" s="150"/>
      <c r="B1651" s="153"/>
      <c r="C1651" s="117" t="s">
        <v>9</v>
      </c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91"/>
      <c r="O1651" s="91"/>
      <c r="P1651" s="32"/>
      <c r="Q1651" s="20">
        <f t="shared" si="259"/>
        <v>0</v>
      </c>
    </row>
    <row r="1652" spans="1:17">
      <c r="A1652" s="150"/>
      <c r="B1652" s="153"/>
      <c r="C1652" s="117" t="s">
        <v>38</v>
      </c>
      <c r="D1652" s="89"/>
      <c r="E1652" s="89"/>
      <c r="F1652" s="89"/>
      <c r="G1652" s="89"/>
      <c r="H1652" s="89"/>
      <c r="I1652" s="89"/>
      <c r="J1652" s="89"/>
      <c r="K1652" s="89"/>
      <c r="L1652" s="89"/>
      <c r="M1652" s="89"/>
      <c r="N1652" s="89"/>
      <c r="O1652" s="89"/>
      <c r="P1652" s="28"/>
      <c r="Q1652" s="20">
        <f t="shared" si="259"/>
        <v>0</v>
      </c>
    </row>
    <row r="1653" spans="1:17">
      <c r="A1653" s="150"/>
      <c r="B1653" s="153"/>
      <c r="C1653" s="62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91"/>
      <c r="O1653" s="91"/>
      <c r="P1653" s="32"/>
      <c r="Q1653" s="20">
        <f t="shared" si="259"/>
        <v>0</v>
      </c>
    </row>
    <row r="1654" spans="1:17">
      <c r="A1654" s="150"/>
      <c r="B1654" s="154"/>
      <c r="C1654" s="6" t="s">
        <v>42</v>
      </c>
      <c r="D1654" s="92"/>
      <c r="E1654" s="92"/>
      <c r="F1654" s="92"/>
      <c r="G1654" s="92"/>
      <c r="H1654" s="92"/>
      <c r="I1654" s="92"/>
      <c r="J1654" s="92"/>
      <c r="K1654" s="92"/>
      <c r="L1654" s="92"/>
      <c r="M1654" s="92"/>
      <c r="N1654" s="92"/>
      <c r="O1654" s="92"/>
      <c r="P1654" s="33"/>
      <c r="Q1654" s="22">
        <f t="shared" si="259"/>
        <v>0</v>
      </c>
    </row>
    <row r="1655" spans="1:17">
      <c r="A1655" s="150"/>
      <c r="B1655" s="155" t="s">
        <v>11</v>
      </c>
      <c r="C1655" s="5" t="s">
        <v>7</v>
      </c>
      <c r="D1655" s="94"/>
      <c r="E1655" s="94"/>
      <c r="F1655" s="94"/>
      <c r="G1655" s="94"/>
      <c r="H1655" s="94"/>
      <c r="I1655" s="94"/>
      <c r="J1655" s="94"/>
      <c r="K1655" s="94"/>
      <c r="L1655" s="94"/>
      <c r="M1655" s="94"/>
      <c r="N1655" s="94"/>
      <c r="O1655" s="94"/>
      <c r="P1655" s="27"/>
      <c r="Q1655" s="21">
        <f t="shared" si="259"/>
        <v>0</v>
      </c>
    </row>
    <row r="1656" spans="1:17">
      <c r="A1656" s="150"/>
      <c r="B1656" s="153"/>
      <c r="C1656" s="6" t="s">
        <v>4</v>
      </c>
      <c r="D1656" s="91"/>
      <c r="E1656" s="91"/>
      <c r="F1656" s="91"/>
      <c r="G1656" s="91"/>
      <c r="H1656" s="91"/>
      <c r="I1656" s="91"/>
      <c r="J1656" s="91"/>
      <c r="K1656" s="91"/>
      <c r="L1656" s="91"/>
      <c r="M1656" s="91"/>
      <c r="N1656" s="91"/>
      <c r="O1656" s="91"/>
      <c r="P1656" s="32"/>
      <c r="Q1656" s="20">
        <f t="shared" si="259"/>
        <v>0</v>
      </c>
    </row>
    <row r="1657" spans="1:17">
      <c r="A1657" s="150"/>
      <c r="B1657" s="153"/>
      <c r="C1657" s="6" t="s">
        <v>17</v>
      </c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91"/>
      <c r="O1657" s="91"/>
      <c r="P1657" s="32"/>
      <c r="Q1657" s="20">
        <f t="shared" si="259"/>
        <v>0</v>
      </c>
    </row>
    <row r="1658" spans="1:17">
      <c r="A1658" s="150"/>
      <c r="B1658" s="153"/>
      <c r="C1658" s="6" t="s">
        <v>18</v>
      </c>
      <c r="D1658" s="91"/>
      <c r="E1658" s="91"/>
      <c r="F1658" s="91"/>
      <c r="G1658" s="91"/>
      <c r="H1658" s="91"/>
      <c r="I1658" s="91"/>
      <c r="J1658" s="91"/>
      <c r="K1658" s="91"/>
      <c r="L1658" s="91"/>
      <c r="M1658" s="91"/>
      <c r="N1658" s="91"/>
      <c r="O1658" s="91"/>
      <c r="P1658" s="32"/>
      <c r="Q1658" s="20">
        <f t="shared" si="259"/>
        <v>0</v>
      </c>
    </row>
    <row r="1659" spans="1:17">
      <c r="A1659" s="150"/>
      <c r="B1659" s="153"/>
      <c r="C1659" s="6" t="s">
        <v>60</v>
      </c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91"/>
      <c r="O1659" s="91"/>
      <c r="P1659" s="32"/>
      <c r="Q1659" s="20">
        <f t="shared" si="259"/>
        <v>0</v>
      </c>
    </row>
    <row r="1660" spans="1:17">
      <c r="A1660" s="150"/>
      <c r="B1660" s="155" t="s">
        <v>13</v>
      </c>
      <c r="C1660" s="5" t="s">
        <v>10</v>
      </c>
      <c r="D1660" s="94"/>
      <c r="E1660" s="94"/>
      <c r="F1660" s="94"/>
      <c r="G1660" s="94"/>
      <c r="H1660" s="94"/>
      <c r="I1660" s="94"/>
      <c r="J1660" s="94"/>
      <c r="K1660" s="94"/>
      <c r="L1660" s="94"/>
      <c r="M1660" s="94"/>
      <c r="N1660" s="94"/>
      <c r="O1660" s="94"/>
      <c r="P1660" s="27"/>
      <c r="Q1660" s="21">
        <f t="shared" si="259"/>
        <v>0</v>
      </c>
    </row>
    <row r="1661" spans="1:17">
      <c r="A1661" s="150"/>
      <c r="B1661" s="153"/>
      <c r="C1661" s="116" t="s">
        <v>55</v>
      </c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89"/>
      <c r="O1661" s="89"/>
      <c r="P1661" s="28"/>
      <c r="Q1661" s="20">
        <f t="shared" si="259"/>
        <v>0</v>
      </c>
    </row>
    <row r="1662" spans="1:17">
      <c r="A1662" s="150"/>
      <c r="B1662" s="153"/>
      <c r="C1662" s="8" t="s">
        <v>56</v>
      </c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89"/>
      <c r="O1662" s="89"/>
      <c r="P1662" s="28"/>
      <c r="Q1662" s="20">
        <f t="shared" si="259"/>
        <v>0</v>
      </c>
    </row>
    <row r="1663" spans="1:17">
      <c r="A1663" s="150"/>
      <c r="B1663" s="154"/>
      <c r="C1663" s="4" t="s">
        <v>61</v>
      </c>
      <c r="D1663" s="92"/>
      <c r="E1663" s="92"/>
      <c r="F1663" s="92"/>
      <c r="G1663" s="92"/>
      <c r="H1663" s="92"/>
      <c r="I1663" s="92"/>
      <c r="J1663" s="92"/>
      <c r="K1663" s="92"/>
      <c r="L1663" s="92"/>
      <c r="M1663" s="92"/>
      <c r="N1663" s="92"/>
      <c r="O1663" s="92"/>
      <c r="P1663" s="33"/>
      <c r="Q1663" s="22">
        <f t="shared" si="259"/>
        <v>0</v>
      </c>
    </row>
    <row r="1664" spans="1:17">
      <c r="A1664" s="150"/>
      <c r="B1664" s="156" t="s">
        <v>54</v>
      </c>
      <c r="C1664" s="157"/>
      <c r="D1664" s="56">
        <f t="shared" ref="D1664:O1664" si="266">SUM(D1650:D1654)-SUM(D1658:D1659)</f>
        <v>0</v>
      </c>
      <c r="E1664" s="56">
        <f t="shared" si="266"/>
        <v>0</v>
      </c>
      <c r="F1664" s="56">
        <f t="shared" si="266"/>
        <v>0</v>
      </c>
      <c r="G1664" s="56">
        <f t="shared" si="266"/>
        <v>0</v>
      </c>
      <c r="H1664" s="56">
        <f t="shared" si="266"/>
        <v>0</v>
      </c>
      <c r="I1664" s="56">
        <f t="shared" si="266"/>
        <v>0</v>
      </c>
      <c r="J1664" s="56">
        <f t="shared" si="266"/>
        <v>0</v>
      </c>
      <c r="K1664" s="56">
        <f t="shared" si="266"/>
        <v>0</v>
      </c>
      <c r="L1664" s="56">
        <f t="shared" si="266"/>
        <v>0</v>
      </c>
      <c r="M1664" s="56">
        <f t="shared" si="266"/>
        <v>0</v>
      </c>
      <c r="N1664" s="56">
        <f t="shared" si="266"/>
        <v>0</v>
      </c>
      <c r="O1664" s="56">
        <f t="shared" si="266"/>
        <v>0</v>
      </c>
      <c r="P1664" s="58">
        <f>SUM(P1648:P1654)-SUM(P1658:P1659)</f>
        <v>0</v>
      </c>
      <c r="Q1664" s="59">
        <f t="shared" si="259"/>
        <v>0</v>
      </c>
    </row>
    <row r="1665" spans="1:17" ht="14.25" thickBot="1">
      <c r="A1665" s="151"/>
      <c r="B1665" s="147" t="s">
        <v>5</v>
      </c>
      <c r="C1665" s="148"/>
      <c r="D1665" s="42">
        <f t="shared" ref="D1665:O1665" si="267">SUM(D1650:D1654)-SUM(D1655:D1659)+SUM(D1660:D1663)</f>
        <v>0</v>
      </c>
      <c r="E1665" s="42">
        <f t="shared" si="267"/>
        <v>0</v>
      </c>
      <c r="F1665" s="42">
        <f t="shared" si="267"/>
        <v>0</v>
      </c>
      <c r="G1665" s="42">
        <f t="shared" si="267"/>
        <v>0</v>
      </c>
      <c r="H1665" s="42">
        <f t="shared" si="267"/>
        <v>0</v>
      </c>
      <c r="I1665" s="42">
        <f t="shared" si="267"/>
        <v>0</v>
      </c>
      <c r="J1665" s="42">
        <f t="shared" si="267"/>
        <v>0</v>
      </c>
      <c r="K1665" s="42">
        <f t="shared" si="267"/>
        <v>0</v>
      </c>
      <c r="L1665" s="42">
        <f t="shared" si="267"/>
        <v>0</v>
      </c>
      <c r="M1665" s="42">
        <f t="shared" si="267"/>
        <v>0</v>
      </c>
      <c r="N1665" s="42">
        <f t="shared" si="267"/>
        <v>0</v>
      </c>
      <c r="O1665" s="42">
        <f t="shared" si="267"/>
        <v>0</v>
      </c>
      <c r="P1665" s="44">
        <f>SUM(P1648:P1654)-SUM(P1655:P1659)+SUM(P1660:P1663)</f>
        <v>0</v>
      </c>
      <c r="Q1665" s="46">
        <f t="shared" si="259"/>
        <v>0</v>
      </c>
    </row>
    <row r="1666" spans="1:17">
      <c r="A1666" s="149"/>
      <c r="B1666" s="152" t="s">
        <v>12</v>
      </c>
      <c r="C1666" s="114" t="s">
        <v>84</v>
      </c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87"/>
      <c r="O1666" s="87"/>
      <c r="P1666" s="30"/>
      <c r="Q1666" s="19">
        <f t="shared" si="259"/>
        <v>0</v>
      </c>
    </row>
    <row r="1667" spans="1:17">
      <c r="A1667" s="150"/>
      <c r="B1667" s="153"/>
      <c r="C1667" s="115" t="s">
        <v>85</v>
      </c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28"/>
      <c r="Q1667" s="20">
        <f t="shared" si="259"/>
        <v>0</v>
      </c>
    </row>
    <row r="1668" spans="1:17">
      <c r="A1668" s="150"/>
      <c r="B1668" s="153"/>
      <c r="C1668" s="116" t="s">
        <v>86</v>
      </c>
      <c r="D1668" s="91">
        <f>D1666*D1667</f>
        <v>0</v>
      </c>
      <c r="E1668" s="91">
        <f>E1666*E1667</f>
        <v>0</v>
      </c>
      <c r="F1668" s="91">
        <f>F1666*F1667</f>
        <v>0</v>
      </c>
      <c r="G1668" s="91">
        <f>G1666*G1667</f>
        <v>0</v>
      </c>
      <c r="H1668" s="91">
        <f>H1666*H1667</f>
        <v>0</v>
      </c>
      <c r="I1668" s="91">
        <f t="shared" ref="I1668:O1668" si="268">I1666*I1667</f>
        <v>0</v>
      </c>
      <c r="J1668" s="91">
        <f t="shared" si="268"/>
        <v>0</v>
      </c>
      <c r="K1668" s="91">
        <f t="shared" si="268"/>
        <v>0</v>
      </c>
      <c r="L1668" s="91">
        <f t="shared" si="268"/>
        <v>0</v>
      </c>
      <c r="M1668" s="91">
        <f t="shared" si="268"/>
        <v>0</v>
      </c>
      <c r="N1668" s="91">
        <f t="shared" si="268"/>
        <v>0</v>
      </c>
      <c r="O1668" s="91">
        <f t="shared" si="268"/>
        <v>0</v>
      </c>
      <c r="P1668" s="32"/>
      <c r="Q1668" s="20">
        <f t="shared" si="259"/>
        <v>0</v>
      </c>
    </row>
    <row r="1669" spans="1:17">
      <c r="A1669" s="150"/>
      <c r="B1669" s="153"/>
      <c r="C1669" s="117" t="s">
        <v>9</v>
      </c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32"/>
      <c r="Q1669" s="20">
        <f t="shared" si="259"/>
        <v>0</v>
      </c>
    </row>
    <row r="1670" spans="1:17">
      <c r="A1670" s="150"/>
      <c r="B1670" s="153"/>
      <c r="C1670" s="117" t="s">
        <v>38</v>
      </c>
      <c r="D1670" s="89"/>
      <c r="E1670" s="89"/>
      <c r="F1670" s="89"/>
      <c r="G1670" s="89"/>
      <c r="H1670" s="89"/>
      <c r="I1670" s="89"/>
      <c r="J1670" s="89"/>
      <c r="K1670" s="89"/>
      <c r="L1670" s="89"/>
      <c r="M1670" s="89"/>
      <c r="N1670" s="89"/>
      <c r="O1670" s="89"/>
      <c r="P1670" s="28"/>
      <c r="Q1670" s="20">
        <f t="shared" si="259"/>
        <v>0</v>
      </c>
    </row>
    <row r="1671" spans="1:17">
      <c r="A1671" s="150"/>
      <c r="B1671" s="153"/>
      <c r="C1671" s="62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32"/>
      <c r="Q1671" s="20">
        <f t="shared" si="259"/>
        <v>0</v>
      </c>
    </row>
    <row r="1672" spans="1:17">
      <c r="A1672" s="150"/>
      <c r="B1672" s="154"/>
      <c r="C1672" s="6" t="s">
        <v>42</v>
      </c>
      <c r="D1672" s="92"/>
      <c r="E1672" s="92"/>
      <c r="F1672" s="92"/>
      <c r="G1672" s="92"/>
      <c r="H1672" s="92"/>
      <c r="I1672" s="92"/>
      <c r="J1672" s="92"/>
      <c r="K1672" s="92"/>
      <c r="L1672" s="92"/>
      <c r="M1672" s="92"/>
      <c r="N1672" s="92"/>
      <c r="O1672" s="92"/>
      <c r="P1672" s="33"/>
      <c r="Q1672" s="22">
        <f t="shared" si="259"/>
        <v>0</v>
      </c>
    </row>
    <row r="1673" spans="1:17">
      <c r="A1673" s="150"/>
      <c r="B1673" s="155" t="s">
        <v>11</v>
      </c>
      <c r="C1673" s="5" t="s">
        <v>7</v>
      </c>
      <c r="D1673" s="94"/>
      <c r="E1673" s="94"/>
      <c r="F1673" s="94"/>
      <c r="G1673" s="94"/>
      <c r="H1673" s="94"/>
      <c r="I1673" s="94"/>
      <c r="J1673" s="94"/>
      <c r="K1673" s="94"/>
      <c r="L1673" s="94"/>
      <c r="M1673" s="94"/>
      <c r="N1673" s="94"/>
      <c r="O1673" s="94"/>
      <c r="P1673" s="27"/>
      <c r="Q1673" s="21">
        <f t="shared" si="259"/>
        <v>0</v>
      </c>
    </row>
    <row r="1674" spans="1:17">
      <c r="A1674" s="150"/>
      <c r="B1674" s="153"/>
      <c r="C1674" s="6" t="s">
        <v>4</v>
      </c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91"/>
      <c r="O1674" s="91"/>
      <c r="P1674" s="32"/>
      <c r="Q1674" s="20">
        <f t="shared" si="259"/>
        <v>0</v>
      </c>
    </row>
    <row r="1675" spans="1:17">
      <c r="A1675" s="150"/>
      <c r="B1675" s="153"/>
      <c r="C1675" s="6" t="s">
        <v>17</v>
      </c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91"/>
      <c r="O1675" s="91"/>
      <c r="P1675" s="32"/>
      <c r="Q1675" s="20">
        <f t="shared" si="259"/>
        <v>0</v>
      </c>
    </row>
    <row r="1676" spans="1:17">
      <c r="A1676" s="150"/>
      <c r="B1676" s="153"/>
      <c r="C1676" s="6" t="s">
        <v>18</v>
      </c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91"/>
      <c r="O1676" s="91"/>
      <c r="P1676" s="32"/>
      <c r="Q1676" s="20">
        <f t="shared" si="259"/>
        <v>0</v>
      </c>
    </row>
    <row r="1677" spans="1:17">
      <c r="A1677" s="150"/>
      <c r="B1677" s="153"/>
      <c r="C1677" s="6" t="s">
        <v>60</v>
      </c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91"/>
      <c r="O1677" s="91"/>
      <c r="P1677" s="32"/>
      <c r="Q1677" s="20">
        <f t="shared" si="259"/>
        <v>0</v>
      </c>
    </row>
    <row r="1678" spans="1:17">
      <c r="A1678" s="150"/>
      <c r="B1678" s="155" t="s">
        <v>13</v>
      </c>
      <c r="C1678" s="5" t="s">
        <v>10</v>
      </c>
      <c r="D1678" s="94"/>
      <c r="E1678" s="94"/>
      <c r="F1678" s="94"/>
      <c r="G1678" s="94"/>
      <c r="H1678" s="94"/>
      <c r="I1678" s="94"/>
      <c r="J1678" s="94"/>
      <c r="K1678" s="94"/>
      <c r="L1678" s="94"/>
      <c r="M1678" s="94"/>
      <c r="N1678" s="94"/>
      <c r="O1678" s="94"/>
      <c r="P1678" s="27"/>
      <c r="Q1678" s="21">
        <f t="shared" si="259"/>
        <v>0</v>
      </c>
    </row>
    <row r="1679" spans="1:17">
      <c r="A1679" s="150"/>
      <c r="B1679" s="153"/>
      <c r="C1679" s="116" t="s">
        <v>55</v>
      </c>
      <c r="D1679" s="89"/>
      <c r="E1679" s="89"/>
      <c r="F1679" s="89"/>
      <c r="G1679" s="89"/>
      <c r="H1679" s="89"/>
      <c r="I1679" s="89"/>
      <c r="J1679" s="89"/>
      <c r="K1679" s="89"/>
      <c r="L1679" s="89"/>
      <c r="M1679" s="89"/>
      <c r="N1679" s="89"/>
      <c r="O1679" s="89"/>
      <c r="P1679" s="28"/>
      <c r="Q1679" s="20">
        <f t="shared" si="259"/>
        <v>0</v>
      </c>
    </row>
    <row r="1680" spans="1:17">
      <c r="A1680" s="150"/>
      <c r="B1680" s="153"/>
      <c r="C1680" s="8" t="s">
        <v>56</v>
      </c>
      <c r="D1680" s="89"/>
      <c r="E1680" s="89"/>
      <c r="F1680" s="89"/>
      <c r="G1680" s="89"/>
      <c r="H1680" s="89"/>
      <c r="I1680" s="89"/>
      <c r="J1680" s="89"/>
      <c r="K1680" s="89"/>
      <c r="L1680" s="89"/>
      <c r="M1680" s="89"/>
      <c r="N1680" s="89"/>
      <c r="O1680" s="89"/>
      <c r="P1680" s="28"/>
      <c r="Q1680" s="20">
        <f t="shared" si="259"/>
        <v>0</v>
      </c>
    </row>
    <row r="1681" spans="1:17">
      <c r="A1681" s="150"/>
      <c r="B1681" s="154"/>
      <c r="C1681" s="4" t="s">
        <v>61</v>
      </c>
      <c r="D1681" s="92"/>
      <c r="E1681" s="92"/>
      <c r="F1681" s="92"/>
      <c r="G1681" s="92"/>
      <c r="H1681" s="92"/>
      <c r="I1681" s="92"/>
      <c r="J1681" s="92"/>
      <c r="K1681" s="92"/>
      <c r="L1681" s="92"/>
      <c r="M1681" s="92"/>
      <c r="N1681" s="92"/>
      <c r="O1681" s="92"/>
      <c r="P1681" s="33"/>
      <c r="Q1681" s="22">
        <f t="shared" si="259"/>
        <v>0</v>
      </c>
    </row>
    <row r="1682" spans="1:17">
      <c r="A1682" s="150"/>
      <c r="B1682" s="156" t="s">
        <v>54</v>
      </c>
      <c r="C1682" s="157"/>
      <c r="D1682" s="56">
        <f t="shared" ref="D1682:O1682" si="269">SUM(D1668:D1672)-SUM(D1676:D1677)</f>
        <v>0</v>
      </c>
      <c r="E1682" s="56">
        <f t="shared" si="269"/>
        <v>0</v>
      </c>
      <c r="F1682" s="56">
        <f t="shared" si="269"/>
        <v>0</v>
      </c>
      <c r="G1682" s="56">
        <f t="shared" si="269"/>
        <v>0</v>
      </c>
      <c r="H1682" s="56">
        <f t="shared" si="269"/>
        <v>0</v>
      </c>
      <c r="I1682" s="56">
        <f t="shared" si="269"/>
        <v>0</v>
      </c>
      <c r="J1682" s="56">
        <f t="shared" si="269"/>
        <v>0</v>
      </c>
      <c r="K1682" s="56">
        <f t="shared" si="269"/>
        <v>0</v>
      </c>
      <c r="L1682" s="56">
        <f t="shared" si="269"/>
        <v>0</v>
      </c>
      <c r="M1682" s="56">
        <f t="shared" si="269"/>
        <v>0</v>
      </c>
      <c r="N1682" s="56">
        <f t="shared" si="269"/>
        <v>0</v>
      </c>
      <c r="O1682" s="56">
        <f t="shared" si="269"/>
        <v>0</v>
      </c>
      <c r="P1682" s="58">
        <f>SUM(P1666:P1672)-SUM(P1676:P1677)</f>
        <v>0</v>
      </c>
      <c r="Q1682" s="59">
        <f t="shared" si="259"/>
        <v>0</v>
      </c>
    </row>
    <row r="1683" spans="1:17" ht="14.25" thickBot="1">
      <c r="A1683" s="151"/>
      <c r="B1683" s="147" t="s">
        <v>5</v>
      </c>
      <c r="C1683" s="148"/>
      <c r="D1683" s="42">
        <f t="shared" ref="D1683:O1683" si="270">SUM(D1668:D1672)-SUM(D1673:D1677)+SUM(D1678:D1681)</f>
        <v>0</v>
      </c>
      <c r="E1683" s="42">
        <f t="shared" si="270"/>
        <v>0</v>
      </c>
      <c r="F1683" s="42">
        <f t="shared" si="270"/>
        <v>0</v>
      </c>
      <c r="G1683" s="42">
        <f t="shared" si="270"/>
        <v>0</v>
      </c>
      <c r="H1683" s="42">
        <f t="shared" si="270"/>
        <v>0</v>
      </c>
      <c r="I1683" s="42">
        <f t="shared" si="270"/>
        <v>0</v>
      </c>
      <c r="J1683" s="42">
        <f t="shared" si="270"/>
        <v>0</v>
      </c>
      <c r="K1683" s="42">
        <f t="shared" si="270"/>
        <v>0</v>
      </c>
      <c r="L1683" s="42">
        <f t="shared" si="270"/>
        <v>0</v>
      </c>
      <c r="M1683" s="42">
        <f t="shared" si="270"/>
        <v>0</v>
      </c>
      <c r="N1683" s="42">
        <f t="shared" si="270"/>
        <v>0</v>
      </c>
      <c r="O1683" s="42">
        <f t="shared" si="270"/>
        <v>0</v>
      </c>
      <c r="P1683" s="44">
        <f>SUM(P1666:P1672)-SUM(P1673:P1677)+SUM(P1678:P1681)</f>
        <v>0</v>
      </c>
      <c r="Q1683" s="46">
        <f t="shared" ref="Q1683:Q1746" si="271">SUM(P1683:P1683)</f>
        <v>0</v>
      </c>
    </row>
    <row r="1684" spans="1:17">
      <c r="A1684" s="149"/>
      <c r="B1684" s="152" t="s">
        <v>12</v>
      </c>
      <c r="C1684" s="114" t="s">
        <v>84</v>
      </c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87"/>
      <c r="O1684" s="87"/>
      <c r="P1684" s="30"/>
      <c r="Q1684" s="19">
        <f t="shared" si="271"/>
        <v>0</v>
      </c>
    </row>
    <row r="1685" spans="1:17">
      <c r="A1685" s="150"/>
      <c r="B1685" s="153"/>
      <c r="C1685" s="115" t="s">
        <v>85</v>
      </c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28"/>
      <c r="Q1685" s="20">
        <f t="shared" si="271"/>
        <v>0</v>
      </c>
    </row>
    <row r="1686" spans="1:17">
      <c r="A1686" s="150"/>
      <c r="B1686" s="153"/>
      <c r="C1686" s="116" t="s">
        <v>86</v>
      </c>
      <c r="D1686" s="91">
        <f>D1684*D1685</f>
        <v>0</v>
      </c>
      <c r="E1686" s="91">
        <f>E1684*E1685</f>
        <v>0</v>
      </c>
      <c r="F1686" s="91">
        <f>F1684*F1685</f>
        <v>0</v>
      </c>
      <c r="G1686" s="91">
        <f>G1684*G1685</f>
        <v>0</v>
      </c>
      <c r="H1686" s="91">
        <f>H1684*H1685</f>
        <v>0</v>
      </c>
      <c r="I1686" s="91">
        <f t="shared" ref="I1686:O1686" si="272">I1684*I1685</f>
        <v>0</v>
      </c>
      <c r="J1686" s="91">
        <f t="shared" si="272"/>
        <v>0</v>
      </c>
      <c r="K1686" s="91">
        <f t="shared" si="272"/>
        <v>0</v>
      </c>
      <c r="L1686" s="91">
        <f t="shared" si="272"/>
        <v>0</v>
      </c>
      <c r="M1686" s="91">
        <f t="shared" si="272"/>
        <v>0</v>
      </c>
      <c r="N1686" s="91">
        <f t="shared" si="272"/>
        <v>0</v>
      </c>
      <c r="O1686" s="91">
        <f t="shared" si="272"/>
        <v>0</v>
      </c>
      <c r="P1686" s="32"/>
      <c r="Q1686" s="20">
        <f t="shared" si="271"/>
        <v>0</v>
      </c>
    </row>
    <row r="1687" spans="1:17">
      <c r="A1687" s="150"/>
      <c r="B1687" s="153"/>
      <c r="C1687" s="117" t="s">
        <v>9</v>
      </c>
      <c r="D1687" s="91"/>
      <c r="E1687" s="91"/>
      <c r="F1687" s="91"/>
      <c r="G1687" s="91"/>
      <c r="H1687" s="91"/>
      <c r="I1687" s="91"/>
      <c r="J1687" s="91"/>
      <c r="K1687" s="91"/>
      <c r="L1687" s="91"/>
      <c r="M1687" s="91"/>
      <c r="N1687" s="91"/>
      <c r="O1687" s="91"/>
      <c r="P1687" s="32"/>
      <c r="Q1687" s="20">
        <f t="shared" si="271"/>
        <v>0</v>
      </c>
    </row>
    <row r="1688" spans="1:17">
      <c r="A1688" s="150"/>
      <c r="B1688" s="153"/>
      <c r="C1688" s="117" t="s">
        <v>38</v>
      </c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89"/>
      <c r="O1688" s="89"/>
      <c r="P1688" s="28"/>
      <c r="Q1688" s="20">
        <f t="shared" si="271"/>
        <v>0</v>
      </c>
    </row>
    <row r="1689" spans="1:17">
      <c r="A1689" s="150"/>
      <c r="B1689" s="153"/>
      <c r="C1689" s="62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91"/>
      <c r="O1689" s="91"/>
      <c r="P1689" s="32"/>
      <c r="Q1689" s="20">
        <f t="shared" si="271"/>
        <v>0</v>
      </c>
    </row>
    <row r="1690" spans="1:17">
      <c r="A1690" s="150"/>
      <c r="B1690" s="154"/>
      <c r="C1690" s="6" t="s">
        <v>42</v>
      </c>
      <c r="D1690" s="92"/>
      <c r="E1690" s="92"/>
      <c r="F1690" s="92"/>
      <c r="G1690" s="92"/>
      <c r="H1690" s="92"/>
      <c r="I1690" s="92"/>
      <c r="J1690" s="92"/>
      <c r="K1690" s="92"/>
      <c r="L1690" s="92"/>
      <c r="M1690" s="92"/>
      <c r="N1690" s="92"/>
      <c r="O1690" s="92"/>
      <c r="P1690" s="33"/>
      <c r="Q1690" s="22">
        <f t="shared" si="271"/>
        <v>0</v>
      </c>
    </row>
    <row r="1691" spans="1:17">
      <c r="A1691" s="150"/>
      <c r="B1691" s="155" t="s">
        <v>11</v>
      </c>
      <c r="C1691" s="5" t="s">
        <v>7</v>
      </c>
      <c r="D1691" s="94"/>
      <c r="E1691" s="94"/>
      <c r="F1691" s="94"/>
      <c r="G1691" s="94"/>
      <c r="H1691" s="94"/>
      <c r="I1691" s="94"/>
      <c r="J1691" s="94"/>
      <c r="K1691" s="94"/>
      <c r="L1691" s="94"/>
      <c r="M1691" s="94"/>
      <c r="N1691" s="94"/>
      <c r="O1691" s="94"/>
      <c r="P1691" s="27"/>
      <c r="Q1691" s="21">
        <f t="shared" si="271"/>
        <v>0</v>
      </c>
    </row>
    <row r="1692" spans="1:17">
      <c r="A1692" s="150"/>
      <c r="B1692" s="153"/>
      <c r="C1692" s="6" t="s">
        <v>4</v>
      </c>
      <c r="D1692" s="91"/>
      <c r="E1692" s="91"/>
      <c r="F1692" s="91"/>
      <c r="G1692" s="91"/>
      <c r="H1692" s="91"/>
      <c r="I1692" s="91"/>
      <c r="J1692" s="91"/>
      <c r="K1692" s="91"/>
      <c r="L1692" s="91"/>
      <c r="M1692" s="91"/>
      <c r="N1692" s="91"/>
      <c r="O1692" s="91"/>
      <c r="P1692" s="32"/>
      <c r="Q1692" s="20">
        <f t="shared" si="271"/>
        <v>0</v>
      </c>
    </row>
    <row r="1693" spans="1:17">
      <c r="A1693" s="150"/>
      <c r="B1693" s="153"/>
      <c r="C1693" s="6" t="s">
        <v>17</v>
      </c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91"/>
      <c r="O1693" s="91"/>
      <c r="P1693" s="32"/>
      <c r="Q1693" s="20">
        <f t="shared" si="271"/>
        <v>0</v>
      </c>
    </row>
    <row r="1694" spans="1:17">
      <c r="A1694" s="150"/>
      <c r="B1694" s="153"/>
      <c r="C1694" s="6" t="s">
        <v>18</v>
      </c>
      <c r="D1694" s="91"/>
      <c r="E1694" s="91"/>
      <c r="F1694" s="91"/>
      <c r="G1694" s="91"/>
      <c r="H1694" s="91"/>
      <c r="I1694" s="91"/>
      <c r="J1694" s="91"/>
      <c r="K1694" s="91"/>
      <c r="L1694" s="91"/>
      <c r="M1694" s="91"/>
      <c r="N1694" s="91"/>
      <c r="O1694" s="91"/>
      <c r="P1694" s="32"/>
      <c r="Q1694" s="20">
        <f t="shared" si="271"/>
        <v>0</v>
      </c>
    </row>
    <row r="1695" spans="1:17">
      <c r="A1695" s="150"/>
      <c r="B1695" s="153"/>
      <c r="C1695" s="6" t="s">
        <v>60</v>
      </c>
      <c r="D1695" s="91"/>
      <c r="E1695" s="91"/>
      <c r="F1695" s="91"/>
      <c r="G1695" s="91"/>
      <c r="H1695" s="91"/>
      <c r="I1695" s="91"/>
      <c r="J1695" s="91"/>
      <c r="K1695" s="91"/>
      <c r="L1695" s="91"/>
      <c r="M1695" s="91"/>
      <c r="N1695" s="91"/>
      <c r="O1695" s="91"/>
      <c r="P1695" s="32"/>
      <c r="Q1695" s="20">
        <f t="shared" si="271"/>
        <v>0</v>
      </c>
    </row>
    <row r="1696" spans="1:17">
      <c r="A1696" s="150"/>
      <c r="B1696" s="155" t="s">
        <v>13</v>
      </c>
      <c r="C1696" s="5" t="s">
        <v>10</v>
      </c>
      <c r="D1696" s="94"/>
      <c r="E1696" s="94"/>
      <c r="F1696" s="94"/>
      <c r="G1696" s="94"/>
      <c r="H1696" s="94"/>
      <c r="I1696" s="94"/>
      <c r="J1696" s="94"/>
      <c r="K1696" s="94"/>
      <c r="L1696" s="94"/>
      <c r="M1696" s="94"/>
      <c r="N1696" s="94"/>
      <c r="O1696" s="94"/>
      <c r="P1696" s="27"/>
      <c r="Q1696" s="21">
        <f t="shared" si="271"/>
        <v>0</v>
      </c>
    </row>
    <row r="1697" spans="1:17">
      <c r="A1697" s="150"/>
      <c r="B1697" s="153"/>
      <c r="C1697" s="116" t="s">
        <v>55</v>
      </c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89"/>
      <c r="O1697" s="89"/>
      <c r="P1697" s="28"/>
      <c r="Q1697" s="20">
        <f t="shared" si="271"/>
        <v>0</v>
      </c>
    </row>
    <row r="1698" spans="1:17">
      <c r="A1698" s="150"/>
      <c r="B1698" s="153"/>
      <c r="C1698" s="8" t="s">
        <v>56</v>
      </c>
      <c r="D1698" s="89"/>
      <c r="E1698" s="89"/>
      <c r="F1698" s="89"/>
      <c r="G1698" s="89"/>
      <c r="H1698" s="89"/>
      <c r="I1698" s="89"/>
      <c r="J1698" s="89"/>
      <c r="K1698" s="89"/>
      <c r="L1698" s="89"/>
      <c r="M1698" s="89"/>
      <c r="N1698" s="89"/>
      <c r="O1698" s="89"/>
      <c r="P1698" s="28"/>
      <c r="Q1698" s="20">
        <f t="shared" si="271"/>
        <v>0</v>
      </c>
    </row>
    <row r="1699" spans="1:17">
      <c r="A1699" s="150"/>
      <c r="B1699" s="154"/>
      <c r="C1699" s="4" t="s">
        <v>61</v>
      </c>
      <c r="D1699" s="92"/>
      <c r="E1699" s="92"/>
      <c r="F1699" s="92"/>
      <c r="G1699" s="92"/>
      <c r="H1699" s="92"/>
      <c r="I1699" s="92"/>
      <c r="J1699" s="92"/>
      <c r="K1699" s="92"/>
      <c r="L1699" s="92"/>
      <c r="M1699" s="92"/>
      <c r="N1699" s="92"/>
      <c r="O1699" s="92"/>
      <c r="P1699" s="33"/>
      <c r="Q1699" s="22">
        <f t="shared" si="271"/>
        <v>0</v>
      </c>
    </row>
    <row r="1700" spans="1:17">
      <c r="A1700" s="150"/>
      <c r="B1700" s="156" t="s">
        <v>54</v>
      </c>
      <c r="C1700" s="157"/>
      <c r="D1700" s="56">
        <f t="shared" ref="D1700:O1700" si="273">SUM(D1686:D1690)-SUM(D1694:D1695)</f>
        <v>0</v>
      </c>
      <c r="E1700" s="56">
        <f t="shared" si="273"/>
        <v>0</v>
      </c>
      <c r="F1700" s="56">
        <f t="shared" si="273"/>
        <v>0</v>
      </c>
      <c r="G1700" s="56">
        <f t="shared" si="273"/>
        <v>0</v>
      </c>
      <c r="H1700" s="56">
        <f t="shared" si="273"/>
        <v>0</v>
      </c>
      <c r="I1700" s="56">
        <f t="shared" si="273"/>
        <v>0</v>
      </c>
      <c r="J1700" s="56">
        <f t="shared" si="273"/>
        <v>0</v>
      </c>
      <c r="K1700" s="56">
        <f t="shared" si="273"/>
        <v>0</v>
      </c>
      <c r="L1700" s="56">
        <f t="shared" si="273"/>
        <v>0</v>
      </c>
      <c r="M1700" s="56">
        <f t="shared" si="273"/>
        <v>0</v>
      </c>
      <c r="N1700" s="56">
        <f t="shared" si="273"/>
        <v>0</v>
      </c>
      <c r="O1700" s="56">
        <f t="shared" si="273"/>
        <v>0</v>
      </c>
      <c r="P1700" s="58">
        <f>SUM(P1684:P1690)-SUM(P1694:P1695)</f>
        <v>0</v>
      </c>
      <c r="Q1700" s="59">
        <f t="shared" si="271"/>
        <v>0</v>
      </c>
    </row>
    <row r="1701" spans="1:17" ht="14.25" thickBot="1">
      <c r="A1701" s="151"/>
      <c r="B1701" s="147" t="s">
        <v>5</v>
      </c>
      <c r="C1701" s="148"/>
      <c r="D1701" s="42">
        <f t="shared" ref="D1701:O1701" si="274">SUM(D1686:D1690)-SUM(D1691:D1695)+SUM(D1696:D1699)</f>
        <v>0</v>
      </c>
      <c r="E1701" s="42">
        <f t="shared" si="274"/>
        <v>0</v>
      </c>
      <c r="F1701" s="42">
        <f t="shared" si="274"/>
        <v>0</v>
      </c>
      <c r="G1701" s="42">
        <f t="shared" si="274"/>
        <v>0</v>
      </c>
      <c r="H1701" s="42">
        <f t="shared" si="274"/>
        <v>0</v>
      </c>
      <c r="I1701" s="42">
        <f t="shared" si="274"/>
        <v>0</v>
      </c>
      <c r="J1701" s="42">
        <f t="shared" si="274"/>
        <v>0</v>
      </c>
      <c r="K1701" s="42">
        <f t="shared" si="274"/>
        <v>0</v>
      </c>
      <c r="L1701" s="42">
        <f t="shared" si="274"/>
        <v>0</v>
      </c>
      <c r="M1701" s="42">
        <f t="shared" si="274"/>
        <v>0</v>
      </c>
      <c r="N1701" s="42">
        <f t="shared" si="274"/>
        <v>0</v>
      </c>
      <c r="O1701" s="42">
        <f t="shared" si="274"/>
        <v>0</v>
      </c>
      <c r="P1701" s="44">
        <f>SUM(P1684:P1690)-SUM(P1691:P1695)+SUM(P1696:P1699)</f>
        <v>0</v>
      </c>
      <c r="Q1701" s="46">
        <f t="shared" si="271"/>
        <v>0</v>
      </c>
    </row>
    <row r="1702" spans="1:17">
      <c r="A1702" s="149"/>
      <c r="B1702" s="152" t="s">
        <v>12</v>
      </c>
      <c r="C1702" s="114" t="s">
        <v>84</v>
      </c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87"/>
      <c r="O1702" s="87"/>
      <c r="P1702" s="30"/>
      <c r="Q1702" s="19">
        <f t="shared" si="271"/>
        <v>0</v>
      </c>
    </row>
    <row r="1703" spans="1:17">
      <c r="A1703" s="150"/>
      <c r="B1703" s="153"/>
      <c r="C1703" s="115" t="s">
        <v>85</v>
      </c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28"/>
      <c r="Q1703" s="20">
        <f t="shared" si="271"/>
        <v>0</v>
      </c>
    </row>
    <row r="1704" spans="1:17">
      <c r="A1704" s="150"/>
      <c r="B1704" s="153"/>
      <c r="C1704" s="116" t="s">
        <v>86</v>
      </c>
      <c r="D1704" s="91">
        <f>D1702*D1703</f>
        <v>0</v>
      </c>
      <c r="E1704" s="91">
        <f>E1702*E1703</f>
        <v>0</v>
      </c>
      <c r="F1704" s="91">
        <f>F1702*F1703</f>
        <v>0</v>
      </c>
      <c r="G1704" s="91">
        <f>G1702*G1703</f>
        <v>0</v>
      </c>
      <c r="H1704" s="91">
        <f>H1702*H1703</f>
        <v>0</v>
      </c>
      <c r="I1704" s="91">
        <f t="shared" ref="I1704:O1704" si="275">I1702*I1703</f>
        <v>0</v>
      </c>
      <c r="J1704" s="91">
        <f t="shared" si="275"/>
        <v>0</v>
      </c>
      <c r="K1704" s="91">
        <f t="shared" si="275"/>
        <v>0</v>
      </c>
      <c r="L1704" s="91">
        <f t="shared" si="275"/>
        <v>0</v>
      </c>
      <c r="M1704" s="91">
        <f t="shared" si="275"/>
        <v>0</v>
      </c>
      <c r="N1704" s="91">
        <f t="shared" si="275"/>
        <v>0</v>
      </c>
      <c r="O1704" s="91">
        <f t="shared" si="275"/>
        <v>0</v>
      </c>
      <c r="P1704" s="32"/>
      <c r="Q1704" s="20">
        <f t="shared" si="271"/>
        <v>0</v>
      </c>
    </row>
    <row r="1705" spans="1:17">
      <c r="A1705" s="150"/>
      <c r="B1705" s="153"/>
      <c r="C1705" s="117" t="s">
        <v>9</v>
      </c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32"/>
      <c r="Q1705" s="20">
        <f t="shared" si="271"/>
        <v>0</v>
      </c>
    </row>
    <row r="1706" spans="1:17">
      <c r="A1706" s="150"/>
      <c r="B1706" s="153"/>
      <c r="C1706" s="117" t="s">
        <v>38</v>
      </c>
      <c r="D1706" s="89"/>
      <c r="E1706" s="89"/>
      <c r="F1706" s="89"/>
      <c r="G1706" s="89"/>
      <c r="H1706" s="89"/>
      <c r="I1706" s="89"/>
      <c r="J1706" s="89"/>
      <c r="K1706" s="89"/>
      <c r="L1706" s="89"/>
      <c r="M1706" s="89"/>
      <c r="N1706" s="89"/>
      <c r="O1706" s="89"/>
      <c r="P1706" s="28"/>
      <c r="Q1706" s="20">
        <f t="shared" si="271"/>
        <v>0</v>
      </c>
    </row>
    <row r="1707" spans="1:17">
      <c r="A1707" s="150"/>
      <c r="B1707" s="153"/>
      <c r="C1707" s="62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32"/>
      <c r="Q1707" s="20">
        <f t="shared" si="271"/>
        <v>0</v>
      </c>
    </row>
    <row r="1708" spans="1:17">
      <c r="A1708" s="150"/>
      <c r="B1708" s="154"/>
      <c r="C1708" s="6" t="s">
        <v>42</v>
      </c>
      <c r="D1708" s="92"/>
      <c r="E1708" s="92"/>
      <c r="F1708" s="92"/>
      <c r="G1708" s="92"/>
      <c r="H1708" s="92"/>
      <c r="I1708" s="92"/>
      <c r="J1708" s="92"/>
      <c r="K1708" s="92"/>
      <c r="L1708" s="92"/>
      <c r="M1708" s="92"/>
      <c r="N1708" s="92"/>
      <c r="O1708" s="92"/>
      <c r="P1708" s="33"/>
      <c r="Q1708" s="22">
        <f t="shared" si="271"/>
        <v>0</v>
      </c>
    </row>
    <row r="1709" spans="1:17">
      <c r="A1709" s="150"/>
      <c r="B1709" s="155" t="s">
        <v>11</v>
      </c>
      <c r="C1709" s="5" t="s">
        <v>7</v>
      </c>
      <c r="D1709" s="94"/>
      <c r="E1709" s="94"/>
      <c r="F1709" s="94"/>
      <c r="G1709" s="94"/>
      <c r="H1709" s="94"/>
      <c r="I1709" s="94"/>
      <c r="J1709" s="94"/>
      <c r="K1709" s="94"/>
      <c r="L1709" s="94"/>
      <c r="M1709" s="94"/>
      <c r="N1709" s="94"/>
      <c r="O1709" s="94"/>
      <c r="P1709" s="27"/>
      <c r="Q1709" s="21">
        <f t="shared" si="271"/>
        <v>0</v>
      </c>
    </row>
    <row r="1710" spans="1:17">
      <c r="A1710" s="150"/>
      <c r="B1710" s="153"/>
      <c r="C1710" s="6" t="s">
        <v>4</v>
      </c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32"/>
      <c r="Q1710" s="20">
        <f t="shared" si="271"/>
        <v>0</v>
      </c>
    </row>
    <row r="1711" spans="1:17">
      <c r="A1711" s="150"/>
      <c r="B1711" s="153"/>
      <c r="C1711" s="6" t="s">
        <v>17</v>
      </c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32"/>
      <c r="Q1711" s="20">
        <f t="shared" si="271"/>
        <v>0</v>
      </c>
    </row>
    <row r="1712" spans="1:17">
      <c r="A1712" s="150"/>
      <c r="B1712" s="153"/>
      <c r="C1712" s="6" t="s">
        <v>18</v>
      </c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32"/>
      <c r="Q1712" s="20">
        <f t="shared" si="271"/>
        <v>0</v>
      </c>
    </row>
    <row r="1713" spans="1:17">
      <c r="A1713" s="150"/>
      <c r="B1713" s="153"/>
      <c r="C1713" s="6" t="s">
        <v>60</v>
      </c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1"/>
      <c r="O1713" s="91"/>
      <c r="P1713" s="32"/>
      <c r="Q1713" s="20">
        <f t="shared" si="271"/>
        <v>0</v>
      </c>
    </row>
    <row r="1714" spans="1:17">
      <c r="A1714" s="150"/>
      <c r="B1714" s="155" t="s">
        <v>13</v>
      </c>
      <c r="C1714" s="5" t="s">
        <v>10</v>
      </c>
      <c r="D1714" s="94"/>
      <c r="E1714" s="94"/>
      <c r="F1714" s="94"/>
      <c r="G1714" s="94"/>
      <c r="H1714" s="94"/>
      <c r="I1714" s="94"/>
      <c r="J1714" s="94"/>
      <c r="K1714" s="94"/>
      <c r="L1714" s="94"/>
      <c r="M1714" s="94"/>
      <c r="N1714" s="94"/>
      <c r="O1714" s="94"/>
      <c r="P1714" s="27"/>
      <c r="Q1714" s="21">
        <f t="shared" si="271"/>
        <v>0</v>
      </c>
    </row>
    <row r="1715" spans="1:17">
      <c r="A1715" s="150"/>
      <c r="B1715" s="153"/>
      <c r="C1715" s="116" t="s">
        <v>55</v>
      </c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89"/>
      <c r="O1715" s="89"/>
      <c r="P1715" s="28"/>
      <c r="Q1715" s="20">
        <f t="shared" si="271"/>
        <v>0</v>
      </c>
    </row>
    <row r="1716" spans="1:17">
      <c r="A1716" s="150"/>
      <c r="B1716" s="153"/>
      <c r="C1716" s="8" t="s">
        <v>56</v>
      </c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89"/>
      <c r="O1716" s="89"/>
      <c r="P1716" s="28"/>
      <c r="Q1716" s="20">
        <f t="shared" si="271"/>
        <v>0</v>
      </c>
    </row>
    <row r="1717" spans="1:17">
      <c r="A1717" s="150"/>
      <c r="B1717" s="154"/>
      <c r="C1717" s="4" t="s">
        <v>61</v>
      </c>
      <c r="D1717" s="92"/>
      <c r="E1717" s="92"/>
      <c r="F1717" s="92"/>
      <c r="G1717" s="92"/>
      <c r="H1717" s="92"/>
      <c r="I1717" s="92"/>
      <c r="J1717" s="92"/>
      <c r="K1717" s="92"/>
      <c r="L1717" s="92"/>
      <c r="M1717" s="92"/>
      <c r="N1717" s="92"/>
      <c r="O1717" s="92"/>
      <c r="P1717" s="33"/>
      <c r="Q1717" s="22">
        <f t="shared" si="271"/>
        <v>0</v>
      </c>
    </row>
    <row r="1718" spans="1:17">
      <c r="A1718" s="150"/>
      <c r="B1718" s="156" t="s">
        <v>54</v>
      </c>
      <c r="C1718" s="157"/>
      <c r="D1718" s="56">
        <f t="shared" ref="D1718:O1718" si="276">SUM(D1704:D1708)-SUM(D1712:D1713)</f>
        <v>0</v>
      </c>
      <c r="E1718" s="56">
        <f t="shared" si="276"/>
        <v>0</v>
      </c>
      <c r="F1718" s="56">
        <f t="shared" si="276"/>
        <v>0</v>
      </c>
      <c r="G1718" s="56">
        <f t="shared" si="276"/>
        <v>0</v>
      </c>
      <c r="H1718" s="56">
        <f t="shared" si="276"/>
        <v>0</v>
      </c>
      <c r="I1718" s="56">
        <f t="shared" si="276"/>
        <v>0</v>
      </c>
      <c r="J1718" s="56">
        <f t="shared" si="276"/>
        <v>0</v>
      </c>
      <c r="K1718" s="56">
        <f t="shared" si="276"/>
        <v>0</v>
      </c>
      <c r="L1718" s="56">
        <f t="shared" si="276"/>
        <v>0</v>
      </c>
      <c r="M1718" s="56">
        <f t="shared" si="276"/>
        <v>0</v>
      </c>
      <c r="N1718" s="56">
        <f t="shared" si="276"/>
        <v>0</v>
      </c>
      <c r="O1718" s="56">
        <f t="shared" si="276"/>
        <v>0</v>
      </c>
      <c r="P1718" s="58">
        <f>SUM(P1702:P1708)-SUM(P1712:P1713)</f>
        <v>0</v>
      </c>
      <c r="Q1718" s="59">
        <f t="shared" si="271"/>
        <v>0</v>
      </c>
    </row>
    <row r="1719" spans="1:17" ht="14.25" thickBot="1">
      <c r="A1719" s="151"/>
      <c r="B1719" s="147" t="s">
        <v>5</v>
      </c>
      <c r="C1719" s="148"/>
      <c r="D1719" s="42">
        <f t="shared" ref="D1719:O1719" si="277">SUM(D1704:D1708)-SUM(D1709:D1713)+SUM(D1714:D1717)</f>
        <v>0</v>
      </c>
      <c r="E1719" s="42">
        <f t="shared" si="277"/>
        <v>0</v>
      </c>
      <c r="F1719" s="42">
        <f t="shared" si="277"/>
        <v>0</v>
      </c>
      <c r="G1719" s="42">
        <f t="shared" si="277"/>
        <v>0</v>
      </c>
      <c r="H1719" s="42">
        <f t="shared" si="277"/>
        <v>0</v>
      </c>
      <c r="I1719" s="42">
        <f t="shared" si="277"/>
        <v>0</v>
      </c>
      <c r="J1719" s="42">
        <f t="shared" si="277"/>
        <v>0</v>
      </c>
      <c r="K1719" s="42">
        <f t="shared" si="277"/>
        <v>0</v>
      </c>
      <c r="L1719" s="42">
        <f t="shared" si="277"/>
        <v>0</v>
      </c>
      <c r="M1719" s="42">
        <f t="shared" si="277"/>
        <v>0</v>
      </c>
      <c r="N1719" s="42">
        <f t="shared" si="277"/>
        <v>0</v>
      </c>
      <c r="O1719" s="42">
        <f t="shared" si="277"/>
        <v>0</v>
      </c>
      <c r="P1719" s="44">
        <f>SUM(P1702:P1708)-SUM(P1709:P1713)+SUM(P1714:P1717)</f>
        <v>0</v>
      </c>
      <c r="Q1719" s="46">
        <f t="shared" si="271"/>
        <v>0</v>
      </c>
    </row>
    <row r="1720" spans="1:17">
      <c r="A1720" s="149"/>
      <c r="B1720" s="152" t="s">
        <v>12</v>
      </c>
      <c r="C1720" s="114" t="s">
        <v>84</v>
      </c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87"/>
      <c r="O1720" s="87"/>
      <c r="P1720" s="30"/>
      <c r="Q1720" s="19">
        <f t="shared" si="271"/>
        <v>0</v>
      </c>
    </row>
    <row r="1721" spans="1:17">
      <c r="A1721" s="150"/>
      <c r="B1721" s="153"/>
      <c r="C1721" s="115" t="s">
        <v>85</v>
      </c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28"/>
      <c r="Q1721" s="20">
        <f t="shared" si="271"/>
        <v>0</v>
      </c>
    </row>
    <row r="1722" spans="1:17">
      <c r="A1722" s="150"/>
      <c r="B1722" s="153"/>
      <c r="C1722" s="116" t="s">
        <v>86</v>
      </c>
      <c r="D1722" s="91">
        <f>D1720*D1721</f>
        <v>0</v>
      </c>
      <c r="E1722" s="91">
        <f>E1720*E1721</f>
        <v>0</v>
      </c>
      <c r="F1722" s="91">
        <f>F1720*F1721</f>
        <v>0</v>
      </c>
      <c r="G1722" s="91">
        <f>G1720*G1721</f>
        <v>0</v>
      </c>
      <c r="H1722" s="91">
        <f>H1720*H1721</f>
        <v>0</v>
      </c>
      <c r="I1722" s="91">
        <f t="shared" ref="I1722:O1722" si="278">I1720*I1721</f>
        <v>0</v>
      </c>
      <c r="J1722" s="91">
        <f t="shared" si="278"/>
        <v>0</v>
      </c>
      <c r="K1722" s="91">
        <f t="shared" si="278"/>
        <v>0</v>
      </c>
      <c r="L1722" s="91">
        <f t="shared" si="278"/>
        <v>0</v>
      </c>
      <c r="M1722" s="91">
        <f t="shared" si="278"/>
        <v>0</v>
      </c>
      <c r="N1722" s="91">
        <f t="shared" si="278"/>
        <v>0</v>
      </c>
      <c r="O1722" s="91">
        <f t="shared" si="278"/>
        <v>0</v>
      </c>
      <c r="P1722" s="32"/>
      <c r="Q1722" s="20">
        <f t="shared" si="271"/>
        <v>0</v>
      </c>
    </row>
    <row r="1723" spans="1:17">
      <c r="A1723" s="150"/>
      <c r="B1723" s="153"/>
      <c r="C1723" s="117" t="s">
        <v>9</v>
      </c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1"/>
      <c r="O1723" s="91"/>
      <c r="P1723" s="32"/>
      <c r="Q1723" s="20">
        <f t="shared" si="271"/>
        <v>0</v>
      </c>
    </row>
    <row r="1724" spans="1:17">
      <c r="A1724" s="150"/>
      <c r="B1724" s="153"/>
      <c r="C1724" s="117" t="s">
        <v>38</v>
      </c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89"/>
      <c r="O1724" s="89"/>
      <c r="P1724" s="28"/>
      <c r="Q1724" s="20">
        <f t="shared" si="271"/>
        <v>0</v>
      </c>
    </row>
    <row r="1725" spans="1:17">
      <c r="A1725" s="150"/>
      <c r="B1725" s="153"/>
      <c r="C1725" s="62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1"/>
      <c r="O1725" s="91"/>
      <c r="P1725" s="32"/>
      <c r="Q1725" s="20">
        <f t="shared" si="271"/>
        <v>0</v>
      </c>
    </row>
    <row r="1726" spans="1:17">
      <c r="A1726" s="150"/>
      <c r="B1726" s="154"/>
      <c r="C1726" s="6" t="s">
        <v>42</v>
      </c>
      <c r="D1726" s="92"/>
      <c r="E1726" s="92"/>
      <c r="F1726" s="92"/>
      <c r="G1726" s="92"/>
      <c r="H1726" s="92"/>
      <c r="I1726" s="92"/>
      <c r="J1726" s="92"/>
      <c r="K1726" s="92"/>
      <c r="L1726" s="92"/>
      <c r="M1726" s="92"/>
      <c r="N1726" s="92"/>
      <c r="O1726" s="92"/>
      <c r="P1726" s="33"/>
      <c r="Q1726" s="22">
        <f t="shared" si="271"/>
        <v>0</v>
      </c>
    </row>
    <row r="1727" spans="1:17">
      <c r="A1727" s="150"/>
      <c r="B1727" s="155" t="s">
        <v>11</v>
      </c>
      <c r="C1727" s="5" t="s">
        <v>7</v>
      </c>
      <c r="D1727" s="94"/>
      <c r="E1727" s="94"/>
      <c r="F1727" s="94"/>
      <c r="G1727" s="94"/>
      <c r="H1727" s="94"/>
      <c r="I1727" s="94"/>
      <c r="J1727" s="94"/>
      <c r="K1727" s="94"/>
      <c r="L1727" s="94"/>
      <c r="M1727" s="94"/>
      <c r="N1727" s="94"/>
      <c r="O1727" s="94"/>
      <c r="P1727" s="27"/>
      <c r="Q1727" s="21">
        <f t="shared" si="271"/>
        <v>0</v>
      </c>
    </row>
    <row r="1728" spans="1:17">
      <c r="A1728" s="150"/>
      <c r="B1728" s="153"/>
      <c r="C1728" s="6" t="s">
        <v>4</v>
      </c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32"/>
      <c r="Q1728" s="20">
        <f t="shared" si="271"/>
        <v>0</v>
      </c>
    </row>
    <row r="1729" spans="1:17">
      <c r="A1729" s="150"/>
      <c r="B1729" s="153"/>
      <c r="C1729" s="6" t="s">
        <v>17</v>
      </c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32"/>
      <c r="Q1729" s="20">
        <f t="shared" si="271"/>
        <v>0</v>
      </c>
    </row>
    <row r="1730" spans="1:17">
      <c r="A1730" s="150"/>
      <c r="B1730" s="153"/>
      <c r="C1730" s="6" t="s">
        <v>18</v>
      </c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32"/>
      <c r="Q1730" s="20">
        <f t="shared" si="271"/>
        <v>0</v>
      </c>
    </row>
    <row r="1731" spans="1:17">
      <c r="A1731" s="150"/>
      <c r="B1731" s="153"/>
      <c r="C1731" s="6" t="s">
        <v>60</v>
      </c>
      <c r="D1731" s="91"/>
      <c r="E1731" s="91"/>
      <c r="F1731" s="91"/>
      <c r="G1731" s="91"/>
      <c r="H1731" s="91"/>
      <c r="I1731" s="91"/>
      <c r="J1731" s="91"/>
      <c r="K1731" s="91"/>
      <c r="L1731" s="91"/>
      <c r="M1731" s="91"/>
      <c r="N1731" s="91"/>
      <c r="O1731" s="91"/>
      <c r="P1731" s="32"/>
      <c r="Q1731" s="20">
        <f t="shared" si="271"/>
        <v>0</v>
      </c>
    </row>
    <row r="1732" spans="1:17">
      <c r="A1732" s="150"/>
      <c r="B1732" s="155" t="s">
        <v>13</v>
      </c>
      <c r="C1732" s="5" t="s">
        <v>10</v>
      </c>
      <c r="D1732" s="94"/>
      <c r="E1732" s="94"/>
      <c r="F1732" s="94"/>
      <c r="G1732" s="94"/>
      <c r="H1732" s="94"/>
      <c r="I1732" s="94"/>
      <c r="J1732" s="94"/>
      <c r="K1732" s="94"/>
      <c r="L1732" s="94"/>
      <c r="M1732" s="94"/>
      <c r="N1732" s="94"/>
      <c r="O1732" s="94"/>
      <c r="P1732" s="27"/>
      <c r="Q1732" s="21">
        <f t="shared" si="271"/>
        <v>0</v>
      </c>
    </row>
    <row r="1733" spans="1:17">
      <c r="A1733" s="150"/>
      <c r="B1733" s="153"/>
      <c r="C1733" s="116" t="s">
        <v>55</v>
      </c>
      <c r="D1733" s="89"/>
      <c r="E1733" s="89"/>
      <c r="F1733" s="89"/>
      <c r="G1733" s="89"/>
      <c r="H1733" s="89"/>
      <c r="I1733" s="89"/>
      <c r="J1733" s="89"/>
      <c r="K1733" s="89"/>
      <c r="L1733" s="89"/>
      <c r="M1733" s="89"/>
      <c r="N1733" s="89"/>
      <c r="O1733" s="89"/>
      <c r="P1733" s="28"/>
      <c r="Q1733" s="20">
        <f t="shared" si="271"/>
        <v>0</v>
      </c>
    </row>
    <row r="1734" spans="1:17">
      <c r="A1734" s="150"/>
      <c r="B1734" s="153"/>
      <c r="C1734" s="8" t="s">
        <v>56</v>
      </c>
      <c r="D1734" s="89"/>
      <c r="E1734" s="89"/>
      <c r="F1734" s="89"/>
      <c r="G1734" s="89"/>
      <c r="H1734" s="89"/>
      <c r="I1734" s="89"/>
      <c r="J1734" s="89"/>
      <c r="K1734" s="89"/>
      <c r="L1734" s="89"/>
      <c r="M1734" s="89"/>
      <c r="N1734" s="89"/>
      <c r="O1734" s="89"/>
      <c r="P1734" s="28"/>
      <c r="Q1734" s="20">
        <f t="shared" si="271"/>
        <v>0</v>
      </c>
    </row>
    <row r="1735" spans="1:17">
      <c r="A1735" s="150"/>
      <c r="B1735" s="154"/>
      <c r="C1735" s="4" t="s">
        <v>61</v>
      </c>
      <c r="D1735" s="92"/>
      <c r="E1735" s="92"/>
      <c r="F1735" s="92"/>
      <c r="G1735" s="92"/>
      <c r="H1735" s="92"/>
      <c r="I1735" s="92"/>
      <c r="J1735" s="92"/>
      <c r="K1735" s="92"/>
      <c r="L1735" s="92"/>
      <c r="M1735" s="92"/>
      <c r="N1735" s="92"/>
      <c r="O1735" s="92"/>
      <c r="P1735" s="33"/>
      <c r="Q1735" s="22">
        <f t="shared" si="271"/>
        <v>0</v>
      </c>
    </row>
    <row r="1736" spans="1:17">
      <c r="A1736" s="150"/>
      <c r="B1736" s="156" t="s">
        <v>54</v>
      </c>
      <c r="C1736" s="157"/>
      <c r="D1736" s="56">
        <f t="shared" ref="D1736:O1736" si="279">SUM(D1722:D1726)-SUM(D1730:D1731)</f>
        <v>0</v>
      </c>
      <c r="E1736" s="56">
        <f t="shared" si="279"/>
        <v>0</v>
      </c>
      <c r="F1736" s="56">
        <f t="shared" si="279"/>
        <v>0</v>
      </c>
      <c r="G1736" s="56">
        <f t="shared" si="279"/>
        <v>0</v>
      </c>
      <c r="H1736" s="56">
        <f t="shared" si="279"/>
        <v>0</v>
      </c>
      <c r="I1736" s="56">
        <f t="shared" si="279"/>
        <v>0</v>
      </c>
      <c r="J1736" s="56">
        <f t="shared" si="279"/>
        <v>0</v>
      </c>
      <c r="K1736" s="56">
        <f t="shared" si="279"/>
        <v>0</v>
      </c>
      <c r="L1736" s="56">
        <f t="shared" si="279"/>
        <v>0</v>
      </c>
      <c r="M1736" s="56">
        <f t="shared" si="279"/>
        <v>0</v>
      </c>
      <c r="N1736" s="56">
        <f t="shared" si="279"/>
        <v>0</v>
      </c>
      <c r="O1736" s="56">
        <f t="shared" si="279"/>
        <v>0</v>
      </c>
      <c r="P1736" s="58">
        <f>SUM(P1720:P1726)-SUM(P1730:P1731)</f>
        <v>0</v>
      </c>
      <c r="Q1736" s="59">
        <f t="shared" si="271"/>
        <v>0</v>
      </c>
    </row>
    <row r="1737" spans="1:17" ht="14.25" thickBot="1">
      <c r="A1737" s="151"/>
      <c r="B1737" s="147" t="s">
        <v>5</v>
      </c>
      <c r="C1737" s="148"/>
      <c r="D1737" s="42">
        <f t="shared" ref="D1737:O1737" si="280">SUM(D1722:D1726)-SUM(D1727:D1731)+SUM(D1732:D1735)</f>
        <v>0</v>
      </c>
      <c r="E1737" s="42">
        <f t="shared" si="280"/>
        <v>0</v>
      </c>
      <c r="F1737" s="42">
        <f t="shared" si="280"/>
        <v>0</v>
      </c>
      <c r="G1737" s="42">
        <f t="shared" si="280"/>
        <v>0</v>
      </c>
      <c r="H1737" s="42">
        <f t="shared" si="280"/>
        <v>0</v>
      </c>
      <c r="I1737" s="42">
        <f t="shared" si="280"/>
        <v>0</v>
      </c>
      <c r="J1737" s="42">
        <f t="shared" si="280"/>
        <v>0</v>
      </c>
      <c r="K1737" s="42">
        <f t="shared" si="280"/>
        <v>0</v>
      </c>
      <c r="L1737" s="42">
        <f t="shared" si="280"/>
        <v>0</v>
      </c>
      <c r="M1737" s="42">
        <f t="shared" si="280"/>
        <v>0</v>
      </c>
      <c r="N1737" s="42">
        <f t="shared" si="280"/>
        <v>0</v>
      </c>
      <c r="O1737" s="42">
        <f t="shared" si="280"/>
        <v>0</v>
      </c>
      <c r="P1737" s="44">
        <f>SUM(P1720:P1726)-SUM(P1727:P1731)+SUM(P1732:P1735)</f>
        <v>0</v>
      </c>
      <c r="Q1737" s="46">
        <f t="shared" si="271"/>
        <v>0</v>
      </c>
    </row>
    <row r="1738" spans="1:17">
      <c r="A1738" s="149"/>
      <c r="B1738" s="152" t="s">
        <v>12</v>
      </c>
      <c r="C1738" s="114" t="s">
        <v>84</v>
      </c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87"/>
      <c r="O1738" s="87"/>
      <c r="P1738" s="30"/>
      <c r="Q1738" s="19">
        <f t="shared" si="271"/>
        <v>0</v>
      </c>
    </row>
    <row r="1739" spans="1:17">
      <c r="A1739" s="150"/>
      <c r="B1739" s="153"/>
      <c r="C1739" s="115" t="s">
        <v>85</v>
      </c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28"/>
      <c r="Q1739" s="20">
        <f t="shared" si="271"/>
        <v>0</v>
      </c>
    </row>
    <row r="1740" spans="1:17">
      <c r="A1740" s="150"/>
      <c r="B1740" s="153"/>
      <c r="C1740" s="116" t="s">
        <v>86</v>
      </c>
      <c r="D1740" s="91">
        <f>D1738*D1739</f>
        <v>0</v>
      </c>
      <c r="E1740" s="91">
        <f>E1738*E1739</f>
        <v>0</v>
      </c>
      <c r="F1740" s="91">
        <f>F1738*F1739</f>
        <v>0</v>
      </c>
      <c r="G1740" s="91">
        <f>G1738*G1739</f>
        <v>0</v>
      </c>
      <c r="H1740" s="91">
        <f>H1738*H1739</f>
        <v>0</v>
      </c>
      <c r="I1740" s="91">
        <f t="shared" ref="I1740:O1740" si="281">I1738*I1739</f>
        <v>0</v>
      </c>
      <c r="J1740" s="91">
        <f t="shared" si="281"/>
        <v>0</v>
      </c>
      <c r="K1740" s="91">
        <f t="shared" si="281"/>
        <v>0</v>
      </c>
      <c r="L1740" s="91">
        <f t="shared" si="281"/>
        <v>0</v>
      </c>
      <c r="M1740" s="91">
        <f t="shared" si="281"/>
        <v>0</v>
      </c>
      <c r="N1740" s="91">
        <f t="shared" si="281"/>
        <v>0</v>
      </c>
      <c r="O1740" s="91">
        <f t="shared" si="281"/>
        <v>0</v>
      </c>
      <c r="P1740" s="32"/>
      <c r="Q1740" s="20">
        <f t="shared" si="271"/>
        <v>0</v>
      </c>
    </row>
    <row r="1741" spans="1:17">
      <c r="A1741" s="150"/>
      <c r="B1741" s="153"/>
      <c r="C1741" s="117" t="s">
        <v>9</v>
      </c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32"/>
      <c r="Q1741" s="20">
        <f t="shared" si="271"/>
        <v>0</v>
      </c>
    </row>
    <row r="1742" spans="1:17">
      <c r="A1742" s="150"/>
      <c r="B1742" s="153"/>
      <c r="C1742" s="117" t="s">
        <v>38</v>
      </c>
      <c r="D1742" s="89"/>
      <c r="E1742" s="89"/>
      <c r="F1742" s="89"/>
      <c r="G1742" s="89"/>
      <c r="H1742" s="89"/>
      <c r="I1742" s="89"/>
      <c r="J1742" s="89"/>
      <c r="K1742" s="89"/>
      <c r="L1742" s="89"/>
      <c r="M1742" s="89"/>
      <c r="N1742" s="89"/>
      <c r="O1742" s="89"/>
      <c r="P1742" s="28"/>
      <c r="Q1742" s="20">
        <f t="shared" si="271"/>
        <v>0</v>
      </c>
    </row>
    <row r="1743" spans="1:17">
      <c r="A1743" s="150"/>
      <c r="B1743" s="153"/>
      <c r="C1743" s="62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1"/>
      <c r="O1743" s="91"/>
      <c r="P1743" s="32"/>
      <c r="Q1743" s="20">
        <f t="shared" si="271"/>
        <v>0</v>
      </c>
    </row>
    <row r="1744" spans="1:17">
      <c r="A1744" s="150"/>
      <c r="B1744" s="154"/>
      <c r="C1744" s="6" t="s">
        <v>42</v>
      </c>
      <c r="D1744" s="92"/>
      <c r="E1744" s="92"/>
      <c r="F1744" s="92"/>
      <c r="G1744" s="92"/>
      <c r="H1744" s="92"/>
      <c r="I1744" s="92"/>
      <c r="J1744" s="92"/>
      <c r="K1744" s="92"/>
      <c r="L1744" s="92"/>
      <c r="M1744" s="92"/>
      <c r="N1744" s="92"/>
      <c r="O1744" s="92"/>
      <c r="P1744" s="33"/>
      <c r="Q1744" s="22">
        <f t="shared" si="271"/>
        <v>0</v>
      </c>
    </row>
    <row r="1745" spans="1:17">
      <c r="A1745" s="150"/>
      <c r="B1745" s="155" t="s">
        <v>11</v>
      </c>
      <c r="C1745" s="5" t="s">
        <v>7</v>
      </c>
      <c r="D1745" s="94"/>
      <c r="E1745" s="94"/>
      <c r="F1745" s="94"/>
      <c r="G1745" s="94"/>
      <c r="H1745" s="94"/>
      <c r="I1745" s="94"/>
      <c r="J1745" s="94"/>
      <c r="K1745" s="94"/>
      <c r="L1745" s="94"/>
      <c r="M1745" s="94"/>
      <c r="N1745" s="94"/>
      <c r="O1745" s="94"/>
      <c r="P1745" s="27"/>
      <c r="Q1745" s="21">
        <f t="shared" si="271"/>
        <v>0</v>
      </c>
    </row>
    <row r="1746" spans="1:17">
      <c r="A1746" s="150"/>
      <c r="B1746" s="153"/>
      <c r="C1746" s="6" t="s">
        <v>4</v>
      </c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32"/>
      <c r="Q1746" s="20">
        <f t="shared" si="271"/>
        <v>0</v>
      </c>
    </row>
    <row r="1747" spans="1:17">
      <c r="A1747" s="150"/>
      <c r="B1747" s="153"/>
      <c r="C1747" s="6" t="s">
        <v>17</v>
      </c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1"/>
      <c r="O1747" s="91"/>
      <c r="P1747" s="32"/>
      <c r="Q1747" s="20">
        <f t="shared" ref="Q1747:Q1810" si="282">SUM(P1747:P1747)</f>
        <v>0</v>
      </c>
    </row>
    <row r="1748" spans="1:17">
      <c r="A1748" s="150"/>
      <c r="B1748" s="153"/>
      <c r="C1748" s="6" t="s">
        <v>18</v>
      </c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32"/>
      <c r="Q1748" s="20">
        <f t="shared" si="282"/>
        <v>0</v>
      </c>
    </row>
    <row r="1749" spans="1:17">
      <c r="A1749" s="150"/>
      <c r="B1749" s="153"/>
      <c r="C1749" s="6" t="s">
        <v>60</v>
      </c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1"/>
      <c r="O1749" s="91"/>
      <c r="P1749" s="32"/>
      <c r="Q1749" s="20">
        <f t="shared" si="282"/>
        <v>0</v>
      </c>
    </row>
    <row r="1750" spans="1:17">
      <c r="A1750" s="150"/>
      <c r="B1750" s="155" t="s">
        <v>13</v>
      </c>
      <c r="C1750" s="5" t="s">
        <v>10</v>
      </c>
      <c r="D1750" s="94"/>
      <c r="E1750" s="94"/>
      <c r="F1750" s="94"/>
      <c r="G1750" s="94"/>
      <c r="H1750" s="94"/>
      <c r="I1750" s="94"/>
      <c r="J1750" s="94"/>
      <c r="K1750" s="94"/>
      <c r="L1750" s="94"/>
      <c r="M1750" s="94"/>
      <c r="N1750" s="94"/>
      <c r="O1750" s="94"/>
      <c r="P1750" s="27"/>
      <c r="Q1750" s="21">
        <f t="shared" si="282"/>
        <v>0</v>
      </c>
    </row>
    <row r="1751" spans="1:17">
      <c r="A1751" s="150"/>
      <c r="B1751" s="153"/>
      <c r="C1751" s="116" t="s">
        <v>55</v>
      </c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89"/>
      <c r="O1751" s="89"/>
      <c r="P1751" s="28"/>
      <c r="Q1751" s="20">
        <f t="shared" si="282"/>
        <v>0</v>
      </c>
    </row>
    <row r="1752" spans="1:17">
      <c r="A1752" s="150"/>
      <c r="B1752" s="153"/>
      <c r="C1752" s="8" t="s">
        <v>56</v>
      </c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89"/>
      <c r="O1752" s="89"/>
      <c r="P1752" s="28"/>
      <c r="Q1752" s="20">
        <f t="shared" si="282"/>
        <v>0</v>
      </c>
    </row>
    <row r="1753" spans="1:17">
      <c r="A1753" s="150"/>
      <c r="B1753" s="154"/>
      <c r="C1753" s="4" t="s">
        <v>61</v>
      </c>
      <c r="D1753" s="92"/>
      <c r="E1753" s="92"/>
      <c r="F1753" s="92"/>
      <c r="G1753" s="92"/>
      <c r="H1753" s="92"/>
      <c r="I1753" s="92"/>
      <c r="J1753" s="92"/>
      <c r="K1753" s="92"/>
      <c r="L1753" s="92"/>
      <c r="M1753" s="92"/>
      <c r="N1753" s="92"/>
      <c r="O1753" s="92"/>
      <c r="P1753" s="33"/>
      <c r="Q1753" s="22">
        <f t="shared" si="282"/>
        <v>0</v>
      </c>
    </row>
    <row r="1754" spans="1:17">
      <c r="A1754" s="150"/>
      <c r="B1754" s="156" t="s">
        <v>54</v>
      </c>
      <c r="C1754" s="157"/>
      <c r="D1754" s="56">
        <f t="shared" ref="D1754:O1754" si="283">SUM(D1740:D1744)-SUM(D1748:D1749)</f>
        <v>0</v>
      </c>
      <c r="E1754" s="56">
        <f t="shared" si="283"/>
        <v>0</v>
      </c>
      <c r="F1754" s="56">
        <f t="shared" si="283"/>
        <v>0</v>
      </c>
      <c r="G1754" s="56">
        <f t="shared" si="283"/>
        <v>0</v>
      </c>
      <c r="H1754" s="56">
        <f t="shared" si="283"/>
        <v>0</v>
      </c>
      <c r="I1754" s="56">
        <f t="shared" si="283"/>
        <v>0</v>
      </c>
      <c r="J1754" s="56">
        <f t="shared" si="283"/>
        <v>0</v>
      </c>
      <c r="K1754" s="56">
        <f t="shared" si="283"/>
        <v>0</v>
      </c>
      <c r="L1754" s="56">
        <f t="shared" si="283"/>
        <v>0</v>
      </c>
      <c r="M1754" s="56">
        <f t="shared" si="283"/>
        <v>0</v>
      </c>
      <c r="N1754" s="56">
        <f t="shared" si="283"/>
        <v>0</v>
      </c>
      <c r="O1754" s="56">
        <f t="shared" si="283"/>
        <v>0</v>
      </c>
      <c r="P1754" s="58">
        <f>SUM(P1738:P1744)-SUM(P1748:P1749)</f>
        <v>0</v>
      </c>
      <c r="Q1754" s="59">
        <f t="shared" si="282"/>
        <v>0</v>
      </c>
    </row>
    <row r="1755" spans="1:17" ht="14.25" thickBot="1">
      <c r="A1755" s="151"/>
      <c r="B1755" s="147" t="s">
        <v>5</v>
      </c>
      <c r="C1755" s="148"/>
      <c r="D1755" s="42">
        <f t="shared" ref="D1755:O1755" si="284">SUM(D1740:D1744)-SUM(D1745:D1749)+SUM(D1750:D1753)</f>
        <v>0</v>
      </c>
      <c r="E1755" s="42">
        <f t="shared" si="284"/>
        <v>0</v>
      </c>
      <c r="F1755" s="42">
        <f t="shared" si="284"/>
        <v>0</v>
      </c>
      <c r="G1755" s="42">
        <f t="shared" si="284"/>
        <v>0</v>
      </c>
      <c r="H1755" s="42">
        <f t="shared" si="284"/>
        <v>0</v>
      </c>
      <c r="I1755" s="42">
        <f t="shared" si="284"/>
        <v>0</v>
      </c>
      <c r="J1755" s="42">
        <f t="shared" si="284"/>
        <v>0</v>
      </c>
      <c r="K1755" s="42">
        <f t="shared" si="284"/>
        <v>0</v>
      </c>
      <c r="L1755" s="42">
        <f t="shared" si="284"/>
        <v>0</v>
      </c>
      <c r="M1755" s="42">
        <f t="shared" si="284"/>
        <v>0</v>
      </c>
      <c r="N1755" s="42">
        <f t="shared" si="284"/>
        <v>0</v>
      </c>
      <c r="O1755" s="42">
        <f t="shared" si="284"/>
        <v>0</v>
      </c>
      <c r="P1755" s="44">
        <f>SUM(P1738:P1744)-SUM(P1745:P1749)+SUM(P1750:P1753)</f>
        <v>0</v>
      </c>
      <c r="Q1755" s="46">
        <f t="shared" si="282"/>
        <v>0</v>
      </c>
    </row>
    <row r="1756" spans="1:17">
      <c r="A1756" s="149"/>
      <c r="B1756" s="152" t="s">
        <v>12</v>
      </c>
      <c r="C1756" s="114" t="s">
        <v>84</v>
      </c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87"/>
      <c r="O1756" s="87"/>
      <c r="P1756" s="30"/>
      <c r="Q1756" s="19">
        <f t="shared" si="282"/>
        <v>0</v>
      </c>
    </row>
    <row r="1757" spans="1:17">
      <c r="A1757" s="150"/>
      <c r="B1757" s="153"/>
      <c r="C1757" s="115" t="s">
        <v>85</v>
      </c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28"/>
      <c r="Q1757" s="20">
        <f t="shared" si="282"/>
        <v>0</v>
      </c>
    </row>
    <row r="1758" spans="1:17">
      <c r="A1758" s="150"/>
      <c r="B1758" s="153"/>
      <c r="C1758" s="116" t="s">
        <v>86</v>
      </c>
      <c r="D1758" s="91">
        <f>D1756*D1757</f>
        <v>0</v>
      </c>
      <c r="E1758" s="91">
        <f>E1756*E1757</f>
        <v>0</v>
      </c>
      <c r="F1758" s="91">
        <f>F1756*F1757</f>
        <v>0</v>
      </c>
      <c r="G1758" s="91">
        <f>G1756*G1757</f>
        <v>0</v>
      </c>
      <c r="H1758" s="91">
        <f>H1756*H1757</f>
        <v>0</v>
      </c>
      <c r="I1758" s="91">
        <f t="shared" ref="I1758:O1758" si="285">I1756*I1757</f>
        <v>0</v>
      </c>
      <c r="J1758" s="91">
        <f t="shared" si="285"/>
        <v>0</v>
      </c>
      <c r="K1758" s="91">
        <f t="shared" si="285"/>
        <v>0</v>
      </c>
      <c r="L1758" s="91">
        <f t="shared" si="285"/>
        <v>0</v>
      </c>
      <c r="M1758" s="91">
        <f t="shared" si="285"/>
        <v>0</v>
      </c>
      <c r="N1758" s="91">
        <f t="shared" si="285"/>
        <v>0</v>
      </c>
      <c r="O1758" s="91">
        <f t="shared" si="285"/>
        <v>0</v>
      </c>
      <c r="P1758" s="32"/>
      <c r="Q1758" s="20">
        <f t="shared" si="282"/>
        <v>0</v>
      </c>
    </row>
    <row r="1759" spans="1:17">
      <c r="A1759" s="150"/>
      <c r="B1759" s="153"/>
      <c r="C1759" s="117" t="s">
        <v>9</v>
      </c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32"/>
      <c r="Q1759" s="20">
        <f t="shared" si="282"/>
        <v>0</v>
      </c>
    </row>
    <row r="1760" spans="1:17">
      <c r="A1760" s="150"/>
      <c r="B1760" s="153"/>
      <c r="C1760" s="117" t="s">
        <v>38</v>
      </c>
      <c r="D1760" s="89"/>
      <c r="E1760" s="89"/>
      <c r="F1760" s="89"/>
      <c r="G1760" s="89"/>
      <c r="H1760" s="89"/>
      <c r="I1760" s="89"/>
      <c r="J1760" s="89"/>
      <c r="K1760" s="89"/>
      <c r="L1760" s="89"/>
      <c r="M1760" s="89"/>
      <c r="N1760" s="89"/>
      <c r="O1760" s="89"/>
      <c r="P1760" s="28"/>
      <c r="Q1760" s="20">
        <f t="shared" si="282"/>
        <v>0</v>
      </c>
    </row>
    <row r="1761" spans="1:17">
      <c r="A1761" s="150"/>
      <c r="B1761" s="153"/>
      <c r="C1761" s="62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32"/>
      <c r="Q1761" s="20">
        <f t="shared" si="282"/>
        <v>0</v>
      </c>
    </row>
    <row r="1762" spans="1:17">
      <c r="A1762" s="150"/>
      <c r="B1762" s="154"/>
      <c r="C1762" s="6" t="s">
        <v>42</v>
      </c>
      <c r="D1762" s="92"/>
      <c r="E1762" s="92"/>
      <c r="F1762" s="92"/>
      <c r="G1762" s="92"/>
      <c r="H1762" s="92"/>
      <c r="I1762" s="92"/>
      <c r="J1762" s="92"/>
      <c r="K1762" s="92"/>
      <c r="L1762" s="92"/>
      <c r="M1762" s="92"/>
      <c r="N1762" s="92"/>
      <c r="O1762" s="92"/>
      <c r="P1762" s="33"/>
      <c r="Q1762" s="22">
        <f t="shared" si="282"/>
        <v>0</v>
      </c>
    </row>
    <row r="1763" spans="1:17">
      <c r="A1763" s="150"/>
      <c r="B1763" s="155" t="s">
        <v>11</v>
      </c>
      <c r="C1763" s="5" t="s">
        <v>7</v>
      </c>
      <c r="D1763" s="94"/>
      <c r="E1763" s="94"/>
      <c r="F1763" s="94"/>
      <c r="G1763" s="94"/>
      <c r="H1763" s="94"/>
      <c r="I1763" s="94"/>
      <c r="J1763" s="94"/>
      <c r="K1763" s="94"/>
      <c r="L1763" s="94"/>
      <c r="M1763" s="94"/>
      <c r="N1763" s="94"/>
      <c r="O1763" s="94"/>
      <c r="P1763" s="27"/>
      <c r="Q1763" s="21">
        <f t="shared" si="282"/>
        <v>0</v>
      </c>
    </row>
    <row r="1764" spans="1:17">
      <c r="A1764" s="150"/>
      <c r="B1764" s="153"/>
      <c r="C1764" s="6" t="s">
        <v>4</v>
      </c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32"/>
      <c r="Q1764" s="20">
        <f t="shared" si="282"/>
        <v>0</v>
      </c>
    </row>
    <row r="1765" spans="1:17">
      <c r="A1765" s="150"/>
      <c r="B1765" s="153"/>
      <c r="C1765" s="6" t="s">
        <v>17</v>
      </c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32"/>
      <c r="Q1765" s="20">
        <f t="shared" si="282"/>
        <v>0</v>
      </c>
    </row>
    <row r="1766" spans="1:17">
      <c r="A1766" s="150"/>
      <c r="B1766" s="153"/>
      <c r="C1766" s="6" t="s">
        <v>18</v>
      </c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32"/>
      <c r="Q1766" s="20">
        <f t="shared" si="282"/>
        <v>0</v>
      </c>
    </row>
    <row r="1767" spans="1:17">
      <c r="A1767" s="150"/>
      <c r="B1767" s="153"/>
      <c r="C1767" s="6" t="s">
        <v>60</v>
      </c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32"/>
      <c r="Q1767" s="20">
        <f t="shared" si="282"/>
        <v>0</v>
      </c>
    </row>
    <row r="1768" spans="1:17">
      <c r="A1768" s="150"/>
      <c r="B1768" s="155" t="s">
        <v>13</v>
      </c>
      <c r="C1768" s="5" t="s">
        <v>10</v>
      </c>
      <c r="D1768" s="94"/>
      <c r="E1768" s="94"/>
      <c r="F1768" s="94"/>
      <c r="G1768" s="94"/>
      <c r="H1768" s="94"/>
      <c r="I1768" s="94"/>
      <c r="J1768" s="94"/>
      <c r="K1768" s="94"/>
      <c r="L1768" s="94"/>
      <c r="M1768" s="94"/>
      <c r="N1768" s="94"/>
      <c r="O1768" s="94"/>
      <c r="P1768" s="27"/>
      <c r="Q1768" s="21">
        <f t="shared" si="282"/>
        <v>0</v>
      </c>
    </row>
    <row r="1769" spans="1:17">
      <c r="A1769" s="150"/>
      <c r="B1769" s="153"/>
      <c r="C1769" s="116" t="s">
        <v>55</v>
      </c>
      <c r="D1769" s="89"/>
      <c r="E1769" s="89"/>
      <c r="F1769" s="89"/>
      <c r="G1769" s="89"/>
      <c r="H1769" s="89"/>
      <c r="I1769" s="89"/>
      <c r="J1769" s="89"/>
      <c r="K1769" s="89"/>
      <c r="L1769" s="89"/>
      <c r="M1769" s="89"/>
      <c r="N1769" s="89"/>
      <c r="O1769" s="89"/>
      <c r="P1769" s="28"/>
      <c r="Q1769" s="20">
        <f t="shared" si="282"/>
        <v>0</v>
      </c>
    </row>
    <row r="1770" spans="1:17">
      <c r="A1770" s="150"/>
      <c r="B1770" s="153"/>
      <c r="C1770" s="8" t="s">
        <v>56</v>
      </c>
      <c r="D1770" s="89"/>
      <c r="E1770" s="89"/>
      <c r="F1770" s="89"/>
      <c r="G1770" s="89"/>
      <c r="H1770" s="89"/>
      <c r="I1770" s="89"/>
      <c r="J1770" s="89"/>
      <c r="K1770" s="89"/>
      <c r="L1770" s="89"/>
      <c r="M1770" s="89"/>
      <c r="N1770" s="89"/>
      <c r="O1770" s="89"/>
      <c r="P1770" s="28"/>
      <c r="Q1770" s="20">
        <f t="shared" si="282"/>
        <v>0</v>
      </c>
    </row>
    <row r="1771" spans="1:17">
      <c r="A1771" s="150"/>
      <c r="B1771" s="154"/>
      <c r="C1771" s="4" t="s">
        <v>61</v>
      </c>
      <c r="D1771" s="92"/>
      <c r="E1771" s="92"/>
      <c r="F1771" s="92"/>
      <c r="G1771" s="92"/>
      <c r="H1771" s="92"/>
      <c r="I1771" s="92"/>
      <c r="J1771" s="92"/>
      <c r="K1771" s="92"/>
      <c r="L1771" s="92"/>
      <c r="M1771" s="92"/>
      <c r="N1771" s="92"/>
      <c r="O1771" s="92"/>
      <c r="P1771" s="33"/>
      <c r="Q1771" s="22">
        <f t="shared" si="282"/>
        <v>0</v>
      </c>
    </row>
    <row r="1772" spans="1:17">
      <c r="A1772" s="150"/>
      <c r="B1772" s="156" t="s">
        <v>54</v>
      </c>
      <c r="C1772" s="157"/>
      <c r="D1772" s="56">
        <f t="shared" ref="D1772:O1772" si="286">SUM(D1758:D1762)-SUM(D1766:D1767)</f>
        <v>0</v>
      </c>
      <c r="E1772" s="56">
        <f t="shared" si="286"/>
        <v>0</v>
      </c>
      <c r="F1772" s="56">
        <f t="shared" si="286"/>
        <v>0</v>
      </c>
      <c r="G1772" s="56">
        <f t="shared" si="286"/>
        <v>0</v>
      </c>
      <c r="H1772" s="56">
        <f t="shared" si="286"/>
        <v>0</v>
      </c>
      <c r="I1772" s="56">
        <f t="shared" si="286"/>
        <v>0</v>
      </c>
      <c r="J1772" s="56">
        <f t="shared" si="286"/>
        <v>0</v>
      </c>
      <c r="K1772" s="56">
        <f t="shared" si="286"/>
        <v>0</v>
      </c>
      <c r="L1772" s="56">
        <f t="shared" si="286"/>
        <v>0</v>
      </c>
      <c r="M1772" s="56">
        <f t="shared" si="286"/>
        <v>0</v>
      </c>
      <c r="N1772" s="56">
        <f t="shared" si="286"/>
        <v>0</v>
      </c>
      <c r="O1772" s="56">
        <f t="shared" si="286"/>
        <v>0</v>
      </c>
      <c r="P1772" s="58">
        <f>SUM(P1756:P1762)-SUM(P1766:P1767)</f>
        <v>0</v>
      </c>
      <c r="Q1772" s="59">
        <f t="shared" si="282"/>
        <v>0</v>
      </c>
    </row>
    <row r="1773" spans="1:17" ht="14.25" thickBot="1">
      <c r="A1773" s="151"/>
      <c r="B1773" s="147" t="s">
        <v>5</v>
      </c>
      <c r="C1773" s="148"/>
      <c r="D1773" s="42">
        <f t="shared" ref="D1773:O1773" si="287">SUM(D1758:D1762)-SUM(D1763:D1767)+SUM(D1768:D1771)</f>
        <v>0</v>
      </c>
      <c r="E1773" s="42">
        <f t="shared" si="287"/>
        <v>0</v>
      </c>
      <c r="F1773" s="42">
        <f t="shared" si="287"/>
        <v>0</v>
      </c>
      <c r="G1773" s="42">
        <f t="shared" si="287"/>
        <v>0</v>
      </c>
      <c r="H1773" s="42">
        <f t="shared" si="287"/>
        <v>0</v>
      </c>
      <c r="I1773" s="42">
        <f t="shared" si="287"/>
        <v>0</v>
      </c>
      <c r="J1773" s="42">
        <f t="shared" si="287"/>
        <v>0</v>
      </c>
      <c r="K1773" s="42">
        <f t="shared" si="287"/>
        <v>0</v>
      </c>
      <c r="L1773" s="42">
        <f t="shared" si="287"/>
        <v>0</v>
      </c>
      <c r="M1773" s="42">
        <f t="shared" si="287"/>
        <v>0</v>
      </c>
      <c r="N1773" s="42">
        <f t="shared" si="287"/>
        <v>0</v>
      </c>
      <c r="O1773" s="42">
        <f t="shared" si="287"/>
        <v>0</v>
      </c>
      <c r="P1773" s="44">
        <f>SUM(P1756:P1762)-SUM(P1763:P1767)+SUM(P1768:P1771)</f>
        <v>0</v>
      </c>
      <c r="Q1773" s="46">
        <f t="shared" si="282"/>
        <v>0</v>
      </c>
    </row>
    <row r="1774" spans="1:17">
      <c r="A1774" s="149"/>
      <c r="B1774" s="152" t="s">
        <v>12</v>
      </c>
      <c r="C1774" s="114" t="s">
        <v>84</v>
      </c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87"/>
      <c r="O1774" s="87"/>
      <c r="P1774" s="30"/>
      <c r="Q1774" s="19">
        <f t="shared" si="282"/>
        <v>0</v>
      </c>
    </row>
    <row r="1775" spans="1:17">
      <c r="A1775" s="150"/>
      <c r="B1775" s="153"/>
      <c r="C1775" s="115" t="s">
        <v>85</v>
      </c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28"/>
      <c r="Q1775" s="20">
        <f t="shared" si="282"/>
        <v>0</v>
      </c>
    </row>
    <row r="1776" spans="1:17">
      <c r="A1776" s="150"/>
      <c r="B1776" s="153"/>
      <c r="C1776" s="116" t="s">
        <v>86</v>
      </c>
      <c r="D1776" s="91">
        <f>D1774*D1775</f>
        <v>0</v>
      </c>
      <c r="E1776" s="91">
        <f>E1774*E1775</f>
        <v>0</v>
      </c>
      <c r="F1776" s="91">
        <f>F1774*F1775</f>
        <v>0</v>
      </c>
      <c r="G1776" s="91">
        <f>G1774*G1775</f>
        <v>0</v>
      </c>
      <c r="H1776" s="91">
        <f>H1774*H1775</f>
        <v>0</v>
      </c>
      <c r="I1776" s="91">
        <f t="shared" ref="I1776:O1776" si="288">I1774*I1775</f>
        <v>0</v>
      </c>
      <c r="J1776" s="91">
        <f t="shared" si="288"/>
        <v>0</v>
      </c>
      <c r="K1776" s="91">
        <f t="shared" si="288"/>
        <v>0</v>
      </c>
      <c r="L1776" s="91">
        <f t="shared" si="288"/>
        <v>0</v>
      </c>
      <c r="M1776" s="91">
        <f t="shared" si="288"/>
        <v>0</v>
      </c>
      <c r="N1776" s="91">
        <f t="shared" si="288"/>
        <v>0</v>
      </c>
      <c r="O1776" s="91">
        <f t="shared" si="288"/>
        <v>0</v>
      </c>
      <c r="P1776" s="32"/>
      <c r="Q1776" s="20">
        <f t="shared" si="282"/>
        <v>0</v>
      </c>
    </row>
    <row r="1777" spans="1:17">
      <c r="A1777" s="150"/>
      <c r="B1777" s="153"/>
      <c r="C1777" s="117" t="s">
        <v>9</v>
      </c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1"/>
      <c r="O1777" s="91"/>
      <c r="P1777" s="32"/>
      <c r="Q1777" s="20">
        <f t="shared" si="282"/>
        <v>0</v>
      </c>
    </row>
    <row r="1778" spans="1:17">
      <c r="A1778" s="150"/>
      <c r="B1778" s="153"/>
      <c r="C1778" s="117" t="s">
        <v>38</v>
      </c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89"/>
      <c r="O1778" s="89"/>
      <c r="P1778" s="28"/>
      <c r="Q1778" s="20">
        <f t="shared" si="282"/>
        <v>0</v>
      </c>
    </row>
    <row r="1779" spans="1:17">
      <c r="A1779" s="150"/>
      <c r="B1779" s="153"/>
      <c r="C1779" s="62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1"/>
      <c r="O1779" s="91"/>
      <c r="P1779" s="32"/>
      <c r="Q1779" s="20">
        <f t="shared" si="282"/>
        <v>0</v>
      </c>
    </row>
    <row r="1780" spans="1:17">
      <c r="A1780" s="150"/>
      <c r="B1780" s="154"/>
      <c r="C1780" s="6" t="s">
        <v>42</v>
      </c>
      <c r="D1780" s="92"/>
      <c r="E1780" s="92"/>
      <c r="F1780" s="92"/>
      <c r="G1780" s="92"/>
      <c r="H1780" s="92"/>
      <c r="I1780" s="92"/>
      <c r="J1780" s="92"/>
      <c r="K1780" s="92"/>
      <c r="L1780" s="92"/>
      <c r="M1780" s="92"/>
      <c r="N1780" s="92"/>
      <c r="O1780" s="92"/>
      <c r="P1780" s="33"/>
      <c r="Q1780" s="22">
        <f t="shared" si="282"/>
        <v>0</v>
      </c>
    </row>
    <row r="1781" spans="1:17">
      <c r="A1781" s="150"/>
      <c r="B1781" s="155" t="s">
        <v>11</v>
      </c>
      <c r="C1781" s="5" t="s">
        <v>7</v>
      </c>
      <c r="D1781" s="94"/>
      <c r="E1781" s="94"/>
      <c r="F1781" s="94"/>
      <c r="G1781" s="94"/>
      <c r="H1781" s="94"/>
      <c r="I1781" s="94"/>
      <c r="J1781" s="94"/>
      <c r="K1781" s="94"/>
      <c r="L1781" s="94"/>
      <c r="M1781" s="94"/>
      <c r="N1781" s="94"/>
      <c r="O1781" s="94"/>
      <c r="P1781" s="27"/>
      <c r="Q1781" s="21">
        <f t="shared" si="282"/>
        <v>0</v>
      </c>
    </row>
    <row r="1782" spans="1:17">
      <c r="A1782" s="150"/>
      <c r="B1782" s="153"/>
      <c r="C1782" s="6" t="s">
        <v>4</v>
      </c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32"/>
      <c r="Q1782" s="20">
        <f t="shared" si="282"/>
        <v>0</v>
      </c>
    </row>
    <row r="1783" spans="1:17">
      <c r="A1783" s="150"/>
      <c r="B1783" s="153"/>
      <c r="C1783" s="6" t="s">
        <v>17</v>
      </c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1"/>
      <c r="O1783" s="91"/>
      <c r="P1783" s="32"/>
      <c r="Q1783" s="20">
        <f t="shared" si="282"/>
        <v>0</v>
      </c>
    </row>
    <row r="1784" spans="1:17">
      <c r="A1784" s="150"/>
      <c r="B1784" s="153"/>
      <c r="C1784" s="6" t="s">
        <v>18</v>
      </c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32"/>
      <c r="Q1784" s="20">
        <f t="shared" si="282"/>
        <v>0</v>
      </c>
    </row>
    <row r="1785" spans="1:17">
      <c r="A1785" s="150"/>
      <c r="B1785" s="153"/>
      <c r="C1785" s="6" t="s">
        <v>60</v>
      </c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1"/>
      <c r="O1785" s="91"/>
      <c r="P1785" s="32"/>
      <c r="Q1785" s="20">
        <f t="shared" si="282"/>
        <v>0</v>
      </c>
    </row>
    <row r="1786" spans="1:17">
      <c r="A1786" s="150"/>
      <c r="B1786" s="155" t="s">
        <v>13</v>
      </c>
      <c r="C1786" s="5" t="s">
        <v>10</v>
      </c>
      <c r="D1786" s="94"/>
      <c r="E1786" s="94"/>
      <c r="F1786" s="94"/>
      <c r="G1786" s="94"/>
      <c r="H1786" s="94"/>
      <c r="I1786" s="94"/>
      <c r="J1786" s="94"/>
      <c r="K1786" s="94"/>
      <c r="L1786" s="94"/>
      <c r="M1786" s="94"/>
      <c r="N1786" s="94"/>
      <c r="O1786" s="94"/>
      <c r="P1786" s="27"/>
      <c r="Q1786" s="21">
        <f t="shared" si="282"/>
        <v>0</v>
      </c>
    </row>
    <row r="1787" spans="1:17">
      <c r="A1787" s="150"/>
      <c r="B1787" s="153"/>
      <c r="C1787" s="116" t="s">
        <v>55</v>
      </c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89"/>
      <c r="O1787" s="89"/>
      <c r="P1787" s="28"/>
      <c r="Q1787" s="20">
        <f t="shared" si="282"/>
        <v>0</v>
      </c>
    </row>
    <row r="1788" spans="1:17">
      <c r="A1788" s="150"/>
      <c r="B1788" s="153"/>
      <c r="C1788" s="8" t="s">
        <v>56</v>
      </c>
      <c r="D1788" s="89"/>
      <c r="E1788" s="89"/>
      <c r="F1788" s="89"/>
      <c r="G1788" s="89"/>
      <c r="H1788" s="89"/>
      <c r="I1788" s="89"/>
      <c r="J1788" s="89"/>
      <c r="K1788" s="89"/>
      <c r="L1788" s="89"/>
      <c r="M1788" s="89"/>
      <c r="N1788" s="89"/>
      <c r="O1788" s="89"/>
      <c r="P1788" s="28"/>
      <c r="Q1788" s="20">
        <f t="shared" si="282"/>
        <v>0</v>
      </c>
    </row>
    <row r="1789" spans="1:17">
      <c r="A1789" s="150"/>
      <c r="B1789" s="154"/>
      <c r="C1789" s="4" t="s">
        <v>61</v>
      </c>
      <c r="D1789" s="92"/>
      <c r="E1789" s="92"/>
      <c r="F1789" s="92"/>
      <c r="G1789" s="92"/>
      <c r="H1789" s="92"/>
      <c r="I1789" s="92"/>
      <c r="J1789" s="92"/>
      <c r="K1789" s="92"/>
      <c r="L1789" s="92"/>
      <c r="M1789" s="92"/>
      <c r="N1789" s="92"/>
      <c r="O1789" s="92"/>
      <c r="P1789" s="33"/>
      <c r="Q1789" s="22">
        <f t="shared" si="282"/>
        <v>0</v>
      </c>
    </row>
    <row r="1790" spans="1:17">
      <c r="A1790" s="150"/>
      <c r="B1790" s="156" t="s">
        <v>54</v>
      </c>
      <c r="C1790" s="157"/>
      <c r="D1790" s="56">
        <f t="shared" ref="D1790:O1790" si="289">SUM(D1776:D1780)-SUM(D1784:D1785)</f>
        <v>0</v>
      </c>
      <c r="E1790" s="56">
        <f t="shared" si="289"/>
        <v>0</v>
      </c>
      <c r="F1790" s="56">
        <f t="shared" si="289"/>
        <v>0</v>
      </c>
      <c r="G1790" s="56">
        <f t="shared" si="289"/>
        <v>0</v>
      </c>
      <c r="H1790" s="56">
        <f t="shared" si="289"/>
        <v>0</v>
      </c>
      <c r="I1790" s="56">
        <f t="shared" si="289"/>
        <v>0</v>
      </c>
      <c r="J1790" s="56">
        <f t="shared" si="289"/>
        <v>0</v>
      </c>
      <c r="K1790" s="56">
        <f t="shared" si="289"/>
        <v>0</v>
      </c>
      <c r="L1790" s="56">
        <f t="shared" si="289"/>
        <v>0</v>
      </c>
      <c r="M1790" s="56">
        <f t="shared" si="289"/>
        <v>0</v>
      </c>
      <c r="N1790" s="56">
        <f t="shared" si="289"/>
        <v>0</v>
      </c>
      <c r="O1790" s="56">
        <f t="shared" si="289"/>
        <v>0</v>
      </c>
      <c r="P1790" s="58">
        <f>SUM(P1774:P1780)-SUM(P1784:P1785)</f>
        <v>0</v>
      </c>
      <c r="Q1790" s="59">
        <f t="shared" si="282"/>
        <v>0</v>
      </c>
    </row>
    <row r="1791" spans="1:17" ht="14.25" thickBot="1">
      <c r="A1791" s="151"/>
      <c r="B1791" s="147" t="s">
        <v>5</v>
      </c>
      <c r="C1791" s="148"/>
      <c r="D1791" s="42">
        <f t="shared" ref="D1791:O1791" si="290">SUM(D1776:D1780)-SUM(D1781:D1785)+SUM(D1786:D1789)</f>
        <v>0</v>
      </c>
      <c r="E1791" s="42">
        <f t="shared" si="290"/>
        <v>0</v>
      </c>
      <c r="F1791" s="42">
        <f t="shared" si="290"/>
        <v>0</v>
      </c>
      <c r="G1791" s="42">
        <f t="shared" si="290"/>
        <v>0</v>
      </c>
      <c r="H1791" s="42">
        <f t="shared" si="290"/>
        <v>0</v>
      </c>
      <c r="I1791" s="42">
        <f t="shared" si="290"/>
        <v>0</v>
      </c>
      <c r="J1791" s="42">
        <f t="shared" si="290"/>
        <v>0</v>
      </c>
      <c r="K1791" s="42">
        <f t="shared" si="290"/>
        <v>0</v>
      </c>
      <c r="L1791" s="42">
        <f t="shared" si="290"/>
        <v>0</v>
      </c>
      <c r="M1791" s="42">
        <f t="shared" si="290"/>
        <v>0</v>
      </c>
      <c r="N1791" s="42">
        <f t="shared" si="290"/>
        <v>0</v>
      </c>
      <c r="O1791" s="42">
        <f t="shared" si="290"/>
        <v>0</v>
      </c>
      <c r="P1791" s="44">
        <f>SUM(P1774:P1780)-SUM(P1781:P1785)+SUM(P1786:P1789)</f>
        <v>0</v>
      </c>
      <c r="Q1791" s="46">
        <f t="shared" si="282"/>
        <v>0</v>
      </c>
    </row>
    <row r="1792" spans="1:17">
      <c r="A1792" s="149"/>
      <c r="B1792" s="152" t="s">
        <v>12</v>
      </c>
      <c r="C1792" s="114" t="s">
        <v>84</v>
      </c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87"/>
      <c r="O1792" s="87"/>
      <c r="P1792" s="30"/>
      <c r="Q1792" s="19">
        <f t="shared" si="282"/>
        <v>0</v>
      </c>
    </row>
    <row r="1793" spans="1:17">
      <c r="A1793" s="150"/>
      <c r="B1793" s="153"/>
      <c r="C1793" s="115" t="s">
        <v>85</v>
      </c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28"/>
      <c r="Q1793" s="20">
        <f t="shared" si="282"/>
        <v>0</v>
      </c>
    </row>
    <row r="1794" spans="1:17">
      <c r="A1794" s="150"/>
      <c r="B1794" s="153"/>
      <c r="C1794" s="116" t="s">
        <v>86</v>
      </c>
      <c r="D1794" s="91">
        <f>D1792*D1793</f>
        <v>0</v>
      </c>
      <c r="E1794" s="91">
        <f>E1792*E1793</f>
        <v>0</v>
      </c>
      <c r="F1794" s="91">
        <f>F1792*F1793</f>
        <v>0</v>
      </c>
      <c r="G1794" s="91">
        <f>G1792*G1793</f>
        <v>0</v>
      </c>
      <c r="H1794" s="91">
        <f>H1792*H1793</f>
        <v>0</v>
      </c>
      <c r="I1794" s="91">
        <f t="shared" ref="I1794:O1794" si="291">I1792*I1793</f>
        <v>0</v>
      </c>
      <c r="J1794" s="91">
        <f t="shared" si="291"/>
        <v>0</v>
      </c>
      <c r="K1794" s="91">
        <f t="shared" si="291"/>
        <v>0</v>
      </c>
      <c r="L1794" s="91">
        <f t="shared" si="291"/>
        <v>0</v>
      </c>
      <c r="M1794" s="91">
        <f t="shared" si="291"/>
        <v>0</v>
      </c>
      <c r="N1794" s="91">
        <f t="shared" si="291"/>
        <v>0</v>
      </c>
      <c r="O1794" s="91">
        <f t="shared" si="291"/>
        <v>0</v>
      </c>
      <c r="P1794" s="32"/>
      <c r="Q1794" s="20">
        <f t="shared" si="282"/>
        <v>0</v>
      </c>
    </row>
    <row r="1795" spans="1:17">
      <c r="A1795" s="150"/>
      <c r="B1795" s="153"/>
      <c r="C1795" s="117" t="s">
        <v>9</v>
      </c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32"/>
      <c r="Q1795" s="20">
        <f t="shared" si="282"/>
        <v>0</v>
      </c>
    </row>
    <row r="1796" spans="1:17">
      <c r="A1796" s="150"/>
      <c r="B1796" s="153"/>
      <c r="C1796" s="117" t="s">
        <v>38</v>
      </c>
      <c r="D1796" s="89"/>
      <c r="E1796" s="89"/>
      <c r="F1796" s="89"/>
      <c r="G1796" s="89"/>
      <c r="H1796" s="89"/>
      <c r="I1796" s="89"/>
      <c r="J1796" s="89"/>
      <c r="K1796" s="89"/>
      <c r="L1796" s="89"/>
      <c r="M1796" s="89"/>
      <c r="N1796" s="89"/>
      <c r="O1796" s="89"/>
      <c r="P1796" s="28"/>
      <c r="Q1796" s="20">
        <f t="shared" si="282"/>
        <v>0</v>
      </c>
    </row>
    <row r="1797" spans="1:17">
      <c r="A1797" s="150"/>
      <c r="B1797" s="153"/>
      <c r="C1797" s="62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32"/>
      <c r="Q1797" s="20">
        <f t="shared" si="282"/>
        <v>0</v>
      </c>
    </row>
    <row r="1798" spans="1:17">
      <c r="A1798" s="150"/>
      <c r="B1798" s="154"/>
      <c r="C1798" s="6" t="s">
        <v>42</v>
      </c>
      <c r="D1798" s="92"/>
      <c r="E1798" s="92"/>
      <c r="F1798" s="92"/>
      <c r="G1798" s="92"/>
      <c r="H1798" s="92"/>
      <c r="I1798" s="92"/>
      <c r="J1798" s="92"/>
      <c r="K1798" s="92"/>
      <c r="L1798" s="92"/>
      <c r="M1798" s="92"/>
      <c r="N1798" s="92"/>
      <c r="O1798" s="92"/>
      <c r="P1798" s="33"/>
      <c r="Q1798" s="22">
        <f t="shared" si="282"/>
        <v>0</v>
      </c>
    </row>
    <row r="1799" spans="1:17">
      <c r="A1799" s="150"/>
      <c r="B1799" s="155" t="s">
        <v>11</v>
      </c>
      <c r="C1799" s="5" t="s">
        <v>7</v>
      </c>
      <c r="D1799" s="94"/>
      <c r="E1799" s="94"/>
      <c r="F1799" s="94"/>
      <c r="G1799" s="94"/>
      <c r="H1799" s="94"/>
      <c r="I1799" s="94"/>
      <c r="J1799" s="94"/>
      <c r="K1799" s="94"/>
      <c r="L1799" s="94"/>
      <c r="M1799" s="94"/>
      <c r="N1799" s="94"/>
      <c r="O1799" s="94"/>
      <c r="P1799" s="27"/>
      <c r="Q1799" s="21">
        <f t="shared" si="282"/>
        <v>0</v>
      </c>
    </row>
    <row r="1800" spans="1:17">
      <c r="A1800" s="150"/>
      <c r="B1800" s="153"/>
      <c r="C1800" s="6" t="s">
        <v>4</v>
      </c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32"/>
      <c r="Q1800" s="20">
        <f t="shared" si="282"/>
        <v>0</v>
      </c>
    </row>
    <row r="1801" spans="1:17">
      <c r="A1801" s="150"/>
      <c r="B1801" s="153"/>
      <c r="C1801" s="6" t="s">
        <v>17</v>
      </c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32"/>
      <c r="Q1801" s="20">
        <f t="shared" si="282"/>
        <v>0</v>
      </c>
    </row>
    <row r="1802" spans="1:17">
      <c r="A1802" s="150"/>
      <c r="B1802" s="153"/>
      <c r="C1802" s="6" t="s">
        <v>18</v>
      </c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32"/>
      <c r="Q1802" s="20">
        <f t="shared" si="282"/>
        <v>0</v>
      </c>
    </row>
    <row r="1803" spans="1:17">
      <c r="A1803" s="150"/>
      <c r="B1803" s="153"/>
      <c r="C1803" s="6" t="s">
        <v>60</v>
      </c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1"/>
      <c r="O1803" s="91"/>
      <c r="P1803" s="32"/>
      <c r="Q1803" s="20">
        <f t="shared" si="282"/>
        <v>0</v>
      </c>
    </row>
    <row r="1804" spans="1:17">
      <c r="A1804" s="150"/>
      <c r="B1804" s="155" t="s">
        <v>13</v>
      </c>
      <c r="C1804" s="5" t="s">
        <v>10</v>
      </c>
      <c r="D1804" s="94"/>
      <c r="E1804" s="94"/>
      <c r="F1804" s="94"/>
      <c r="G1804" s="94"/>
      <c r="H1804" s="94"/>
      <c r="I1804" s="94"/>
      <c r="J1804" s="94"/>
      <c r="K1804" s="94"/>
      <c r="L1804" s="94"/>
      <c r="M1804" s="94"/>
      <c r="N1804" s="94"/>
      <c r="O1804" s="94"/>
      <c r="P1804" s="27"/>
      <c r="Q1804" s="21">
        <f t="shared" si="282"/>
        <v>0</v>
      </c>
    </row>
    <row r="1805" spans="1:17">
      <c r="A1805" s="150"/>
      <c r="B1805" s="153"/>
      <c r="C1805" s="116" t="s">
        <v>55</v>
      </c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89"/>
      <c r="O1805" s="89"/>
      <c r="P1805" s="28"/>
      <c r="Q1805" s="20">
        <f t="shared" si="282"/>
        <v>0</v>
      </c>
    </row>
    <row r="1806" spans="1:17">
      <c r="A1806" s="150"/>
      <c r="B1806" s="153"/>
      <c r="C1806" s="8" t="s">
        <v>56</v>
      </c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89"/>
      <c r="O1806" s="89"/>
      <c r="P1806" s="28"/>
      <c r="Q1806" s="20">
        <f t="shared" si="282"/>
        <v>0</v>
      </c>
    </row>
    <row r="1807" spans="1:17">
      <c r="A1807" s="150"/>
      <c r="B1807" s="154"/>
      <c r="C1807" s="4" t="s">
        <v>61</v>
      </c>
      <c r="D1807" s="92"/>
      <c r="E1807" s="92"/>
      <c r="F1807" s="92"/>
      <c r="G1807" s="92"/>
      <c r="H1807" s="92"/>
      <c r="I1807" s="92"/>
      <c r="J1807" s="92"/>
      <c r="K1807" s="92"/>
      <c r="L1807" s="92"/>
      <c r="M1807" s="92"/>
      <c r="N1807" s="92"/>
      <c r="O1807" s="92"/>
      <c r="P1807" s="33"/>
      <c r="Q1807" s="22">
        <f t="shared" si="282"/>
        <v>0</v>
      </c>
    </row>
    <row r="1808" spans="1:17">
      <c r="A1808" s="150"/>
      <c r="B1808" s="156" t="s">
        <v>54</v>
      </c>
      <c r="C1808" s="157"/>
      <c r="D1808" s="56">
        <f t="shared" ref="D1808:O1808" si="292">SUM(D1794:D1798)-SUM(D1802:D1803)</f>
        <v>0</v>
      </c>
      <c r="E1808" s="56">
        <f t="shared" si="292"/>
        <v>0</v>
      </c>
      <c r="F1808" s="56">
        <f t="shared" si="292"/>
        <v>0</v>
      </c>
      <c r="G1808" s="56">
        <f t="shared" si="292"/>
        <v>0</v>
      </c>
      <c r="H1808" s="56">
        <f t="shared" si="292"/>
        <v>0</v>
      </c>
      <c r="I1808" s="56">
        <f t="shared" si="292"/>
        <v>0</v>
      </c>
      <c r="J1808" s="56">
        <f t="shared" si="292"/>
        <v>0</v>
      </c>
      <c r="K1808" s="56">
        <f t="shared" si="292"/>
        <v>0</v>
      </c>
      <c r="L1808" s="56">
        <f t="shared" si="292"/>
        <v>0</v>
      </c>
      <c r="M1808" s="56">
        <f t="shared" si="292"/>
        <v>0</v>
      </c>
      <c r="N1808" s="56">
        <f t="shared" si="292"/>
        <v>0</v>
      </c>
      <c r="O1808" s="56">
        <f t="shared" si="292"/>
        <v>0</v>
      </c>
      <c r="P1808" s="58">
        <f>SUM(P1792:P1798)-SUM(P1802:P1803)</f>
        <v>0</v>
      </c>
      <c r="Q1808" s="59">
        <f t="shared" si="282"/>
        <v>0</v>
      </c>
    </row>
    <row r="1809" spans="1:17" ht="14.25" thickBot="1">
      <c r="A1809" s="151"/>
      <c r="B1809" s="147" t="s">
        <v>5</v>
      </c>
      <c r="C1809" s="148"/>
      <c r="D1809" s="42">
        <f t="shared" ref="D1809:O1809" si="293">SUM(D1794:D1798)-SUM(D1799:D1803)+SUM(D1804:D1807)</f>
        <v>0</v>
      </c>
      <c r="E1809" s="42">
        <f t="shared" si="293"/>
        <v>0</v>
      </c>
      <c r="F1809" s="42">
        <f t="shared" si="293"/>
        <v>0</v>
      </c>
      <c r="G1809" s="42">
        <f t="shared" si="293"/>
        <v>0</v>
      </c>
      <c r="H1809" s="42">
        <f t="shared" si="293"/>
        <v>0</v>
      </c>
      <c r="I1809" s="42">
        <f t="shared" si="293"/>
        <v>0</v>
      </c>
      <c r="J1809" s="42">
        <f t="shared" si="293"/>
        <v>0</v>
      </c>
      <c r="K1809" s="42">
        <f t="shared" si="293"/>
        <v>0</v>
      </c>
      <c r="L1809" s="42">
        <f t="shared" si="293"/>
        <v>0</v>
      </c>
      <c r="M1809" s="42">
        <f t="shared" si="293"/>
        <v>0</v>
      </c>
      <c r="N1809" s="42">
        <f t="shared" si="293"/>
        <v>0</v>
      </c>
      <c r="O1809" s="42">
        <f t="shared" si="293"/>
        <v>0</v>
      </c>
      <c r="P1809" s="44">
        <f>SUM(P1792:P1798)-SUM(P1799:P1803)+SUM(P1804:P1807)</f>
        <v>0</v>
      </c>
      <c r="Q1809" s="46">
        <f t="shared" si="282"/>
        <v>0</v>
      </c>
    </row>
    <row r="1810" spans="1:17">
      <c r="A1810" s="149"/>
      <c r="B1810" s="152" t="s">
        <v>12</v>
      </c>
      <c r="C1810" s="114" t="s">
        <v>84</v>
      </c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87"/>
      <c r="O1810" s="87"/>
      <c r="P1810" s="30"/>
      <c r="Q1810" s="19">
        <f t="shared" si="282"/>
        <v>0</v>
      </c>
    </row>
    <row r="1811" spans="1:17">
      <c r="A1811" s="150"/>
      <c r="B1811" s="153"/>
      <c r="C1811" s="115" t="s">
        <v>85</v>
      </c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28"/>
      <c r="Q1811" s="20">
        <f t="shared" ref="Q1811:Q1874" si="294">SUM(P1811:P1811)</f>
        <v>0</v>
      </c>
    </row>
    <row r="1812" spans="1:17">
      <c r="A1812" s="150"/>
      <c r="B1812" s="153"/>
      <c r="C1812" s="116" t="s">
        <v>86</v>
      </c>
      <c r="D1812" s="91">
        <f>D1810*D1811</f>
        <v>0</v>
      </c>
      <c r="E1812" s="91">
        <f>E1810*E1811</f>
        <v>0</v>
      </c>
      <c r="F1812" s="91">
        <f>F1810*F1811</f>
        <v>0</v>
      </c>
      <c r="G1812" s="91">
        <f>G1810*G1811</f>
        <v>0</v>
      </c>
      <c r="H1812" s="91">
        <f>H1810*H1811</f>
        <v>0</v>
      </c>
      <c r="I1812" s="91">
        <f t="shared" ref="I1812:O1812" si="295">I1810*I1811</f>
        <v>0</v>
      </c>
      <c r="J1812" s="91">
        <f t="shared" si="295"/>
        <v>0</v>
      </c>
      <c r="K1812" s="91">
        <f t="shared" si="295"/>
        <v>0</v>
      </c>
      <c r="L1812" s="91">
        <f t="shared" si="295"/>
        <v>0</v>
      </c>
      <c r="M1812" s="91">
        <f t="shared" si="295"/>
        <v>0</v>
      </c>
      <c r="N1812" s="91">
        <f t="shared" si="295"/>
        <v>0</v>
      </c>
      <c r="O1812" s="91">
        <f t="shared" si="295"/>
        <v>0</v>
      </c>
      <c r="P1812" s="32"/>
      <c r="Q1812" s="20">
        <f t="shared" si="294"/>
        <v>0</v>
      </c>
    </row>
    <row r="1813" spans="1:17">
      <c r="A1813" s="150"/>
      <c r="B1813" s="153"/>
      <c r="C1813" s="117" t="s">
        <v>9</v>
      </c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1"/>
      <c r="O1813" s="91"/>
      <c r="P1813" s="32"/>
      <c r="Q1813" s="20">
        <f t="shared" si="294"/>
        <v>0</v>
      </c>
    </row>
    <row r="1814" spans="1:17">
      <c r="A1814" s="150"/>
      <c r="B1814" s="153"/>
      <c r="C1814" s="117" t="s">
        <v>38</v>
      </c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89"/>
      <c r="O1814" s="89"/>
      <c r="P1814" s="28"/>
      <c r="Q1814" s="20">
        <f t="shared" si="294"/>
        <v>0</v>
      </c>
    </row>
    <row r="1815" spans="1:17">
      <c r="A1815" s="150"/>
      <c r="B1815" s="153"/>
      <c r="C1815" s="62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1"/>
      <c r="O1815" s="91"/>
      <c r="P1815" s="32"/>
      <c r="Q1815" s="20">
        <f t="shared" si="294"/>
        <v>0</v>
      </c>
    </row>
    <row r="1816" spans="1:17">
      <c r="A1816" s="150"/>
      <c r="B1816" s="154"/>
      <c r="C1816" s="6" t="s">
        <v>42</v>
      </c>
      <c r="D1816" s="92"/>
      <c r="E1816" s="92"/>
      <c r="F1816" s="92"/>
      <c r="G1816" s="92"/>
      <c r="H1816" s="92"/>
      <c r="I1816" s="92"/>
      <c r="J1816" s="92"/>
      <c r="K1816" s="92"/>
      <c r="L1816" s="92"/>
      <c r="M1816" s="92"/>
      <c r="N1816" s="92"/>
      <c r="O1816" s="92"/>
      <c r="P1816" s="33"/>
      <c r="Q1816" s="22">
        <f t="shared" si="294"/>
        <v>0</v>
      </c>
    </row>
    <row r="1817" spans="1:17">
      <c r="A1817" s="150"/>
      <c r="B1817" s="155" t="s">
        <v>11</v>
      </c>
      <c r="C1817" s="5" t="s">
        <v>7</v>
      </c>
      <c r="D1817" s="94"/>
      <c r="E1817" s="94"/>
      <c r="F1817" s="94"/>
      <c r="G1817" s="94"/>
      <c r="H1817" s="94"/>
      <c r="I1817" s="94"/>
      <c r="J1817" s="94"/>
      <c r="K1817" s="94"/>
      <c r="L1817" s="94"/>
      <c r="M1817" s="94"/>
      <c r="N1817" s="94"/>
      <c r="O1817" s="94"/>
      <c r="P1817" s="27"/>
      <c r="Q1817" s="21">
        <f t="shared" si="294"/>
        <v>0</v>
      </c>
    </row>
    <row r="1818" spans="1:17">
      <c r="A1818" s="150"/>
      <c r="B1818" s="153"/>
      <c r="C1818" s="6" t="s">
        <v>4</v>
      </c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32"/>
      <c r="Q1818" s="20">
        <f t="shared" si="294"/>
        <v>0</v>
      </c>
    </row>
    <row r="1819" spans="1:17">
      <c r="A1819" s="150"/>
      <c r="B1819" s="153"/>
      <c r="C1819" s="6" t="s">
        <v>17</v>
      </c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32"/>
      <c r="Q1819" s="20">
        <f t="shared" si="294"/>
        <v>0</v>
      </c>
    </row>
    <row r="1820" spans="1:17">
      <c r="A1820" s="150"/>
      <c r="B1820" s="153"/>
      <c r="C1820" s="6" t="s">
        <v>18</v>
      </c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32"/>
      <c r="Q1820" s="20">
        <f t="shared" si="294"/>
        <v>0</v>
      </c>
    </row>
    <row r="1821" spans="1:17">
      <c r="A1821" s="150"/>
      <c r="B1821" s="153"/>
      <c r="C1821" s="6" t="s">
        <v>60</v>
      </c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32"/>
      <c r="Q1821" s="20">
        <f t="shared" si="294"/>
        <v>0</v>
      </c>
    </row>
    <row r="1822" spans="1:17">
      <c r="A1822" s="150"/>
      <c r="B1822" s="155" t="s">
        <v>13</v>
      </c>
      <c r="C1822" s="5" t="s">
        <v>10</v>
      </c>
      <c r="D1822" s="94"/>
      <c r="E1822" s="94"/>
      <c r="F1822" s="94"/>
      <c r="G1822" s="94"/>
      <c r="H1822" s="94"/>
      <c r="I1822" s="94"/>
      <c r="J1822" s="94"/>
      <c r="K1822" s="94"/>
      <c r="L1822" s="94"/>
      <c r="M1822" s="94"/>
      <c r="N1822" s="94"/>
      <c r="O1822" s="94"/>
      <c r="P1822" s="27"/>
      <c r="Q1822" s="21">
        <f t="shared" si="294"/>
        <v>0</v>
      </c>
    </row>
    <row r="1823" spans="1:17">
      <c r="A1823" s="150"/>
      <c r="B1823" s="153"/>
      <c r="C1823" s="116" t="s">
        <v>55</v>
      </c>
      <c r="D1823" s="89"/>
      <c r="E1823" s="89"/>
      <c r="F1823" s="89"/>
      <c r="G1823" s="89"/>
      <c r="H1823" s="89"/>
      <c r="I1823" s="89"/>
      <c r="J1823" s="89"/>
      <c r="K1823" s="89"/>
      <c r="L1823" s="89"/>
      <c r="M1823" s="89"/>
      <c r="N1823" s="89"/>
      <c r="O1823" s="89"/>
      <c r="P1823" s="28"/>
      <c r="Q1823" s="20">
        <f t="shared" si="294"/>
        <v>0</v>
      </c>
    </row>
    <row r="1824" spans="1:17">
      <c r="A1824" s="150"/>
      <c r="B1824" s="153"/>
      <c r="C1824" s="8" t="s">
        <v>56</v>
      </c>
      <c r="D1824" s="89"/>
      <c r="E1824" s="89"/>
      <c r="F1824" s="89"/>
      <c r="G1824" s="89"/>
      <c r="H1824" s="89"/>
      <c r="I1824" s="89"/>
      <c r="J1824" s="89"/>
      <c r="K1824" s="89"/>
      <c r="L1824" s="89"/>
      <c r="M1824" s="89"/>
      <c r="N1824" s="89"/>
      <c r="O1824" s="89"/>
      <c r="P1824" s="28"/>
      <c r="Q1824" s="20">
        <f t="shared" si="294"/>
        <v>0</v>
      </c>
    </row>
    <row r="1825" spans="1:17">
      <c r="A1825" s="150"/>
      <c r="B1825" s="154"/>
      <c r="C1825" s="4" t="s">
        <v>61</v>
      </c>
      <c r="D1825" s="92"/>
      <c r="E1825" s="92"/>
      <c r="F1825" s="92"/>
      <c r="G1825" s="92"/>
      <c r="H1825" s="92"/>
      <c r="I1825" s="92"/>
      <c r="J1825" s="92"/>
      <c r="K1825" s="92"/>
      <c r="L1825" s="92"/>
      <c r="M1825" s="92"/>
      <c r="N1825" s="92"/>
      <c r="O1825" s="92"/>
      <c r="P1825" s="33"/>
      <c r="Q1825" s="22">
        <f t="shared" si="294"/>
        <v>0</v>
      </c>
    </row>
    <row r="1826" spans="1:17">
      <c r="A1826" s="150"/>
      <c r="B1826" s="156" t="s">
        <v>54</v>
      </c>
      <c r="C1826" s="157"/>
      <c r="D1826" s="56">
        <f t="shared" ref="D1826:O1826" si="296">SUM(D1812:D1816)-SUM(D1820:D1821)</f>
        <v>0</v>
      </c>
      <c r="E1826" s="56">
        <f t="shared" si="296"/>
        <v>0</v>
      </c>
      <c r="F1826" s="56">
        <f t="shared" si="296"/>
        <v>0</v>
      </c>
      <c r="G1826" s="56">
        <f t="shared" si="296"/>
        <v>0</v>
      </c>
      <c r="H1826" s="56">
        <f t="shared" si="296"/>
        <v>0</v>
      </c>
      <c r="I1826" s="56">
        <f t="shared" si="296"/>
        <v>0</v>
      </c>
      <c r="J1826" s="56">
        <f t="shared" si="296"/>
        <v>0</v>
      </c>
      <c r="K1826" s="56">
        <f t="shared" si="296"/>
        <v>0</v>
      </c>
      <c r="L1826" s="56">
        <f t="shared" si="296"/>
        <v>0</v>
      </c>
      <c r="M1826" s="56">
        <f t="shared" si="296"/>
        <v>0</v>
      </c>
      <c r="N1826" s="56">
        <f t="shared" si="296"/>
        <v>0</v>
      </c>
      <c r="O1826" s="56">
        <f t="shared" si="296"/>
        <v>0</v>
      </c>
      <c r="P1826" s="58">
        <f>SUM(P1810:P1816)-SUM(P1820:P1821)</f>
        <v>0</v>
      </c>
      <c r="Q1826" s="59">
        <f t="shared" si="294"/>
        <v>0</v>
      </c>
    </row>
    <row r="1827" spans="1:17" ht="14.25" thickBot="1">
      <c r="A1827" s="151"/>
      <c r="B1827" s="147" t="s">
        <v>5</v>
      </c>
      <c r="C1827" s="148"/>
      <c r="D1827" s="42">
        <f t="shared" ref="D1827:O1827" si="297">SUM(D1812:D1816)-SUM(D1817:D1821)+SUM(D1822:D1825)</f>
        <v>0</v>
      </c>
      <c r="E1827" s="42">
        <f t="shared" si="297"/>
        <v>0</v>
      </c>
      <c r="F1827" s="42">
        <f t="shared" si="297"/>
        <v>0</v>
      </c>
      <c r="G1827" s="42">
        <f t="shared" si="297"/>
        <v>0</v>
      </c>
      <c r="H1827" s="42">
        <f t="shared" si="297"/>
        <v>0</v>
      </c>
      <c r="I1827" s="42">
        <f t="shared" si="297"/>
        <v>0</v>
      </c>
      <c r="J1827" s="42">
        <f t="shared" si="297"/>
        <v>0</v>
      </c>
      <c r="K1827" s="42">
        <f t="shared" si="297"/>
        <v>0</v>
      </c>
      <c r="L1827" s="42">
        <f t="shared" si="297"/>
        <v>0</v>
      </c>
      <c r="M1827" s="42">
        <f t="shared" si="297"/>
        <v>0</v>
      </c>
      <c r="N1827" s="42">
        <f t="shared" si="297"/>
        <v>0</v>
      </c>
      <c r="O1827" s="42">
        <f t="shared" si="297"/>
        <v>0</v>
      </c>
      <c r="P1827" s="44">
        <f>SUM(P1810:P1816)-SUM(P1817:P1821)+SUM(P1822:P1825)</f>
        <v>0</v>
      </c>
      <c r="Q1827" s="46">
        <f t="shared" si="294"/>
        <v>0</v>
      </c>
    </row>
    <row r="1828" spans="1:17">
      <c r="A1828" s="149"/>
      <c r="B1828" s="152" t="s">
        <v>12</v>
      </c>
      <c r="C1828" s="114" t="s">
        <v>84</v>
      </c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87"/>
      <c r="O1828" s="87"/>
      <c r="P1828" s="30"/>
      <c r="Q1828" s="19">
        <f t="shared" si="294"/>
        <v>0</v>
      </c>
    </row>
    <row r="1829" spans="1:17">
      <c r="A1829" s="150"/>
      <c r="B1829" s="153"/>
      <c r="C1829" s="115" t="s">
        <v>85</v>
      </c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28"/>
      <c r="Q1829" s="20">
        <f t="shared" si="294"/>
        <v>0</v>
      </c>
    </row>
    <row r="1830" spans="1:17">
      <c r="A1830" s="150"/>
      <c r="B1830" s="153"/>
      <c r="C1830" s="116" t="s">
        <v>86</v>
      </c>
      <c r="D1830" s="91">
        <f>D1828*D1829</f>
        <v>0</v>
      </c>
      <c r="E1830" s="91">
        <f>E1828*E1829</f>
        <v>0</v>
      </c>
      <c r="F1830" s="91">
        <f>F1828*F1829</f>
        <v>0</v>
      </c>
      <c r="G1830" s="91">
        <f>G1828*G1829</f>
        <v>0</v>
      </c>
      <c r="H1830" s="91">
        <f>H1828*H1829</f>
        <v>0</v>
      </c>
      <c r="I1830" s="91">
        <f t="shared" ref="I1830:O1830" si="298">I1828*I1829</f>
        <v>0</v>
      </c>
      <c r="J1830" s="91">
        <f t="shared" si="298"/>
        <v>0</v>
      </c>
      <c r="K1830" s="91">
        <f t="shared" si="298"/>
        <v>0</v>
      </c>
      <c r="L1830" s="91">
        <f t="shared" si="298"/>
        <v>0</v>
      </c>
      <c r="M1830" s="91">
        <f t="shared" si="298"/>
        <v>0</v>
      </c>
      <c r="N1830" s="91">
        <f t="shared" si="298"/>
        <v>0</v>
      </c>
      <c r="O1830" s="91">
        <f t="shared" si="298"/>
        <v>0</v>
      </c>
      <c r="P1830" s="32"/>
      <c r="Q1830" s="20">
        <f t="shared" si="294"/>
        <v>0</v>
      </c>
    </row>
    <row r="1831" spans="1:17">
      <c r="A1831" s="150"/>
      <c r="B1831" s="153"/>
      <c r="C1831" s="117" t="s">
        <v>9</v>
      </c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32"/>
      <c r="Q1831" s="20">
        <f t="shared" si="294"/>
        <v>0</v>
      </c>
    </row>
    <row r="1832" spans="1:17">
      <c r="A1832" s="150"/>
      <c r="B1832" s="153"/>
      <c r="C1832" s="117" t="s">
        <v>38</v>
      </c>
      <c r="D1832" s="89"/>
      <c r="E1832" s="89"/>
      <c r="F1832" s="89"/>
      <c r="G1832" s="89"/>
      <c r="H1832" s="89"/>
      <c r="I1832" s="89"/>
      <c r="J1832" s="89"/>
      <c r="K1832" s="89"/>
      <c r="L1832" s="89"/>
      <c r="M1832" s="89"/>
      <c r="N1832" s="89"/>
      <c r="O1832" s="89"/>
      <c r="P1832" s="28"/>
      <c r="Q1832" s="20">
        <f t="shared" si="294"/>
        <v>0</v>
      </c>
    </row>
    <row r="1833" spans="1:17">
      <c r="A1833" s="150"/>
      <c r="B1833" s="153"/>
      <c r="C1833" s="62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1"/>
      <c r="O1833" s="91"/>
      <c r="P1833" s="32"/>
      <c r="Q1833" s="20">
        <f t="shared" si="294"/>
        <v>0</v>
      </c>
    </row>
    <row r="1834" spans="1:17">
      <c r="A1834" s="150"/>
      <c r="B1834" s="154"/>
      <c r="C1834" s="6" t="s">
        <v>42</v>
      </c>
      <c r="D1834" s="92"/>
      <c r="E1834" s="92"/>
      <c r="F1834" s="92"/>
      <c r="G1834" s="92"/>
      <c r="H1834" s="92"/>
      <c r="I1834" s="92"/>
      <c r="J1834" s="92"/>
      <c r="K1834" s="92"/>
      <c r="L1834" s="92"/>
      <c r="M1834" s="92"/>
      <c r="N1834" s="92"/>
      <c r="O1834" s="92"/>
      <c r="P1834" s="33"/>
      <c r="Q1834" s="22">
        <f t="shared" si="294"/>
        <v>0</v>
      </c>
    </row>
    <row r="1835" spans="1:17">
      <c r="A1835" s="150"/>
      <c r="B1835" s="155" t="s">
        <v>11</v>
      </c>
      <c r="C1835" s="5" t="s">
        <v>7</v>
      </c>
      <c r="D1835" s="94"/>
      <c r="E1835" s="94"/>
      <c r="F1835" s="94"/>
      <c r="G1835" s="94"/>
      <c r="H1835" s="94"/>
      <c r="I1835" s="94"/>
      <c r="J1835" s="94"/>
      <c r="K1835" s="94"/>
      <c r="L1835" s="94"/>
      <c r="M1835" s="94"/>
      <c r="N1835" s="94"/>
      <c r="O1835" s="94"/>
      <c r="P1835" s="27"/>
      <c r="Q1835" s="21">
        <f t="shared" si="294"/>
        <v>0</v>
      </c>
    </row>
    <row r="1836" spans="1:17">
      <c r="A1836" s="150"/>
      <c r="B1836" s="153"/>
      <c r="C1836" s="6" t="s">
        <v>4</v>
      </c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32"/>
      <c r="Q1836" s="20">
        <f t="shared" si="294"/>
        <v>0</v>
      </c>
    </row>
    <row r="1837" spans="1:17">
      <c r="A1837" s="150"/>
      <c r="B1837" s="153"/>
      <c r="C1837" s="6" t="s">
        <v>17</v>
      </c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1"/>
      <c r="O1837" s="91"/>
      <c r="P1837" s="32"/>
      <c r="Q1837" s="20">
        <f t="shared" si="294"/>
        <v>0</v>
      </c>
    </row>
    <row r="1838" spans="1:17">
      <c r="A1838" s="150"/>
      <c r="B1838" s="153"/>
      <c r="C1838" s="6" t="s">
        <v>18</v>
      </c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32"/>
      <c r="Q1838" s="20">
        <f t="shared" si="294"/>
        <v>0</v>
      </c>
    </row>
    <row r="1839" spans="1:17">
      <c r="A1839" s="150"/>
      <c r="B1839" s="153"/>
      <c r="C1839" s="6" t="s">
        <v>60</v>
      </c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1"/>
      <c r="O1839" s="91"/>
      <c r="P1839" s="32"/>
      <c r="Q1839" s="20">
        <f t="shared" si="294"/>
        <v>0</v>
      </c>
    </row>
    <row r="1840" spans="1:17">
      <c r="A1840" s="150"/>
      <c r="B1840" s="155" t="s">
        <v>13</v>
      </c>
      <c r="C1840" s="5" t="s">
        <v>10</v>
      </c>
      <c r="D1840" s="94"/>
      <c r="E1840" s="94"/>
      <c r="F1840" s="94"/>
      <c r="G1840" s="94"/>
      <c r="H1840" s="94"/>
      <c r="I1840" s="94"/>
      <c r="J1840" s="94"/>
      <c r="K1840" s="94"/>
      <c r="L1840" s="94"/>
      <c r="M1840" s="94"/>
      <c r="N1840" s="94"/>
      <c r="O1840" s="94"/>
      <c r="P1840" s="27"/>
      <c r="Q1840" s="21">
        <f t="shared" si="294"/>
        <v>0</v>
      </c>
    </row>
    <row r="1841" spans="1:17">
      <c r="A1841" s="150"/>
      <c r="B1841" s="153"/>
      <c r="C1841" s="116" t="s">
        <v>55</v>
      </c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89"/>
      <c r="O1841" s="89"/>
      <c r="P1841" s="28"/>
      <c r="Q1841" s="20">
        <f t="shared" si="294"/>
        <v>0</v>
      </c>
    </row>
    <row r="1842" spans="1:17">
      <c r="A1842" s="150"/>
      <c r="B1842" s="153"/>
      <c r="C1842" s="8" t="s">
        <v>56</v>
      </c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89"/>
      <c r="O1842" s="89"/>
      <c r="P1842" s="28"/>
      <c r="Q1842" s="20">
        <f t="shared" si="294"/>
        <v>0</v>
      </c>
    </row>
    <row r="1843" spans="1:17">
      <c r="A1843" s="150"/>
      <c r="B1843" s="154"/>
      <c r="C1843" s="4" t="s">
        <v>61</v>
      </c>
      <c r="D1843" s="92"/>
      <c r="E1843" s="92"/>
      <c r="F1843" s="92"/>
      <c r="G1843" s="92"/>
      <c r="H1843" s="92"/>
      <c r="I1843" s="92"/>
      <c r="J1843" s="92"/>
      <c r="K1843" s="92"/>
      <c r="L1843" s="92"/>
      <c r="M1843" s="92"/>
      <c r="N1843" s="92"/>
      <c r="O1843" s="92"/>
      <c r="P1843" s="33"/>
      <c r="Q1843" s="22">
        <f t="shared" si="294"/>
        <v>0</v>
      </c>
    </row>
    <row r="1844" spans="1:17">
      <c r="A1844" s="150"/>
      <c r="B1844" s="156" t="s">
        <v>54</v>
      </c>
      <c r="C1844" s="157"/>
      <c r="D1844" s="56">
        <f t="shared" ref="D1844:O1844" si="299">SUM(D1830:D1834)-SUM(D1838:D1839)</f>
        <v>0</v>
      </c>
      <c r="E1844" s="56">
        <f t="shared" si="299"/>
        <v>0</v>
      </c>
      <c r="F1844" s="56">
        <f t="shared" si="299"/>
        <v>0</v>
      </c>
      <c r="G1844" s="56">
        <f t="shared" si="299"/>
        <v>0</v>
      </c>
      <c r="H1844" s="56">
        <f t="shared" si="299"/>
        <v>0</v>
      </c>
      <c r="I1844" s="56">
        <f t="shared" si="299"/>
        <v>0</v>
      </c>
      <c r="J1844" s="56">
        <f t="shared" si="299"/>
        <v>0</v>
      </c>
      <c r="K1844" s="56">
        <f t="shared" si="299"/>
        <v>0</v>
      </c>
      <c r="L1844" s="56">
        <f t="shared" si="299"/>
        <v>0</v>
      </c>
      <c r="M1844" s="56">
        <f t="shared" si="299"/>
        <v>0</v>
      </c>
      <c r="N1844" s="56">
        <f t="shared" si="299"/>
        <v>0</v>
      </c>
      <c r="O1844" s="56">
        <f t="shared" si="299"/>
        <v>0</v>
      </c>
      <c r="P1844" s="58">
        <f>SUM(P1828:P1834)-SUM(P1838:P1839)</f>
        <v>0</v>
      </c>
      <c r="Q1844" s="59">
        <f t="shared" si="294"/>
        <v>0</v>
      </c>
    </row>
    <row r="1845" spans="1:17" ht="14.25" thickBot="1">
      <c r="A1845" s="151"/>
      <c r="B1845" s="147" t="s">
        <v>5</v>
      </c>
      <c r="C1845" s="148"/>
      <c r="D1845" s="42">
        <f t="shared" ref="D1845:O1845" si="300">SUM(D1830:D1834)-SUM(D1835:D1839)+SUM(D1840:D1843)</f>
        <v>0</v>
      </c>
      <c r="E1845" s="42">
        <f t="shared" si="300"/>
        <v>0</v>
      </c>
      <c r="F1845" s="42">
        <f t="shared" si="300"/>
        <v>0</v>
      </c>
      <c r="G1845" s="42">
        <f t="shared" si="300"/>
        <v>0</v>
      </c>
      <c r="H1845" s="42">
        <f t="shared" si="300"/>
        <v>0</v>
      </c>
      <c r="I1845" s="42">
        <f t="shared" si="300"/>
        <v>0</v>
      </c>
      <c r="J1845" s="42">
        <f t="shared" si="300"/>
        <v>0</v>
      </c>
      <c r="K1845" s="42">
        <f t="shared" si="300"/>
        <v>0</v>
      </c>
      <c r="L1845" s="42">
        <f t="shared" si="300"/>
        <v>0</v>
      </c>
      <c r="M1845" s="42">
        <f t="shared" si="300"/>
        <v>0</v>
      </c>
      <c r="N1845" s="42">
        <f t="shared" si="300"/>
        <v>0</v>
      </c>
      <c r="O1845" s="42">
        <f t="shared" si="300"/>
        <v>0</v>
      </c>
      <c r="P1845" s="44">
        <f>SUM(P1828:P1834)-SUM(P1835:P1839)+SUM(P1840:P1843)</f>
        <v>0</v>
      </c>
      <c r="Q1845" s="46">
        <f t="shared" si="294"/>
        <v>0</v>
      </c>
    </row>
    <row r="1846" spans="1:17">
      <c r="A1846" s="149"/>
      <c r="B1846" s="152" t="s">
        <v>12</v>
      </c>
      <c r="C1846" s="114" t="s">
        <v>84</v>
      </c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87"/>
      <c r="O1846" s="87"/>
      <c r="P1846" s="30"/>
      <c r="Q1846" s="19">
        <f t="shared" si="294"/>
        <v>0</v>
      </c>
    </row>
    <row r="1847" spans="1:17">
      <c r="A1847" s="150"/>
      <c r="B1847" s="153"/>
      <c r="C1847" s="115" t="s">
        <v>85</v>
      </c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28"/>
      <c r="Q1847" s="20">
        <f t="shared" si="294"/>
        <v>0</v>
      </c>
    </row>
    <row r="1848" spans="1:17">
      <c r="A1848" s="150"/>
      <c r="B1848" s="153"/>
      <c r="C1848" s="116" t="s">
        <v>86</v>
      </c>
      <c r="D1848" s="91">
        <f>D1846*D1847</f>
        <v>0</v>
      </c>
      <c r="E1848" s="91">
        <f>E1846*E1847</f>
        <v>0</v>
      </c>
      <c r="F1848" s="91">
        <f>F1846*F1847</f>
        <v>0</v>
      </c>
      <c r="G1848" s="91">
        <f>G1846*G1847</f>
        <v>0</v>
      </c>
      <c r="H1848" s="91">
        <f>H1846*H1847</f>
        <v>0</v>
      </c>
      <c r="I1848" s="91">
        <f t="shared" ref="I1848:O1848" si="301">I1846*I1847</f>
        <v>0</v>
      </c>
      <c r="J1848" s="91">
        <f t="shared" si="301"/>
        <v>0</v>
      </c>
      <c r="K1848" s="91">
        <f t="shared" si="301"/>
        <v>0</v>
      </c>
      <c r="L1848" s="91">
        <f t="shared" si="301"/>
        <v>0</v>
      </c>
      <c r="M1848" s="91">
        <f t="shared" si="301"/>
        <v>0</v>
      </c>
      <c r="N1848" s="91">
        <f t="shared" si="301"/>
        <v>0</v>
      </c>
      <c r="O1848" s="91">
        <f t="shared" si="301"/>
        <v>0</v>
      </c>
      <c r="P1848" s="32"/>
      <c r="Q1848" s="20">
        <f t="shared" si="294"/>
        <v>0</v>
      </c>
    </row>
    <row r="1849" spans="1:17">
      <c r="A1849" s="150"/>
      <c r="B1849" s="153"/>
      <c r="C1849" s="117" t="s">
        <v>9</v>
      </c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32"/>
      <c r="Q1849" s="20">
        <f t="shared" si="294"/>
        <v>0</v>
      </c>
    </row>
    <row r="1850" spans="1:17">
      <c r="A1850" s="150"/>
      <c r="B1850" s="153"/>
      <c r="C1850" s="117" t="s">
        <v>38</v>
      </c>
      <c r="D1850" s="89"/>
      <c r="E1850" s="89"/>
      <c r="F1850" s="89"/>
      <c r="G1850" s="89"/>
      <c r="H1850" s="89"/>
      <c r="I1850" s="89"/>
      <c r="J1850" s="89"/>
      <c r="K1850" s="89"/>
      <c r="L1850" s="89"/>
      <c r="M1850" s="89"/>
      <c r="N1850" s="89"/>
      <c r="O1850" s="89"/>
      <c r="P1850" s="28"/>
      <c r="Q1850" s="20">
        <f t="shared" si="294"/>
        <v>0</v>
      </c>
    </row>
    <row r="1851" spans="1:17">
      <c r="A1851" s="150"/>
      <c r="B1851" s="153"/>
      <c r="C1851" s="62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32"/>
      <c r="Q1851" s="20">
        <f t="shared" si="294"/>
        <v>0</v>
      </c>
    </row>
    <row r="1852" spans="1:17">
      <c r="A1852" s="150"/>
      <c r="B1852" s="154"/>
      <c r="C1852" s="6" t="s">
        <v>42</v>
      </c>
      <c r="D1852" s="92"/>
      <c r="E1852" s="92"/>
      <c r="F1852" s="92"/>
      <c r="G1852" s="92"/>
      <c r="H1852" s="92"/>
      <c r="I1852" s="92"/>
      <c r="J1852" s="92"/>
      <c r="K1852" s="92"/>
      <c r="L1852" s="92"/>
      <c r="M1852" s="92"/>
      <c r="N1852" s="92"/>
      <c r="O1852" s="92"/>
      <c r="P1852" s="33"/>
      <c r="Q1852" s="22">
        <f t="shared" si="294"/>
        <v>0</v>
      </c>
    </row>
    <row r="1853" spans="1:17">
      <c r="A1853" s="150"/>
      <c r="B1853" s="155" t="s">
        <v>11</v>
      </c>
      <c r="C1853" s="5" t="s">
        <v>7</v>
      </c>
      <c r="D1853" s="94"/>
      <c r="E1853" s="94"/>
      <c r="F1853" s="94"/>
      <c r="G1853" s="94"/>
      <c r="H1853" s="94"/>
      <c r="I1853" s="94"/>
      <c r="J1853" s="94"/>
      <c r="K1853" s="94"/>
      <c r="L1853" s="94"/>
      <c r="M1853" s="94"/>
      <c r="N1853" s="94"/>
      <c r="O1853" s="94"/>
      <c r="P1853" s="27"/>
      <c r="Q1853" s="21">
        <f t="shared" si="294"/>
        <v>0</v>
      </c>
    </row>
    <row r="1854" spans="1:17">
      <c r="A1854" s="150"/>
      <c r="B1854" s="153"/>
      <c r="C1854" s="6" t="s">
        <v>4</v>
      </c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32"/>
      <c r="Q1854" s="20">
        <f t="shared" si="294"/>
        <v>0</v>
      </c>
    </row>
    <row r="1855" spans="1:17">
      <c r="A1855" s="150"/>
      <c r="B1855" s="153"/>
      <c r="C1855" s="6" t="s">
        <v>17</v>
      </c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32"/>
      <c r="Q1855" s="20">
        <f t="shared" si="294"/>
        <v>0</v>
      </c>
    </row>
    <row r="1856" spans="1:17">
      <c r="A1856" s="150"/>
      <c r="B1856" s="153"/>
      <c r="C1856" s="6" t="s">
        <v>18</v>
      </c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32"/>
      <c r="Q1856" s="20">
        <f t="shared" si="294"/>
        <v>0</v>
      </c>
    </row>
    <row r="1857" spans="1:17">
      <c r="A1857" s="150"/>
      <c r="B1857" s="153"/>
      <c r="C1857" s="6" t="s">
        <v>60</v>
      </c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32"/>
      <c r="Q1857" s="20">
        <f t="shared" si="294"/>
        <v>0</v>
      </c>
    </row>
    <row r="1858" spans="1:17">
      <c r="A1858" s="150"/>
      <c r="B1858" s="155" t="s">
        <v>13</v>
      </c>
      <c r="C1858" s="5" t="s">
        <v>10</v>
      </c>
      <c r="D1858" s="94"/>
      <c r="E1858" s="94"/>
      <c r="F1858" s="94"/>
      <c r="G1858" s="94"/>
      <c r="H1858" s="94"/>
      <c r="I1858" s="94"/>
      <c r="J1858" s="94"/>
      <c r="K1858" s="94"/>
      <c r="L1858" s="94"/>
      <c r="M1858" s="94"/>
      <c r="N1858" s="94"/>
      <c r="O1858" s="94"/>
      <c r="P1858" s="27"/>
      <c r="Q1858" s="21">
        <f t="shared" si="294"/>
        <v>0</v>
      </c>
    </row>
    <row r="1859" spans="1:17">
      <c r="A1859" s="150"/>
      <c r="B1859" s="153"/>
      <c r="C1859" s="116" t="s">
        <v>55</v>
      </c>
      <c r="D1859" s="89"/>
      <c r="E1859" s="89"/>
      <c r="F1859" s="89"/>
      <c r="G1859" s="89"/>
      <c r="H1859" s="89"/>
      <c r="I1859" s="89"/>
      <c r="J1859" s="89"/>
      <c r="K1859" s="89"/>
      <c r="L1859" s="89"/>
      <c r="M1859" s="89"/>
      <c r="N1859" s="89"/>
      <c r="O1859" s="89"/>
      <c r="P1859" s="28"/>
      <c r="Q1859" s="20">
        <f t="shared" si="294"/>
        <v>0</v>
      </c>
    </row>
    <row r="1860" spans="1:17">
      <c r="A1860" s="150"/>
      <c r="B1860" s="153"/>
      <c r="C1860" s="8" t="s">
        <v>56</v>
      </c>
      <c r="D1860" s="89"/>
      <c r="E1860" s="89"/>
      <c r="F1860" s="89"/>
      <c r="G1860" s="89"/>
      <c r="H1860" s="89"/>
      <c r="I1860" s="89"/>
      <c r="J1860" s="89"/>
      <c r="K1860" s="89"/>
      <c r="L1860" s="89"/>
      <c r="M1860" s="89"/>
      <c r="N1860" s="89"/>
      <c r="O1860" s="89"/>
      <c r="P1860" s="28"/>
      <c r="Q1860" s="20">
        <f t="shared" si="294"/>
        <v>0</v>
      </c>
    </row>
    <row r="1861" spans="1:17">
      <c r="A1861" s="150"/>
      <c r="B1861" s="154"/>
      <c r="C1861" s="4" t="s">
        <v>61</v>
      </c>
      <c r="D1861" s="92"/>
      <c r="E1861" s="92"/>
      <c r="F1861" s="92"/>
      <c r="G1861" s="92"/>
      <c r="H1861" s="92"/>
      <c r="I1861" s="92"/>
      <c r="J1861" s="92"/>
      <c r="K1861" s="92"/>
      <c r="L1861" s="92"/>
      <c r="M1861" s="92"/>
      <c r="N1861" s="92"/>
      <c r="O1861" s="92"/>
      <c r="P1861" s="33"/>
      <c r="Q1861" s="22">
        <f t="shared" si="294"/>
        <v>0</v>
      </c>
    </row>
    <row r="1862" spans="1:17">
      <c r="A1862" s="150"/>
      <c r="B1862" s="156" t="s">
        <v>54</v>
      </c>
      <c r="C1862" s="157"/>
      <c r="D1862" s="56">
        <f t="shared" ref="D1862:O1862" si="302">SUM(D1848:D1852)-SUM(D1856:D1857)</f>
        <v>0</v>
      </c>
      <c r="E1862" s="56">
        <f t="shared" si="302"/>
        <v>0</v>
      </c>
      <c r="F1862" s="56">
        <f t="shared" si="302"/>
        <v>0</v>
      </c>
      <c r="G1862" s="56">
        <f t="shared" si="302"/>
        <v>0</v>
      </c>
      <c r="H1862" s="56">
        <f t="shared" si="302"/>
        <v>0</v>
      </c>
      <c r="I1862" s="56">
        <f t="shared" si="302"/>
        <v>0</v>
      </c>
      <c r="J1862" s="56">
        <f t="shared" si="302"/>
        <v>0</v>
      </c>
      <c r="K1862" s="56">
        <f t="shared" si="302"/>
        <v>0</v>
      </c>
      <c r="L1862" s="56">
        <f t="shared" si="302"/>
        <v>0</v>
      </c>
      <c r="M1862" s="56">
        <f t="shared" si="302"/>
        <v>0</v>
      </c>
      <c r="N1862" s="56">
        <f t="shared" si="302"/>
        <v>0</v>
      </c>
      <c r="O1862" s="56">
        <f t="shared" si="302"/>
        <v>0</v>
      </c>
      <c r="P1862" s="58">
        <f>SUM(P1846:P1852)-SUM(P1856:P1857)</f>
        <v>0</v>
      </c>
      <c r="Q1862" s="59">
        <f t="shared" si="294"/>
        <v>0</v>
      </c>
    </row>
    <row r="1863" spans="1:17" ht="14.25" thickBot="1">
      <c r="A1863" s="151"/>
      <c r="B1863" s="147" t="s">
        <v>5</v>
      </c>
      <c r="C1863" s="148"/>
      <c r="D1863" s="42">
        <f t="shared" ref="D1863:O1863" si="303">SUM(D1848:D1852)-SUM(D1853:D1857)+SUM(D1858:D1861)</f>
        <v>0</v>
      </c>
      <c r="E1863" s="42">
        <f t="shared" si="303"/>
        <v>0</v>
      </c>
      <c r="F1863" s="42">
        <f t="shared" si="303"/>
        <v>0</v>
      </c>
      <c r="G1863" s="42">
        <f t="shared" si="303"/>
        <v>0</v>
      </c>
      <c r="H1863" s="42">
        <f t="shared" si="303"/>
        <v>0</v>
      </c>
      <c r="I1863" s="42">
        <f t="shared" si="303"/>
        <v>0</v>
      </c>
      <c r="J1863" s="42">
        <f t="shared" si="303"/>
        <v>0</v>
      </c>
      <c r="K1863" s="42">
        <f t="shared" si="303"/>
        <v>0</v>
      </c>
      <c r="L1863" s="42">
        <f t="shared" si="303"/>
        <v>0</v>
      </c>
      <c r="M1863" s="42">
        <f t="shared" si="303"/>
        <v>0</v>
      </c>
      <c r="N1863" s="42">
        <f t="shared" si="303"/>
        <v>0</v>
      </c>
      <c r="O1863" s="42">
        <f t="shared" si="303"/>
        <v>0</v>
      </c>
      <c r="P1863" s="44">
        <f>SUM(P1846:P1852)-SUM(P1853:P1857)+SUM(P1858:P1861)</f>
        <v>0</v>
      </c>
      <c r="Q1863" s="46">
        <f t="shared" si="294"/>
        <v>0</v>
      </c>
    </row>
    <row r="1864" spans="1:17">
      <c r="A1864" s="149"/>
      <c r="B1864" s="152" t="s">
        <v>12</v>
      </c>
      <c r="C1864" s="114" t="s">
        <v>84</v>
      </c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87"/>
      <c r="O1864" s="87"/>
      <c r="P1864" s="30"/>
      <c r="Q1864" s="19">
        <f t="shared" si="294"/>
        <v>0</v>
      </c>
    </row>
    <row r="1865" spans="1:17">
      <c r="A1865" s="150"/>
      <c r="B1865" s="153"/>
      <c r="C1865" s="115" t="s">
        <v>85</v>
      </c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28"/>
      <c r="Q1865" s="20">
        <f t="shared" si="294"/>
        <v>0</v>
      </c>
    </row>
    <row r="1866" spans="1:17">
      <c r="A1866" s="150"/>
      <c r="B1866" s="153"/>
      <c r="C1866" s="116" t="s">
        <v>86</v>
      </c>
      <c r="D1866" s="91">
        <f>D1864*D1865</f>
        <v>0</v>
      </c>
      <c r="E1866" s="91">
        <f>E1864*E1865</f>
        <v>0</v>
      </c>
      <c r="F1866" s="91">
        <f>F1864*F1865</f>
        <v>0</v>
      </c>
      <c r="G1866" s="91">
        <f>G1864*G1865</f>
        <v>0</v>
      </c>
      <c r="H1866" s="91">
        <f>H1864*H1865</f>
        <v>0</v>
      </c>
      <c r="I1866" s="91">
        <f t="shared" ref="I1866:O1866" si="304">I1864*I1865</f>
        <v>0</v>
      </c>
      <c r="J1866" s="91">
        <f t="shared" si="304"/>
        <v>0</v>
      </c>
      <c r="K1866" s="91">
        <f t="shared" si="304"/>
        <v>0</v>
      </c>
      <c r="L1866" s="91">
        <f t="shared" si="304"/>
        <v>0</v>
      </c>
      <c r="M1866" s="91">
        <f t="shared" si="304"/>
        <v>0</v>
      </c>
      <c r="N1866" s="91">
        <f t="shared" si="304"/>
        <v>0</v>
      </c>
      <c r="O1866" s="91">
        <f t="shared" si="304"/>
        <v>0</v>
      </c>
      <c r="P1866" s="32"/>
      <c r="Q1866" s="20">
        <f t="shared" si="294"/>
        <v>0</v>
      </c>
    </row>
    <row r="1867" spans="1:17">
      <c r="A1867" s="150"/>
      <c r="B1867" s="153"/>
      <c r="C1867" s="117" t="s">
        <v>9</v>
      </c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1"/>
      <c r="O1867" s="91"/>
      <c r="P1867" s="32"/>
      <c r="Q1867" s="20">
        <f t="shared" si="294"/>
        <v>0</v>
      </c>
    </row>
    <row r="1868" spans="1:17">
      <c r="A1868" s="150"/>
      <c r="B1868" s="153"/>
      <c r="C1868" s="117" t="s">
        <v>38</v>
      </c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89"/>
      <c r="O1868" s="89"/>
      <c r="P1868" s="28"/>
      <c r="Q1868" s="20">
        <f t="shared" si="294"/>
        <v>0</v>
      </c>
    </row>
    <row r="1869" spans="1:17">
      <c r="A1869" s="150"/>
      <c r="B1869" s="153"/>
      <c r="C1869" s="62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1"/>
      <c r="O1869" s="91"/>
      <c r="P1869" s="32"/>
      <c r="Q1869" s="20">
        <f t="shared" si="294"/>
        <v>0</v>
      </c>
    </row>
    <row r="1870" spans="1:17">
      <c r="A1870" s="150"/>
      <c r="B1870" s="154"/>
      <c r="C1870" s="6" t="s">
        <v>42</v>
      </c>
      <c r="D1870" s="92"/>
      <c r="E1870" s="92"/>
      <c r="F1870" s="92"/>
      <c r="G1870" s="92"/>
      <c r="H1870" s="92"/>
      <c r="I1870" s="92"/>
      <c r="J1870" s="92"/>
      <c r="K1870" s="92"/>
      <c r="L1870" s="92"/>
      <c r="M1870" s="92"/>
      <c r="N1870" s="92"/>
      <c r="O1870" s="92"/>
      <c r="P1870" s="33"/>
      <c r="Q1870" s="22">
        <f t="shared" si="294"/>
        <v>0</v>
      </c>
    </row>
    <row r="1871" spans="1:17">
      <c r="A1871" s="150"/>
      <c r="B1871" s="155" t="s">
        <v>11</v>
      </c>
      <c r="C1871" s="5" t="s">
        <v>7</v>
      </c>
      <c r="D1871" s="94"/>
      <c r="E1871" s="94"/>
      <c r="F1871" s="94"/>
      <c r="G1871" s="94"/>
      <c r="H1871" s="94"/>
      <c r="I1871" s="94"/>
      <c r="J1871" s="94"/>
      <c r="K1871" s="94"/>
      <c r="L1871" s="94"/>
      <c r="M1871" s="94"/>
      <c r="N1871" s="94"/>
      <c r="O1871" s="94"/>
      <c r="P1871" s="27"/>
      <c r="Q1871" s="21">
        <f t="shared" si="294"/>
        <v>0</v>
      </c>
    </row>
    <row r="1872" spans="1:17">
      <c r="A1872" s="150"/>
      <c r="B1872" s="153"/>
      <c r="C1872" s="6" t="s">
        <v>4</v>
      </c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32"/>
      <c r="Q1872" s="20">
        <f t="shared" si="294"/>
        <v>0</v>
      </c>
    </row>
    <row r="1873" spans="1:17">
      <c r="A1873" s="150"/>
      <c r="B1873" s="153"/>
      <c r="C1873" s="6" t="s">
        <v>17</v>
      </c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1"/>
      <c r="O1873" s="91"/>
      <c r="P1873" s="32"/>
      <c r="Q1873" s="20">
        <f t="shared" si="294"/>
        <v>0</v>
      </c>
    </row>
    <row r="1874" spans="1:17">
      <c r="A1874" s="150"/>
      <c r="B1874" s="153"/>
      <c r="C1874" s="6" t="s">
        <v>18</v>
      </c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32"/>
      <c r="Q1874" s="20">
        <f t="shared" si="294"/>
        <v>0</v>
      </c>
    </row>
    <row r="1875" spans="1:17">
      <c r="A1875" s="150"/>
      <c r="B1875" s="153"/>
      <c r="C1875" s="6" t="s">
        <v>60</v>
      </c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1"/>
      <c r="O1875" s="91"/>
      <c r="P1875" s="32"/>
      <c r="Q1875" s="20">
        <f t="shared" ref="Q1875:Q1938" si="305">SUM(P1875:P1875)</f>
        <v>0</v>
      </c>
    </row>
    <row r="1876" spans="1:17">
      <c r="A1876" s="150"/>
      <c r="B1876" s="155" t="s">
        <v>13</v>
      </c>
      <c r="C1876" s="5" t="s">
        <v>10</v>
      </c>
      <c r="D1876" s="94"/>
      <c r="E1876" s="94"/>
      <c r="F1876" s="94"/>
      <c r="G1876" s="94"/>
      <c r="H1876" s="94"/>
      <c r="I1876" s="94"/>
      <c r="J1876" s="94"/>
      <c r="K1876" s="94"/>
      <c r="L1876" s="94"/>
      <c r="M1876" s="94"/>
      <c r="N1876" s="94"/>
      <c r="O1876" s="94"/>
      <c r="P1876" s="27"/>
      <c r="Q1876" s="21">
        <f t="shared" si="305"/>
        <v>0</v>
      </c>
    </row>
    <row r="1877" spans="1:17">
      <c r="A1877" s="150"/>
      <c r="B1877" s="153"/>
      <c r="C1877" s="116" t="s">
        <v>55</v>
      </c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89"/>
      <c r="O1877" s="89"/>
      <c r="P1877" s="28"/>
      <c r="Q1877" s="20">
        <f t="shared" si="305"/>
        <v>0</v>
      </c>
    </row>
    <row r="1878" spans="1:17">
      <c r="A1878" s="150"/>
      <c r="B1878" s="153"/>
      <c r="C1878" s="8" t="s">
        <v>56</v>
      </c>
      <c r="D1878" s="89"/>
      <c r="E1878" s="89"/>
      <c r="F1878" s="89"/>
      <c r="G1878" s="89"/>
      <c r="H1878" s="89"/>
      <c r="I1878" s="89"/>
      <c r="J1878" s="89"/>
      <c r="K1878" s="89"/>
      <c r="L1878" s="89"/>
      <c r="M1878" s="89"/>
      <c r="N1878" s="89"/>
      <c r="O1878" s="89"/>
      <c r="P1878" s="28"/>
      <c r="Q1878" s="20">
        <f t="shared" si="305"/>
        <v>0</v>
      </c>
    </row>
    <row r="1879" spans="1:17">
      <c r="A1879" s="150"/>
      <c r="B1879" s="154"/>
      <c r="C1879" s="4" t="s">
        <v>61</v>
      </c>
      <c r="D1879" s="92"/>
      <c r="E1879" s="92"/>
      <c r="F1879" s="92"/>
      <c r="G1879" s="92"/>
      <c r="H1879" s="92"/>
      <c r="I1879" s="92"/>
      <c r="J1879" s="92"/>
      <c r="K1879" s="92"/>
      <c r="L1879" s="92"/>
      <c r="M1879" s="92"/>
      <c r="N1879" s="92"/>
      <c r="O1879" s="92"/>
      <c r="P1879" s="33"/>
      <c r="Q1879" s="22">
        <f t="shared" si="305"/>
        <v>0</v>
      </c>
    </row>
    <row r="1880" spans="1:17">
      <c r="A1880" s="150"/>
      <c r="B1880" s="156" t="s">
        <v>54</v>
      </c>
      <c r="C1880" s="157"/>
      <c r="D1880" s="56">
        <f t="shared" ref="D1880:O1880" si="306">SUM(D1866:D1870)-SUM(D1874:D1875)</f>
        <v>0</v>
      </c>
      <c r="E1880" s="56">
        <f t="shared" si="306"/>
        <v>0</v>
      </c>
      <c r="F1880" s="56">
        <f t="shared" si="306"/>
        <v>0</v>
      </c>
      <c r="G1880" s="56">
        <f t="shared" si="306"/>
        <v>0</v>
      </c>
      <c r="H1880" s="56">
        <f t="shared" si="306"/>
        <v>0</v>
      </c>
      <c r="I1880" s="56">
        <f t="shared" si="306"/>
        <v>0</v>
      </c>
      <c r="J1880" s="56">
        <f t="shared" si="306"/>
        <v>0</v>
      </c>
      <c r="K1880" s="56">
        <f t="shared" si="306"/>
        <v>0</v>
      </c>
      <c r="L1880" s="56">
        <f t="shared" si="306"/>
        <v>0</v>
      </c>
      <c r="M1880" s="56">
        <f t="shared" si="306"/>
        <v>0</v>
      </c>
      <c r="N1880" s="56">
        <f t="shared" si="306"/>
        <v>0</v>
      </c>
      <c r="O1880" s="56">
        <f t="shared" si="306"/>
        <v>0</v>
      </c>
      <c r="P1880" s="58">
        <f>SUM(P1864:P1870)-SUM(P1874:P1875)</f>
        <v>0</v>
      </c>
      <c r="Q1880" s="59">
        <f t="shared" si="305"/>
        <v>0</v>
      </c>
    </row>
    <row r="1881" spans="1:17" ht="14.25" thickBot="1">
      <c r="A1881" s="151"/>
      <c r="B1881" s="147" t="s">
        <v>5</v>
      </c>
      <c r="C1881" s="148"/>
      <c r="D1881" s="42">
        <f t="shared" ref="D1881:O1881" si="307">SUM(D1866:D1870)-SUM(D1871:D1875)+SUM(D1876:D1879)</f>
        <v>0</v>
      </c>
      <c r="E1881" s="42">
        <f t="shared" si="307"/>
        <v>0</v>
      </c>
      <c r="F1881" s="42">
        <f t="shared" si="307"/>
        <v>0</v>
      </c>
      <c r="G1881" s="42">
        <f t="shared" si="307"/>
        <v>0</v>
      </c>
      <c r="H1881" s="42">
        <f t="shared" si="307"/>
        <v>0</v>
      </c>
      <c r="I1881" s="42">
        <f t="shared" si="307"/>
        <v>0</v>
      </c>
      <c r="J1881" s="42">
        <f t="shared" si="307"/>
        <v>0</v>
      </c>
      <c r="K1881" s="42">
        <f t="shared" si="307"/>
        <v>0</v>
      </c>
      <c r="L1881" s="42">
        <f t="shared" si="307"/>
        <v>0</v>
      </c>
      <c r="M1881" s="42">
        <f t="shared" si="307"/>
        <v>0</v>
      </c>
      <c r="N1881" s="42">
        <f t="shared" si="307"/>
        <v>0</v>
      </c>
      <c r="O1881" s="42">
        <f t="shared" si="307"/>
        <v>0</v>
      </c>
      <c r="P1881" s="44">
        <f>SUM(P1864:P1870)-SUM(P1871:P1875)+SUM(P1876:P1879)</f>
        <v>0</v>
      </c>
      <c r="Q1881" s="46">
        <f t="shared" si="305"/>
        <v>0</v>
      </c>
    </row>
    <row r="1882" spans="1:17">
      <c r="A1882" s="149"/>
      <c r="B1882" s="152" t="s">
        <v>12</v>
      </c>
      <c r="C1882" s="114" t="s">
        <v>84</v>
      </c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87"/>
      <c r="O1882" s="87"/>
      <c r="P1882" s="30"/>
      <c r="Q1882" s="19">
        <f t="shared" si="305"/>
        <v>0</v>
      </c>
    </row>
    <row r="1883" spans="1:17">
      <c r="A1883" s="150"/>
      <c r="B1883" s="153"/>
      <c r="C1883" s="115" t="s">
        <v>85</v>
      </c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28"/>
      <c r="Q1883" s="20">
        <f t="shared" si="305"/>
        <v>0</v>
      </c>
    </row>
    <row r="1884" spans="1:17">
      <c r="A1884" s="150"/>
      <c r="B1884" s="153"/>
      <c r="C1884" s="116" t="s">
        <v>86</v>
      </c>
      <c r="D1884" s="91">
        <f>D1882*D1883</f>
        <v>0</v>
      </c>
      <c r="E1884" s="91">
        <f>E1882*E1883</f>
        <v>0</v>
      </c>
      <c r="F1884" s="91">
        <f>F1882*F1883</f>
        <v>0</v>
      </c>
      <c r="G1884" s="91">
        <f>G1882*G1883</f>
        <v>0</v>
      </c>
      <c r="H1884" s="91">
        <f>H1882*H1883</f>
        <v>0</v>
      </c>
      <c r="I1884" s="91">
        <f t="shared" ref="I1884:O1884" si="308">I1882*I1883</f>
        <v>0</v>
      </c>
      <c r="J1884" s="91">
        <f t="shared" si="308"/>
        <v>0</v>
      </c>
      <c r="K1884" s="91">
        <f t="shared" si="308"/>
        <v>0</v>
      </c>
      <c r="L1884" s="91">
        <f t="shared" si="308"/>
        <v>0</v>
      </c>
      <c r="M1884" s="91">
        <f t="shared" si="308"/>
        <v>0</v>
      </c>
      <c r="N1884" s="91">
        <f t="shared" si="308"/>
        <v>0</v>
      </c>
      <c r="O1884" s="91">
        <f t="shared" si="308"/>
        <v>0</v>
      </c>
      <c r="P1884" s="32"/>
      <c r="Q1884" s="20">
        <f t="shared" si="305"/>
        <v>0</v>
      </c>
    </row>
    <row r="1885" spans="1:17">
      <c r="A1885" s="150"/>
      <c r="B1885" s="153"/>
      <c r="C1885" s="117" t="s">
        <v>9</v>
      </c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32"/>
      <c r="Q1885" s="20">
        <f t="shared" si="305"/>
        <v>0</v>
      </c>
    </row>
    <row r="1886" spans="1:17">
      <c r="A1886" s="150"/>
      <c r="B1886" s="153"/>
      <c r="C1886" s="117" t="s">
        <v>38</v>
      </c>
      <c r="D1886" s="89"/>
      <c r="E1886" s="89"/>
      <c r="F1886" s="89"/>
      <c r="G1886" s="89"/>
      <c r="H1886" s="89"/>
      <c r="I1886" s="89"/>
      <c r="J1886" s="89"/>
      <c r="K1886" s="89"/>
      <c r="L1886" s="89"/>
      <c r="M1886" s="89"/>
      <c r="N1886" s="89"/>
      <c r="O1886" s="89"/>
      <c r="P1886" s="28"/>
      <c r="Q1886" s="20">
        <f t="shared" si="305"/>
        <v>0</v>
      </c>
    </row>
    <row r="1887" spans="1:17">
      <c r="A1887" s="150"/>
      <c r="B1887" s="153"/>
      <c r="C1887" s="62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32"/>
      <c r="Q1887" s="20">
        <f t="shared" si="305"/>
        <v>0</v>
      </c>
    </row>
    <row r="1888" spans="1:17">
      <c r="A1888" s="150"/>
      <c r="B1888" s="154"/>
      <c r="C1888" s="6" t="s">
        <v>42</v>
      </c>
      <c r="D1888" s="92"/>
      <c r="E1888" s="92"/>
      <c r="F1888" s="92"/>
      <c r="G1888" s="92"/>
      <c r="H1888" s="92"/>
      <c r="I1888" s="92"/>
      <c r="J1888" s="92"/>
      <c r="K1888" s="92"/>
      <c r="L1888" s="92"/>
      <c r="M1888" s="92"/>
      <c r="N1888" s="92"/>
      <c r="O1888" s="92"/>
      <c r="P1888" s="33"/>
      <c r="Q1888" s="22">
        <f t="shared" si="305"/>
        <v>0</v>
      </c>
    </row>
    <row r="1889" spans="1:17">
      <c r="A1889" s="150"/>
      <c r="B1889" s="155" t="s">
        <v>11</v>
      </c>
      <c r="C1889" s="5" t="s">
        <v>7</v>
      </c>
      <c r="D1889" s="94"/>
      <c r="E1889" s="94"/>
      <c r="F1889" s="94"/>
      <c r="G1889" s="94"/>
      <c r="H1889" s="94"/>
      <c r="I1889" s="94"/>
      <c r="J1889" s="94"/>
      <c r="K1889" s="94"/>
      <c r="L1889" s="94"/>
      <c r="M1889" s="94"/>
      <c r="N1889" s="94"/>
      <c r="O1889" s="94"/>
      <c r="P1889" s="27"/>
      <c r="Q1889" s="21">
        <f t="shared" si="305"/>
        <v>0</v>
      </c>
    </row>
    <row r="1890" spans="1:17">
      <c r="A1890" s="150"/>
      <c r="B1890" s="153"/>
      <c r="C1890" s="6" t="s">
        <v>4</v>
      </c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32"/>
      <c r="Q1890" s="20">
        <f t="shared" si="305"/>
        <v>0</v>
      </c>
    </row>
    <row r="1891" spans="1:17">
      <c r="A1891" s="150"/>
      <c r="B1891" s="153"/>
      <c r="C1891" s="6" t="s">
        <v>17</v>
      </c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32"/>
      <c r="Q1891" s="20">
        <f t="shared" si="305"/>
        <v>0</v>
      </c>
    </row>
    <row r="1892" spans="1:17">
      <c r="A1892" s="150"/>
      <c r="B1892" s="153"/>
      <c r="C1892" s="6" t="s">
        <v>18</v>
      </c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32"/>
      <c r="Q1892" s="20">
        <f t="shared" si="305"/>
        <v>0</v>
      </c>
    </row>
    <row r="1893" spans="1:17">
      <c r="A1893" s="150"/>
      <c r="B1893" s="153"/>
      <c r="C1893" s="6" t="s">
        <v>60</v>
      </c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1"/>
      <c r="O1893" s="91"/>
      <c r="P1893" s="32"/>
      <c r="Q1893" s="20">
        <f t="shared" si="305"/>
        <v>0</v>
      </c>
    </row>
    <row r="1894" spans="1:17">
      <c r="A1894" s="150"/>
      <c r="B1894" s="155" t="s">
        <v>13</v>
      </c>
      <c r="C1894" s="5" t="s">
        <v>10</v>
      </c>
      <c r="D1894" s="94"/>
      <c r="E1894" s="94"/>
      <c r="F1894" s="94"/>
      <c r="G1894" s="94"/>
      <c r="H1894" s="94"/>
      <c r="I1894" s="94"/>
      <c r="J1894" s="94"/>
      <c r="K1894" s="94"/>
      <c r="L1894" s="94"/>
      <c r="M1894" s="94"/>
      <c r="N1894" s="94"/>
      <c r="O1894" s="94"/>
      <c r="P1894" s="27"/>
      <c r="Q1894" s="21">
        <f t="shared" si="305"/>
        <v>0</v>
      </c>
    </row>
    <row r="1895" spans="1:17">
      <c r="A1895" s="150"/>
      <c r="B1895" s="153"/>
      <c r="C1895" s="116" t="s">
        <v>55</v>
      </c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89"/>
      <c r="O1895" s="89"/>
      <c r="P1895" s="28"/>
      <c r="Q1895" s="20">
        <f t="shared" si="305"/>
        <v>0</v>
      </c>
    </row>
    <row r="1896" spans="1:17">
      <c r="A1896" s="150"/>
      <c r="B1896" s="153"/>
      <c r="C1896" s="8" t="s">
        <v>56</v>
      </c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89"/>
      <c r="O1896" s="89"/>
      <c r="P1896" s="28"/>
      <c r="Q1896" s="20">
        <f t="shared" si="305"/>
        <v>0</v>
      </c>
    </row>
    <row r="1897" spans="1:17">
      <c r="A1897" s="150"/>
      <c r="B1897" s="154"/>
      <c r="C1897" s="4" t="s">
        <v>61</v>
      </c>
      <c r="D1897" s="92"/>
      <c r="E1897" s="92"/>
      <c r="F1897" s="92"/>
      <c r="G1897" s="92"/>
      <c r="H1897" s="92"/>
      <c r="I1897" s="92"/>
      <c r="J1897" s="92"/>
      <c r="K1897" s="92"/>
      <c r="L1897" s="92"/>
      <c r="M1897" s="92"/>
      <c r="N1897" s="92"/>
      <c r="O1897" s="92"/>
      <c r="P1897" s="33"/>
      <c r="Q1897" s="22">
        <f t="shared" si="305"/>
        <v>0</v>
      </c>
    </row>
    <row r="1898" spans="1:17">
      <c r="A1898" s="150"/>
      <c r="B1898" s="156" t="s">
        <v>54</v>
      </c>
      <c r="C1898" s="157"/>
      <c r="D1898" s="56">
        <f t="shared" ref="D1898:O1898" si="309">SUM(D1884:D1888)-SUM(D1892:D1893)</f>
        <v>0</v>
      </c>
      <c r="E1898" s="56">
        <f t="shared" si="309"/>
        <v>0</v>
      </c>
      <c r="F1898" s="56">
        <f t="shared" si="309"/>
        <v>0</v>
      </c>
      <c r="G1898" s="56">
        <f t="shared" si="309"/>
        <v>0</v>
      </c>
      <c r="H1898" s="56">
        <f t="shared" si="309"/>
        <v>0</v>
      </c>
      <c r="I1898" s="56">
        <f t="shared" si="309"/>
        <v>0</v>
      </c>
      <c r="J1898" s="56">
        <f t="shared" si="309"/>
        <v>0</v>
      </c>
      <c r="K1898" s="56">
        <f t="shared" si="309"/>
        <v>0</v>
      </c>
      <c r="L1898" s="56">
        <f t="shared" si="309"/>
        <v>0</v>
      </c>
      <c r="M1898" s="56">
        <f t="shared" si="309"/>
        <v>0</v>
      </c>
      <c r="N1898" s="56">
        <f t="shared" si="309"/>
        <v>0</v>
      </c>
      <c r="O1898" s="56">
        <f t="shared" si="309"/>
        <v>0</v>
      </c>
      <c r="P1898" s="58">
        <f>SUM(P1882:P1888)-SUM(P1892:P1893)</f>
        <v>0</v>
      </c>
      <c r="Q1898" s="59">
        <f t="shared" si="305"/>
        <v>0</v>
      </c>
    </row>
    <row r="1899" spans="1:17" ht="14.25" thickBot="1">
      <c r="A1899" s="151"/>
      <c r="B1899" s="147" t="s">
        <v>5</v>
      </c>
      <c r="C1899" s="148"/>
      <c r="D1899" s="42">
        <f t="shared" ref="D1899:O1899" si="310">SUM(D1884:D1888)-SUM(D1889:D1893)+SUM(D1894:D1897)</f>
        <v>0</v>
      </c>
      <c r="E1899" s="42">
        <f t="shared" si="310"/>
        <v>0</v>
      </c>
      <c r="F1899" s="42">
        <f t="shared" si="310"/>
        <v>0</v>
      </c>
      <c r="G1899" s="42">
        <f t="shared" si="310"/>
        <v>0</v>
      </c>
      <c r="H1899" s="42">
        <f t="shared" si="310"/>
        <v>0</v>
      </c>
      <c r="I1899" s="42">
        <f t="shared" si="310"/>
        <v>0</v>
      </c>
      <c r="J1899" s="42">
        <f t="shared" si="310"/>
        <v>0</v>
      </c>
      <c r="K1899" s="42">
        <f t="shared" si="310"/>
        <v>0</v>
      </c>
      <c r="L1899" s="42">
        <f t="shared" si="310"/>
        <v>0</v>
      </c>
      <c r="M1899" s="42">
        <f t="shared" si="310"/>
        <v>0</v>
      </c>
      <c r="N1899" s="42">
        <f t="shared" si="310"/>
        <v>0</v>
      </c>
      <c r="O1899" s="42">
        <f t="shared" si="310"/>
        <v>0</v>
      </c>
      <c r="P1899" s="44">
        <f>SUM(P1882:P1888)-SUM(P1889:P1893)+SUM(P1894:P1897)</f>
        <v>0</v>
      </c>
      <c r="Q1899" s="46">
        <f t="shared" si="305"/>
        <v>0</v>
      </c>
    </row>
    <row r="1900" spans="1:17">
      <c r="A1900" s="149"/>
      <c r="B1900" s="152" t="s">
        <v>12</v>
      </c>
      <c r="C1900" s="114" t="s">
        <v>84</v>
      </c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87"/>
      <c r="O1900" s="87"/>
      <c r="P1900" s="30"/>
      <c r="Q1900" s="19">
        <f t="shared" si="305"/>
        <v>0</v>
      </c>
    </row>
    <row r="1901" spans="1:17">
      <c r="A1901" s="150"/>
      <c r="B1901" s="153"/>
      <c r="C1901" s="115" t="s">
        <v>85</v>
      </c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28"/>
      <c r="Q1901" s="20">
        <f t="shared" si="305"/>
        <v>0</v>
      </c>
    </row>
    <row r="1902" spans="1:17">
      <c r="A1902" s="150"/>
      <c r="B1902" s="153"/>
      <c r="C1902" s="116" t="s">
        <v>86</v>
      </c>
      <c r="D1902" s="91">
        <f>D1900*D1901</f>
        <v>0</v>
      </c>
      <c r="E1902" s="91">
        <f>E1900*E1901</f>
        <v>0</v>
      </c>
      <c r="F1902" s="91">
        <f>F1900*F1901</f>
        <v>0</v>
      </c>
      <c r="G1902" s="91">
        <f>G1900*G1901</f>
        <v>0</v>
      </c>
      <c r="H1902" s="91">
        <f>H1900*H1901</f>
        <v>0</v>
      </c>
      <c r="I1902" s="91">
        <f t="shared" ref="I1902:O1902" si="311">I1900*I1901</f>
        <v>0</v>
      </c>
      <c r="J1902" s="91">
        <f t="shared" si="311"/>
        <v>0</v>
      </c>
      <c r="K1902" s="91">
        <f t="shared" si="311"/>
        <v>0</v>
      </c>
      <c r="L1902" s="91">
        <f t="shared" si="311"/>
        <v>0</v>
      </c>
      <c r="M1902" s="91">
        <f t="shared" si="311"/>
        <v>0</v>
      </c>
      <c r="N1902" s="91">
        <f t="shared" si="311"/>
        <v>0</v>
      </c>
      <c r="O1902" s="91">
        <f t="shared" si="311"/>
        <v>0</v>
      </c>
      <c r="P1902" s="32"/>
      <c r="Q1902" s="20">
        <f t="shared" si="305"/>
        <v>0</v>
      </c>
    </row>
    <row r="1903" spans="1:17">
      <c r="A1903" s="150"/>
      <c r="B1903" s="153"/>
      <c r="C1903" s="117" t="s">
        <v>9</v>
      </c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1"/>
      <c r="O1903" s="91"/>
      <c r="P1903" s="32"/>
      <c r="Q1903" s="20">
        <f t="shared" si="305"/>
        <v>0</v>
      </c>
    </row>
    <row r="1904" spans="1:17">
      <c r="A1904" s="150"/>
      <c r="B1904" s="153"/>
      <c r="C1904" s="117" t="s">
        <v>38</v>
      </c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89"/>
      <c r="O1904" s="89"/>
      <c r="P1904" s="28"/>
      <c r="Q1904" s="20">
        <f t="shared" si="305"/>
        <v>0</v>
      </c>
    </row>
    <row r="1905" spans="1:17">
      <c r="A1905" s="150"/>
      <c r="B1905" s="153"/>
      <c r="C1905" s="62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1"/>
      <c r="O1905" s="91"/>
      <c r="P1905" s="32"/>
      <c r="Q1905" s="20">
        <f t="shared" si="305"/>
        <v>0</v>
      </c>
    </row>
    <row r="1906" spans="1:17">
      <c r="A1906" s="150"/>
      <c r="B1906" s="154"/>
      <c r="C1906" s="6" t="s">
        <v>42</v>
      </c>
      <c r="D1906" s="92"/>
      <c r="E1906" s="92"/>
      <c r="F1906" s="92"/>
      <c r="G1906" s="92"/>
      <c r="H1906" s="92"/>
      <c r="I1906" s="92"/>
      <c r="J1906" s="92"/>
      <c r="K1906" s="92"/>
      <c r="L1906" s="92"/>
      <c r="M1906" s="92"/>
      <c r="N1906" s="92"/>
      <c r="O1906" s="92"/>
      <c r="P1906" s="33"/>
      <c r="Q1906" s="22">
        <f t="shared" si="305"/>
        <v>0</v>
      </c>
    </row>
    <row r="1907" spans="1:17">
      <c r="A1907" s="150"/>
      <c r="B1907" s="155" t="s">
        <v>11</v>
      </c>
      <c r="C1907" s="5" t="s">
        <v>7</v>
      </c>
      <c r="D1907" s="94"/>
      <c r="E1907" s="94"/>
      <c r="F1907" s="94"/>
      <c r="G1907" s="94"/>
      <c r="H1907" s="94"/>
      <c r="I1907" s="94"/>
      <c r="J1907" s="94"/>
      <c r="K1907" s="94"/>
      <c r="L1907" s="94"/>
      <c r="M1907" s="94"/>
      <c r="N1907" s="94"/>
      <c r="O1907" s="94"/>
      <c r="P1907" s="27"/>
      <c r="Q1907" s="21">
        <f t="shared" si="305"/>
        <v>0</v>
      </c>
    </row>
    <row r="1908" spans="1:17">
      <c r="A1908" s="150"/>
      <c r="B1908" s="153"/>
      <c r="C1908" s="6" t="s">
        <v>4</v>
      </c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32"/>
      <c r="Q1908" s="20">
        <f t="shared" si="305"/>
        <v>0</v>
      </c>
    </row>
    <row r="1909" spans="1:17">
      <c r="A1909" s="150"/>
      <c r="B1909" s="153"/>
      <c r="C1909" s="6" t="s">
        <v>17</v>
      </c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32"/>
      <c r="Q1909" s="20">
        <f t="shared" si="305"/>
        <v>0</v>
      </c>
    </row>
    <row r="1910" spans="1:17">
      <c r="A1910" s="150"/>
      <c r="B1910" s="153"/>
      <c r="C1910" s="6" t="s">
        <v>18</v>
      </c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32"/>
      <c r="Q1910" s="20">
        <f t="shared" si="305"/>
        <v>0</v>
      </c>
    </row>
    <row r="1911" spans="1:17">
      <c r="A1911" s="150"/>
      <c r="B1911" s="153"/>
      <c r="C1911" s="6" t="s">
        <v>60</v>
      </c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32"/>
      <c r="Q1911" s="20">
        <f t="shared" si="305"/>
        <v>0</v>
      </c>
    </row>
    <row r="1912" spans="1:17">
      <c r="A1912" s="150"/>
      <c r="B1912" s="155" t="s">
        <v>13</v>
      </c>
      <c r="C1912" s="5" t="s">
        <v>10</v>
      </c>
      <c r="D1912" s="94"/>
      <c r="E1912" s="94"/>
      <c r="F1912" s="94"/>
      <c r="G1912" s="94"/>
      <c r="H1912" s="94"/>
      <c r="I1912" s="94"/>
      <c r="J1912" s="94"/>
      <c r="K1912" s="94"/>
      <c r="L1912" s="94"/>
      <c r="M1912" s="94"/>
      <c r="N1912" s="94"/>
      <c r="O1912" s="94"/>
      <c r="P1912" s="27"/>
      <c r="Q1912" s="21">
        <f t="shared" si="305"/>
        <v>0</v>
      </c>
    </row>
    <row r="1913" spans="1:17">
      <c r="A1913" s="150"/>
      <c r="B1913" s="153"/>
      <c r="C1913" s="116" t="s">
        <v>55</v>
      </c>
      <c r="D1913" s="89"/>
      <c r="E1913" s="89"/>
      <c r="F1913" s="89"/>
      <c r="G1913" s="89"/>
      <c r="H1913" s="89"/>
      <c r="I1913" s="89"/>
      <c r="J1913" s="89"/>
      <c r="K1913" s="89"/>
      <c r="L1913" s="89"/>
      <c r="M1913" s="89"/>
      <c r="N1913" s="89"/>
      <c r="O1913" s="89"/>
      <c r="P1913" s="28"/>
      <c r="Q1913" s="20">
        <f t="shared" si="305"/>
        <v>0</v>
      </c>
    </row>
    <row r="1914" spans="1:17">
      <c r="A1914" s="150"/>
      <c r="B1914" s="153"/>
      <c r="C1914" s="8" t="s">
        <v>56</v>
      </c>
      <c r="D1914" s="89"/>
      <c r="E1914" s="89"/>
      <c r="F1914" s="89"/>
      <c r="G1914" s="89"/>
      <c r="H1914" s="89"/>
      <c r="I1914" s="89"/>
      <c r="J1914" s="89"/>
      <c r="K1914" s="89"/>
      <c r="L1914" s="89"/>
      <c r="M1914" s="89"/>
      <c r="N1914" s="89"/>
      <c r="O1914" s="89"/>
      <c r="P1914" s="28"/>
      <c r="Q1914" s="20">
        <f t="shared" si="305"/>
        <v>0</v>
      </c>
    </row>
    <row r="1915" spans="1:17">
      <c r="A1915" s="150"/>
      <c r="B1915" s="154"/>
      <c r="C1915" s="4" t="s">
        <v>61</v>
      </c>
      <c r="D1915" s="92"/>
      <c r="E1915" s="92"/>
      <c r="F1915" s="92"/>
      <c r="G1915" s="92"/>
      <c r="H1915" s="92"/>
      <c r="I1915" s="92"/>
      <c r="J1915" s="92"/>
      <c r="K1915" s="92"/>
      <c r="L1915" s="92"/>
      <c r="M1915" s="92"/>
      <c r="N1915" s="92"/>
      <c r="O1915" s="92"/>
      <c r="P1915" s="33"/>
      <c r="Q1915" s="22">
        <f t="shared" si="305"/>
        <v>0</v>
      </c>
    </row>
    <row r="1916" spans="1:17">
      <c r="A1916" s="150"/>
      <c r="B1916" s="156" t="s">
        <v>54</v>
      </c>
      <c r="C1916" s="157"/>
      <c r="D1916" s="56">
        <f t="shared" ref="D1916:O1916" si="312">SUM(D1902:D1906)-SUM(D1910:D1911)</f>
        <v>0</v>
      </c>
      <c r="E1916" s="56">
        <f t="shared" si="312"/>
        <v>0</v>
      </c>
      <c r="F1916" s="56">
        <f t="shared" si="312"/>
        <v>0</v>
      </c>
      <c r="G1916" s="56">
        <f t="shared" si="312"/>
        <v>0</v>
      </c>
      <c r="H1916" s="56">
        <f t="shared" si="312"/>
        <v>0</v>
      </c>
      <c r="I1916" s="56">
        <f t="shared" si="312"/>
        <v>0</v>
      </c>
      <c r="J1916" s="56">
        <f t="shared" si="312"/>
        <v>0</v>
      </c>
      <c r="K1916" s="56">
        <f t="shared" si="312"/>
        <v>0</v>
      </c>
      <c r="L1916" s="56">
        <f t="shared" si="312"/>
        <v>0</v>
      </c>
      <c r="M1916" s="56">
        <f t="shared" si="312"/>
        <v>0</v>
      </c>
      <c r="N1916" s="56">
        <f t="shared" si="312"/>
        <v>0</v>
      </c>
      <c r="O1916" s="56">
        <f t="shared" si="312"/>
        <v>0</v>
      </c>
      <c r="P1916" s="58">
        <f>SUM(P1900:P1906)-SUM(P1910:P1911)</f>
        <v>0</v>
      </c>
      <c r="Q1916" s="59">
        <f t="shared" si="305"/>
        <v>0</v>
      </c>
    </row>
    <row r="1917" spans="1:17" ht="14.25" thickBot="1">
      <c r="A1917" s="151"/>
      <c r="B1917" s="147" t="s">
        <v>5</v>
      </c>
      <c r="C1917" s="148"/>
      <c r="D1917" s="42">
        <f t="shared" ref="D1917:O1917" si="313">SUM(D1902:D1906)-SUM(D1907:D1911)+SUM(D1912:D1915)</f>
        <v>0</v>
      </c>
      <c r="E1917" s="42">
        <f t="shared" si="313"/>
        <v>0</v>
      </c>
      <c r="F1917" s="42">
        <f t="shared" si="313"/>
        <v>0</v>
      </c>
      <c r="G1917" s="42">
        <f t="shared" si="313"/>
        <v>0</v>
      </c>
      <c r="H1917" s="42">
        <f t="shared" si="313"/>
        <v>0</v>
      </c>
      <c r="I1917" s="42">
        <f t="shared" si="313"/>
        <v>0</v>
      </c>
      <c r="J1917" s="42">
        <f t="shared" si="313"/>
        <v>0</v>
      </c>
      <c r="K1917" s="42">
        <f t="shared" si="313"/>
        <v>0</v>
      </c>
      <c r="L1917" s="42">
        <f t="shared" si="313"/>
        <v>0</v>
      </c>
      <c r="M1917" s="42">
        <f t="shared" si="313"/>
        <v>0</v>
      </c>
      <c r="N1917" s="42">
        <f t="shared" si="313"/>
        <v>0</v>
      </c>
      <c r="O1917" s="42">
        <f t="shared" si="313"/>
        <v>0</v>
      </c>
      <c r="P1917" s="44">
        <f>SUM(P1900:P1906)-SUM(P1907:P1911)+SUM(P1912:P1915)</f>
        <v>0</v>
      </c>
      <c r="Q1917" s="46">
        <f t="shared" si="305"/>
        <v>0</v>
      </c>
    </row>
    <row r="1918" spans="1:17">
      <c r="A1918" s="149"/>
      <c r="B1918" s="152" t="s">
        <v>12</v>
      </c>
      <c r="C1918" s="114" t="s">
        <v>84</v>
      </c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87"/>
      <c r="O1918" s="87"/>
      <c r="P1918" s="30"/>
      <c r="Q1918" s="19">
        <f t="shared" si="305"/>
        <v>0</v>
      </c>
    </row>
    <row r="1919" spans="1:17">
      <c r="A1919" s="150"/>
      <c r="B1919" s="153"/>
      <c r="C1919" s="115" t="s">
        <v>85</v>
      </c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28"/>
      <c r="Q1919" s="20">
        <f t="shared" si="305"/>
        <v>0</v>
      </c>
    </row>
    <row r="1920" spans="1:17">
      <c r="A1920" s="150"/>
      <c r="B1920" s="153"/>
      <c r="C1920" s="116" t="s">
        <v>86</v>
      </c>
      <c r="D1920" s="91">
        <f>D1918*D1919</f>
        <v>0</v>
      </c>
      <c r="E1920" s="91">
        <f>E1918*E1919</f>
        <v>0</v>
      </c>
      <c r="F1920" s="91">
        <f>F1918*F1919</f>
        <v>0</v>
      </c>
      <c r="G1920" s="91">
        <f>G1918*G1919</f>
        <v>0</v>
      </c>
      <c r="H1920" s="91">
        <f>H1918*H1919</f>
        <v>0</v>
      </c>
      <c r="I1920" s="91">
        <f t="shared" ref="I1920:O1920" si="314">I1918*I1919</f>
        <v>0</v>
      </c>
      <c r="J1920" s="91">
        <f t="shared" si="314"/>
        <v>0</v>
      </c>
      <c r="K1920" s="91">
        <f t="shared" si="314"/>
        <v>0</v>
      </c>
      <c r="L1920" s="91">
        <f t="shared" si="314"/>
        <v>0</v>
      </c>
      <c r="M1920" s="91">
        <f t="shared" si="314"/>
        <v>0</v>
      </c>
      <c r="N1920" s="91">
        <f t="shared" si="314"/>
        <v>0</v>
      </c>
      <c r="O1920" s="91">
        <f t="shared" si="314"/>
        <v>0</v>
      </c>
      <c r="P1920" s="32"/>
      <c r="Q1920" s="20">
        <f t="shared" si="305"/>
        <v>0</v>
      </c>
    </row>
    <row r="1921" spans="1:17">
      <c r="A1921" s="150"/>
      <c r="B1921" s="153"/>
      <c r="C1921" s="117" t="s">
        <v>9</v>
      </c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32"/>
      <c r="Q1921" s="20">
        <f t="shared" si="305"/>
        <v>0</v>
      </c>
    </row>
    <row r="1922" spans="1:17">
      <c r="A1922" s="150"/>
      <c r="B1922" s="153"/>
      <c r="C1922" s="117" t="s">
        <v>38</v>
      </c>
      <c r="D1922" s="89"/>
      <c r="E1922" s="89"/>
      <c r="F1922" s="89"/>
      <c r="G1922" s="89"/>
      <c r="H1922" s="89"/>
      <c r="I1922" s="89"/>
      <c r="J1922" s="89"/>
      <c r="K1922" s="89"/>
      <c r="L1922" s="89"/>
      <c r="M1922" s="89"/>
      <c r="N1922" s="89"/>
      <c r="O1922" s="89"/>
      <c r="P1922" s="28"/>
      <c r="Q1922" s="20">
        <f t="shared" si="305"/>
        <v>0</v>
      </c>
    </row>
    <row r="1923" spans="1:17">
      <c r="A1923" s="150"/>
      <c r="B1923" s="153"/>
      <c r="C1923" s="62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1"/>
      <c r="O1923" s="91"/>
      <c r="P1923" s="32"/>
      <c r="Q1923" s="20">
        <f t="shared" si="305"/>
        <v>0</v>
      </c>
    </row>
    <row r="1924" spans="1:17">
      <c r="A1924" s="150"/>
      <c r="B1924" s="154"/>
      <c r="C1924" s="6" t="s">
        <v>42</v>
      </c>
      <c r="D1924" s="92"/>
      <c r="E1924" s="92"/>
      <c r="F1924" s="92"/>
      <c r="G1924" s="92"/>
      <c r="H1924" s="92"/>
      <c r="I1924" s="92"/>
      <c r="J1924" s="92"/>
      <c r="K1924" s="92"/>
      <c r="L1924" s="92"/>
      <c r="M1924" s="92"/>
      <c r="N1924" s="92"/>
      <c r="O1924" s="92"/>
      <c r="P1924" s="33"/>
      <c r="Q1924" s="22">
        <f t="shared" si="305"/>
        <v>0</v>
      </c>
    </row>
    <row r="1925" spans="1:17">
      <c r="A1925" s="150"/>
      <c r="B1925" s="155" t="s">
        <v>11</v>
      </c>
      <c r="C1925" s="5" t="s">
        <v>7</v>
      </c>
      <c r="D1925" s="94"/>
      <c r="E1925" s="94"/>
      <c r="F1925" s="94"/>
      <c r="G1925" s="94"/>
      <c r="H1925" s="94"/>
      <c r="I1925" s="94"/>
      <c r="J1925" s="94"/>
      <c r="K1925" s="94"/>
      <c r="L1925" s="94"/>
      <c r="M1925" s="94"/>
      <c r="N1925" s="94"/>
      <c r="O1925" s="94"/>
      <c r="P1925" s="27"/>
      <c r="Q1925" s="21">
        <f t="shared" si="305"/>
        <v>0</v>
      </c>
    </row>
    <row r="1926" spans="1:17">
      <c r="A1926" s="150"/>
      <c r="B1926" s="153"/>
      <c r="C1926" s="6" t="s">
        <v>4</v>
      </c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32"/>
      <c r="Q1926" s="20">
        <f t="shared" si="305"/>
        <v>0</v>
      </c>
    </row>
    <row r="1927" spans="1:17">
      <c r="A1927" s="150"/>
      <c r="B1927" s="153"/>
      <c r="C1927" s="6" t="s">
        <v>17</v>
      </c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1"/>
      <c r="O1927" s="91"/>
      <c r="P1927" s="32"/>
      <c r="Q1927" s="20">
        <f t="shared" si="305"/>
        <v>0</v>
      </c>
    </row>
    <row r="1928" spans="1:17">
      <c r="A1928" s="150"/>
      <c r="B1928" s="153"/>
      <c r="C1928" s="6" t="s">
        <v>18</v>
      </c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32"/>
      <c r="Q1928" s="20">
        <f t="shared" si="305"/>
        <v>0</v>
      </c>
    </row>
    <row r="1929" spans="1:17">
      <c r="A1929" s="150"/>
      <c r="B1929" s="153"/>
      <c r="C1929" s="6" t="s">
        <v>60</v>
      </c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1"/>
      <c r="O1929" s="91"/>
      <c r="P1929" s="32"/>
      <c r="Q1929" s="20">
        <f t="shared" si="305"/>
        <v>0</v>
      </c>
    </row>
    <row r="1930" spans="1:17">
      <c r="A1930" s="150"/>
      <c r="B1930" s="155" t="s">
        <v>13</v>
      </c>
      <c r="C1930" s="5" t="s">
        <v>10</v>
      </c>
      <c r="D1930" s="94"/>
      <c r="E1930" s="94"/>
      <c r="F1930" s="94"/>
      <c r="G1930" s="94"/>
      <c r="H1930" s="94"/>
      <c r="I1930" s="94"/>
      <c r="J1930" s="94"/>
      <c r="K1930" s="94"/>
      <c r="L1930" s="94"/>
      <c r="M1930" s="94"/>
      <c r="N1930" s="94"/>
      <c r="O1930" s="94"/>
      <c r="P1930" s="27"/>
      <c r="Q1930" s="21">
        <f t="shared" si="305"/>
        <v>0</v>
      </c>
    </row>
    <row r="1931" spans="1:17">
      <c r="A1931" s="150"/>
      <c r="B1931" s="153"/>
      <c r="C1931" s="116" t="s">
        <v>55</v>
      </c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89"/>
      <c r="O1931" s="89"/>
      <c r="P1931" s="28"/>
      <c r="Q1931" s="20">
        <f t="shared" si="305"/>
        <v>0</v>
      </c>
    </row>
    <row r="1932" spans="1:17">
      <c r="A1932" s="150"/>
      <c r="B1932" s="153"/>
      <c r="C1932" s="8" t="s">
        <v>56</v>
      </c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89"/>
      <c r="O1932" s="89"/>
      <c r="P1932" s="28"/>
      <c r="Q1932" s="20">
        <f t="shared" si="305"/>
        <v>0</v>
      </c>
    </row>
    <row r="1933" spans="1:17">
      <c r="A1933" s="150"/>
      <c r="B1933" s="154"/>
      <c r="C1933" s="4" t="s">
        <v>61</v>
      </c>
      <c r="D1933" s="92"/>
      <c r="E1933" s="92"/>
      <c r="F1933" s="92"/>
      <c r="G1933" s="92"/>
      <c r="H1933" s="92"/>
      <c r="I1933" s="92"/>
      <c r="J1933" s="92"/>
      <c r="K1933" s="92"/>
      <c r="L1933" s="92"/>
      <c r="M1933" s="92"/>
      <c r="N1933" s="92"/>
      <c r="O1933" s="92"/>
      <c r="P1933" s="33"/>
      <c r="Q1933" s="22">
        <f t="shared" si="305"/>
        <v>0</v>
      </c>
    </row>
    <row r="1934" spans="1:17">
      <c r="A1934" s="150"/>
      <c r="B1934" s="156" t="s">
        <v>54</v>
      </c>
      <c r="C1934" s="157"/>
      <c r="D1934" s="56">
        <f t="shared" ref="D1934:O1934" si="315">SUM(D1920:D1924)-SUM(D1928:D1929)</f>
        <v>0</v>
      </c>
      <c r="E1934" s="56">
        <f t="shared" si="315"/>
        <v>0</v>
      </c>
      <c r="F1934" s="56">
        <f t="shared" si="315"/>
        <v>0</v>
      </c>
      <c r="G1934" s="56">
        <f t="shared" si="315"/>
        <v>0</v>
      </c>
      <c r="H1934" s="56">
        <f t="shared" si="315"/>
        <v>0</v>
      </c>
      <c r="I1934" s="56">
        <f t="shared" si="315"/>
        <v>0</v>
      </c>
      <c r="J1934" s="56">
        <f t="shared" si="315"/>
        <v>0</v>
      </c>
      <c r="K1934" s="56">
        <f t="shared" si="315"/>
        <v>0</v>
      </c>
      <c r="L1934" s="56">
        <f t="shared" si="315"/>
        <v>0</v>
      </c>
      <c r="M1934" s="56">
        <f t="shared" si="315"/>
        <v>0</v>
      </c>
      <c r="N1934" s="56">
        <f t="shared" si="315"/>
        <v>0</v>
      </c>
      <c r="O1934" s="56">
        <f t="shared" si="315"/>
        <v>0</v>
      </c>
      <c r="P1934" s="58">
        <f>SUM(P1918:P1924)-SUM(P1928:P1929)</f>
        <v>0</v>
      </c>
      <c r="Q1934" s="59">
        <f t="shared" si="305"/>
        <v>0</v>
      </c>
    </row>
    <row r="1935" spans="1:17" ht="14.25" thickBot="1">
      <c r="A1935" s="151"/>
      <c r="B1935" s="147" t="s">
        <v>5</v>
      </c>
      <c r="C1935" s="148"/>
      <c r="D1935" s="42">
        <f t="shared" ref="D1935:O1935" si="316">SUM(D1920:D1924)-SUM(D1925:D1929)+SUM(D1930:D1933)</f>
        <v>0</v>
      </c>
      <c r="E1935" s="42">
        <f t="shared" si="316"/>
        <v>0</v>
      </c>
      <c r="F1935" s="42">
        <f t="shared" si="316"/>
        <v>0</v>
      </c>
      <c r="G1935" s="42">
        <f t="shared" si="316"/>
        <v>0</v>
      </c>
      <c r="H1935" s="42">
        <f t="shared" si="316"/>
        <v>0</v>
      </c>
      <c r="I1935" s="42">
        <f t="shared" si="316"/>
        <v>0</v>
      </c>
      <c r="J1935" s="42">
        <f t="shared" si="316"/>
        <v>0</v>
      </c>
      <c r="K1935" s="42">
        <f t="shared" si="316"/>
        <v>0</v>
      </c>
      <c r="L1935" s="42">
        <f t="shared" si="316"/>
        <v>0</v>
      </c>
      <c r="M1935" s="42">
        <f t="shared" si="316"/>
        <v>0</v>
      </c>
      <c r="N1935" s="42">
        <f t="shared" si="316"/>
        <v>0</v>
      </c>
      <c r="O1935" s="42">
        <f t="shared" si="316"/>
        <v>0</v>
      </c>
      <c r="P1935" s="44">
        <f>SUM(P1918:P1924)-SUM(P1925:P1929)+SUM(P1930:P1933)</f>
        <v>0</v>
      </c>
      <c r="Q1935" s="46">
        <f t="shared" si="305"/>
        <v>0</v>
      </c>
    </row>
    <row r="1936" spans="1:17">
      <c r="A1936" s="149"/>
      <c r="B1936" s="152" t="s">
        <v>12</v>
      </c>
      <c r="C1936" s="114" t="s">
        <v>84</v>
      </c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87"/>
      <c r="O1936" s="87"/>
      <c r="P1936" s="30"/>
      <c r="Q1936" s="19">
        <f t="shared" si="305"/>
        <v>0</v>
      </c>
    </row>
    <row r="1937" spans="1:17">
      <c r="A1937" s="150"/>
      <c r="B1937" s="153"/>
      <c r="C1937" s="115" t="s">
        <v>85</v>
      </c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28"/>
      <c r="Q1937" s="20">
        <f t="shared" si="305"/>
        <v>0</v>
      </c>
    </row>
    <row r="1938" spans="1:17">
      <c r="A1938" s="150"/>
      <c r="B1938" s="153"/>
      <c r="C1938" s="116" t="s">
        <v>86</v>
      </c>
      <c r="D1938" s="91">
        <f>D1936*D1937</f>
        <v>0</v>
      </c>
      <c r="E1938" s="91">
        <f>E1936*E1937</f>
        <v>0</v>
      </c>
      <c r="F1938" s="91">
        <f>F1936*F1937</f>
        <v>0</v>
      </c>
      <c r="G1938" s="91">
        <f>G1936*G1937</f>
        <v>0</v>
      </c>
      <c r="H1938" s="91">
        <f>H1936*H1937</f>
        <v>0</v>
      </c>
      <c r="I1938" s="91">
        <f t="shared" ref="I1938:O1938" si="317">I1936*I1937</f>
        <v>0</v>
      </c>
      <c r="J1938" s="91">
        <f t="shared" si="317"/>
        <v>0</v>
      </c>
      <c r="K1938" s="91">
        <f t="shared" si="317"/>
        <v>0</v>
      </c>
      <c r="L1938" s="91">
        <f t="shared" si="317"/>
        <v>0</v>
      </c>
      <c r="M1938" s="91">
        <f t="shared" si="317"/>
        <v>0</v>
      </c>
      <c r="N1938" s="91">
        <f t="shared" si="317"/>
        <v>0</v>
      </c>
      <c r="O1938" s="91">
        <f t="shared" si="317"/>
        <v>0</v>
      </c>
      <c r="P1938" s="32"/>
      <c r="Q1938" s="20">
        <f t="shared" si="305"/>
        <v>0</v>
      </c>
    </row>
    <row r="1939" spans="1:17">
      <c r="A1939" s="150"/>
      <c r="B1939" s="153"/>
      <c r="C1939" s="117" t="s">
        <v>9</v>
      </c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32"/>
      <c r="Q1939" s="20">
        <f t="shared" ref="Q1939:Q2002" si="318">SUM(P1939:P1939)</f>
        <v>0</v>
      </c>
    </row>
    <row r="1940" spans="1:17">
      <c r="A1940" s="150"/>
      <c r="B1940" s="153"/>
      <c r="C1940" s="117" t="s">
        <v>38</v>
      </c>
      <c r="D1940" s="89"/>
      <c r="E1940" s="89"/>
      <c r="F1940" s="89"/>
      <c r="G1940" s="89"/>
      <c r="H1940" s="89"/>
      <c r="I1940" s="89"/>
      <c r="J1940" s="89"/>
      <c r="K1940" s="89"/>
      <c r="L1940" s="89"/>
      <c r="M1940" s="89"/>
      <c r="N1940" s="89"/>
      <c r="O1940" s="89"/>
      <c r="P1940" s="28"/>
      <c r="Q1940" s="20">
        <f t="shared" si="318"/>
        <v>0</v>
      </c>
    </row>
    <row r="1941" spans="1:17">
      <c r="A1941" s="150"/>
      <c r="B1941" s="153"/>
      <c r="C1941" s="62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32"/>
      <c r="Q1941" s="20">
        <f t="shared" si="318"/>
        <v>0</v>
      </c>
    </row>
    <row r="1942" spans="1:17">
      <c r="A1942" s="150"/>
      <c r="B1942" s="154"/>
      <c r="C1942" s="6" t="s">
        <v>42</v>
      </c>
      <c r="D1942" s="92"/>
      <c r="E1942" s="92"/>
      <c r="F1942" s="92"/>
      <c r="G1942" s="92"/>
      <c r="H1942" s="92"/>
      <c r="I1942" s="92"/>
      <c r="J1942" s="92"/>
      <c r="K1942" s="92"/>
      <c r="L1942" s="92"/>
      <c r="M1942" s="92"/>
      <c r="N1942" s="92"/>
      <c r="O1942" s="92"/>
      <c r="P1942" s="33"/>
      <c r="Q1942" s="22">
        <f t="shared" si="318"/>
        <v>0</v>
      </c>
    </row>
    <row r="1943" spans="1:17">
      <c r="A1943" s="150"/>
      <c r="B1943" s="155" t="s">
        <v>11</v>
      </c>
      <c r="C1943" s="5" t="s">
        <v>7</v>
      </c>
      <c r="D1943" s="94"/>
      <c r="E1943" s="94"/>
      <c r="F1943" s="94"/>
      <c r="G1943" s="94"/>
      <c r="H1943" s="94"/>
      <c r="I1943" s="94"/>
      <c r="J1943" s="94"/>
      <c r="K1943" s="94"/>
      <c r="L1943" s="94"/>
      <c r="M1943" s="94"/>
      <c r="N1943" s="94"/>
      <c r="O1943" s="94"/>
      <c r="P1943" s="27"/>
      <c r="Q1943" s="21">
        <f t="shared" si="318"/>
        <v>0</v>
      </c>
    </row>
    <row r="1944" spans="1:17">
      <c r="A1944" s="150"/>
      <c r="B1944" s="153"/>
      <c r="C1944" s="6" t="s">
        <v>4</v>
      </c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32"/>
      <c r="Q1944" s="20">
        <f t="shared" si="318"/>
        <v>0</v>
      </c>
    </row>
    <row r="1945" spans="1:17">
      <c r="A1945" s="150"/>
      <c r="B1945" s="153"/>
      <c r="C1945" s="6" t="s">
        <v>17</v>
      </c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32"/>
      <c r="Q1945" s="20">
        <f t="shared" si="318"/>
        <v>0</v>
      </c>
    </row>
    <row r="1946" spans="1:17">
      <c r="A1946" s="150"/>
      <c r="B1946" s="153"/>
      <c r="C1946" s="6" t="s">
        <v>18</v>
      </c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32"/>
      <c r="Q1946" s="20">
        <f t="shared" si="318"/>
        <v>0</v>
      </c>
    </row>
    <row r="1947" spans="1:17">
      <c r="A1947" s="150"/>
      <c r="B1947" s="153"/>
      <c r="C1947" s="6" t="s">
        <v>60</v>
      </c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32"/>
      <c r="Q1947" s="20">
        <f t="shared" si="318"/>
        <v>0</v>
      </c>
    </row>
    <row r="1948" spans="1:17">
      <c r="A1948" s="150"/>
      <c r="B1948" s="155" t="s">
        <v>13</v>
      </c>
      <c r="C1948" s="5" t="s">
        <v>10</v>
      </c>
      <c r="D1948" s="94"/>
      <c r="E1948" s="94"/>
      <c r="F1948" s="94"/>
      <c r="G1948" s="94"/>
      <c r="H1948" s="94"/>
      <c r="I1948" s="94"/>
      <c r="J1948" s="94"/>
      <c r="K1948" s="94"/>
      <c r="L1948" s="94"/>
      <c r="M1948" s="94"/>
      <c r="N1948" s="94"/>
      <c r="O1948" s="94"/>
      <c r="P1948" s="27"/>
      <c r="Q1948" s="21">
        <f t="shared" si="318"/>
        <v>0</v>
      </c>
    </row>
    <row r="1949" spans="1:17">
      <c r="A1949" s="150"/>
      <c r="B1949" s="153"/>
      <c r="C1949" s="116" t="s">
        <v>55</v>
      </c>
      <c r="D1949" s="89"/>
      <c r="E1949" s="89"/>
      <c r="F1949" s="89"/>
      <c r="G1949" s="89"/>
      <c r="H1949" s="89"/>
      <c r="I1949" s="89"/>
      <c r="J1949" s="89"/>
      <c r="K1949" s="89"/>
      <c r="L1949" s="89"/>
      <c r="M1949" s="89"/>
      <c r="N1949" s="89"/>
      <c r="O1949" s="89"/>
      <c r="P1949" s="28"/>
      <c r="Q1949" s="20">
        <f t="shared" si="318"/>
        <v>0</v>
      </c>
    </row>
    <row r="1950" spans="1:17">
      <c r="A1950" s="150"/>
      <c r="B1950" s="153"/>
      <c r="C1950" s="8" t="s">
        <v>56</v>
      </c>
      <c r="D1950" s="89"/>
      <c r="E1950" s="89"/>
      <c r="F1950" s="89"/>
      <c r="G1950" s="89"/>
      <c r="H1950" s="89"/>
      <c r="I1950" s="89"/>
      <c r="J1950" s="89"/>
      <c r="K1950" s="89"/>
      <c r="L1950" s="89"/>
      <c r="M1950" s="89"/>
      <c r="N1950" s="89"/>
      <c r="O1950" s="89"/>
      <c r="P1950" s="28"/>
      <c r="Q1950" s="20">
        <f t="shared" si="318"/>
        <v>0</v>
      </c>
    </row>
    <row r="1951" spans="1:17">
      <c r="A1951" s="150"/>
      <c r="B1951" s="154"/>
      <c r="C1951" s="4" t="s">
        <v>61</v>
      </c>
      <c r="D1951" s="92"/>
      <c r="E1951" s="92"/>
      <c r="F1951" s="92"/>
      <c r="G1951" s="92"/>
      <c r="H1951" s="92"/>
      <c r="I1951" s="92"/>
      <c r="J1951" s="92"/>
      <c r="K1951" s="92"/>
      <c r="L1951" s="92"/>
      <c r="M1951" s="92"/>
      <c r="N1951" s="92"/>
      <c r="O1951" s="92"/>
      <c r="P1951" s="33"/>
      <c r="Q1951" s="22">
        <f t="shared" si="318"/>
        <v>0</v>
      </c>
    </row>
    <row r="1952" spans="1:17">
      <c r="A1952" s="150"/>
      <c r="B1952" s="156" t="s">
        <v>54</v>
      </c>
      <c r="C1952" s="157"/>
      <c r="D1952" s="56">
        <f t="shared" ref="D1952:O1952" si="319">SUM(D1938:D1942)-SUM(D1946:D1947)</f>
        <v>0</v>
      </c>
      <c r="E1952" s="56">
        <f t="shared" si="319"/>
        <v>0</v>
      </c>
      <c r="F1952" s="56">
        <f t="shared" si="319"/>
        <v>0</v>
      </c>
      <c r="G1952" s="56">
        <f t="shared" si="319"/>
        <v>0</v>
      </c>
      <c r="H1952" s="56">
        <f t="shared" si="319"/>
        <v>0</v>
      </c>
      <c r="I1952" s="56">
        <f t="shared" si="319"/>
        <v>0</v>
      </c>
      <c r="J1952" s="56">
        <f t="shared" si="319"/>
        <v>0</v>
      </c>
      <c r="K1952" s="56">
        <f t="shared" si="319"/>
        <v>0</v>
      </c>
      <c r="L1952" s="56">
        <f t="shared" si="319"/>
        <v>0</v>
      </c>
      <c r="M1952" s="56">
        <f t="shared" si="319"/>
        <v>0</v>
      </c>
      <c r="N1952" s="56">
        <f t="shared" si="319"/>
        <v>0</v>
      </c>
      <c r="O1952" s="56">
        <f t="shared" si="319"/>
        <v>0</v>
      </c>
      <c r="P1952" s="58">
        <f>SUM(P1936:P1942)-SUM(P1946:P1947)</f>
        <v>0</v>
      </c>
      <c r="Q1952" s="59">
        <f t="shared" si="318"/>
        <v>0</v>
      </c>
    </row>
    <row r="1953" spans="1:17" ht="14.25" thickBot="1">
      <c r="A1953" s="151"/>
      <c r="B1953" s="147" t="s">
        <v>5</v>
      </c>
      <c r="C1953" s="148"/>
      <c r="D1953" s="42">
        <f t="shared" ref="D1953:O1953" si="320">SUM(D1938:D1942)-SUM(D1943:D1947)+SUM(D1948:D1951)</f>
        <v>0</v>
      </c>
      <c r="E1953" s="42">
        <f t="shared" si="320"/>
        <v>0</v>
      </c>
      <c r="F1953" s="42">
        <f t="shared" si="320"/>
        <v>0</v>
      </c>
      <c r="G1953" s="42">
        <f t="shared" si="320"/>
        <v>0</v>
      </c>
      <c r="H1953" s="42">
        <f t="shared" si="320"/>
        <v>0</v>
      </c>
      <c r="I1953" s="42">
        <f t="shared" si="320"/>
        <v>0</v>
      </c>
      <c r="J1953" s="42">
        <f t="shared" si="320"/>
        <v>0</v>
      </c>
      <c r="K1953" s="42">
        <f t="shared" si="320"/>
        <v>0</v>
      </c>
      <c r="L1953" s="42">
        <f t="shared" si="320"/>
        <v>0</v>
      </c>
      <c r="M1953" s="42">
        <f t="shared" si="320"/>
        <v>0</v>
      </c>
      <c r="N1953" s="42">
        <f t="shared" si="320"/>
        <v>0</v>
      </c>
      <c r="O1953" s="42">
        <f t="shared" si="320"/>
        <v>0</v>
      </c>
      <c r="P1953" s="44">
        <f>SUM(P1936:P1942)-SUM(P1943:P1947)+SUM(P1948:P1951)</f>
        <v>0</v>
      </c>
      <c r="Q1953" s="46">
        <f t="shared" si="318"/>
        <v>0</v>
      </c>
    </row>
    <row r="1954" spans="1:17">
      <c r="A1954" s="149"/>
      <c r="B1954" s="152" t="s">
        <v>12</v>
      </c>
      <c r="C1954" s="114" t="s">
        <v>84</v>
      </c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87"/>
      <c r="O1954" s="87"/>
      <c r="P1954" s="30"/>
      <c r="Q1954" s="19">
        <f t="shared" si="318"/>
        <v>0</v>
      </c>
    </row>
    <row r="1955" spans="1:17">
      <c r="A1955" s="150"/>
      <c r="B1955" s="153"/>
      <c r="C1955" s="115" t="s">
        <v>85</v>
      </c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28"/>
      <c r="Q1955" s="20">
        <f t="shared" si="318"/>
        <v>0</v>
      </c>
    </row>
    <row r="1956" spans="1:17">
      <c r="A1956" s="150"/>
      <c r="B1956" s="153"/>
      <c r="C1956" s="116" t="s">
        <v>86</v>
      </c>
      <c r="D1956" s="91">
        <f>D1954*D1955</f>
        <v>0</v>
      </c>
      <c r="E1956" s="91">
        <f>E1954*E1955</f>
        <v>0</v>
      </c>
      <c r="F1956" s="91">
        <f>F1954*F1955</f>
        <v>0</v>
      </c>
      <c r="G1956" s="91">
        <f>G1954*G1955</f>
        <v>0</v>
      </c>
      <c r="H1956" s="91">
        <f>H1954*H1955</f>
        <v>0</v>
      </c>
      <c r="I1956" s="91">
        <f t="shared" ref="I1956:O1956" si="321">I1954*I1955</f>
        <v>0</v>
      </c>
      <c r="J1956" s="91">
        <f t="shared" si="321"/>
        <v>0</v>
      </c>
      <c r="K1956" s="91">
        <f t="shared" si="321"/>
        <v>0</v>
      </c>
      <c r="L1956" s="91">
        <f t="shared" si="321"/>
        <v>0</v>
      </c>
      <c r="M1956" s="91">
        <f t="shared" si="321"/>
        <v>0</v>
      </c>
      <c r="N1956" s="91">
        <f t="shared" si="321"/>
        <v>0</v>
      </c>
      <c r="O1956" s="91">
        <f t="shared" si="321"/>
        <v>0</v>
      </c>
      <c r="P1956" s="32"/>
      <c r="Q1956" s="20">
        <f t="shared" si="318"/>
        <v>0</v>
      </c>
    </row>
    <row r="1957" spans="1:17">
      <c r="A1957" s="150"/>
      <c r="B1957" s="153"/>
      <c r="C1957" s="117" t="s">
        <v>9</v>
      </c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1"/>
      <c r="O1957" s="91"/>
      <c r="P1957" s="32"/>
      <c r="Q1957" s="20">
        <f t="shared" si="318"/>
        <v>0</v>
      </c>
    </row>
    <row r="1958" spans="1:17">
      <c r="A1958" s="150"/>
      <c r="B1958" s="153"/>
      <c r="C1958" s="117" t="s">
        <v>38</v>
      </c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89"/>
      <c r="O1958" s="89"/>
      <c r="P1958" s="28"/>
      <c r="Q1958" s="20">
        <f t="shared" si="318"/>
        <v>0</v>
      </c>
    </row>
    <row r="1959" spans="1:17">
      <c r="A1959" s="150"/>
      <c r="B1959" s="153"/>
      <c r="C1959" s="62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1"/>
      <c r="O1959" s="91"/>
      <c r="P1959" s="32"/>
      <c r="Q1959" s="20">
        <f t="shared" si="318"/>
        <v>0</v>
      </c>
    </row>
    <row r="1960" spans="1:17">
      <c r="A1960" s="150"/>
      <c r="B1960" s="154"/>
      <c r="C1960" s="6" t="s">
        <v>42</v>
      </c>
      <c r="D1960" s="92"/>
      <c r="E1960" s="92"/>
      <c r="F1960" s="92"/>
      <c r="G1960" s="92"/>
      <c r="H1960" s="92"/>
      <c r="I1960" s="92"/>
      <c r="J1960" s="92"/>
      <c r="K1960" s="92"/>
      <c r="L1960" s="92"/>
      <c r="M1960" s="92"/>
      <c r="N1960" s="92"/>
      <c r="O1960" s="92"/>
      <c r="P1960" s="33"/>
      <c r="Q1960" s="22">
        <f t="shared" si="318"/>
        <v>0</v>
      </c>
    </row>
    <row r="1961" spans="1:17">
      <c r="A1961" s="150"/>
      <c r="B1961" s="155" t="s">
        <v>11</v>
      </c>
      <c r="C1961" s="5" t="s">
        <v>7</v>
      </c>
      <c r="D1961" s="94"/>
      <c r="E1961" s="94"/>
      <c r="F1961" s="94"/>
      <c r="G1961" s="94"/>
      <c r="H1961" s="94"/>
      <c r="I1961" s="94"/>
      <c r="J1961" s="94"/>
      <c r="K1961" s="94"/>
      <c r="L1961" s="94"/>
      <c r="M1961" s="94"/>
      <c r="N1961" s="94"/>
      <c r="O1961" s="94"/>
      <c r="P1961" s="27"/>
      <c r="Q1961" s="21">
        <f t="shared" si="318"/>
        <v>0</v>
      </c>
    </row>
    <row r="1962" spans="1:17">
      <c r="A1962" s="150"/>
      <c r="B1962" s="153"/>
      <c r="C1962" s="6" t="s">
        <v>4</v>
      </c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32"/>
      <c r="Q1962" s="20">
        <f t="shared" si="318"/>
        <v>0</v>
      </c>
    </row>
    <row r="1963" spans="1:17">
      <c r="A1963" s="150"/>
      <c r="B1963" s="153"/>
      <c r="C1963" s="6" t="s">
        <v>17</v>
      </c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1"/>
      <c r="O1963" s="91"/>
      <c r="P1963" s="32"/>
      <c r="Q1963" s="20">
        <f t="shared" si="318"/>
        <v>0</v>
      </c>
    </row>
    <row r="1964" spans="1:17">
      <c r="A1964" s="150"/>
      <c r="B1964" s="153"/>
      <c r="C1964" s="6" t="s">
        <v>18</v>
      </c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32"/>
      <c r="Q1964" s="20">
        <f t="shared" si="318"/>
        <v>0</v>
      </c>
    </row>
    <row r="1965" spans="1:17">
      <c r="A1965" s="150"/>
      <c r="B1965" s="153"/>
      <c r="C1965" s="6" t="s">
        <v>60</v>
      </c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1"/>
      <c r="O1965" s="91"/>
      <c r="P1965" s="32"/>
      <c r="Q1965" s="20">
        <f t="shared" si="318"/>
        <v>0</v>
      </c>
    </row>
    <row r="1966" spans="1:17">
      <c r="A1966" s="150"/>
      <c r="B1966" s="155" t="s">
        <v>13</v>
      </c>
      <c r="C1966" s="5" t="s">
        <v>10</v>
      </c>
      <c r="D1966" s="94"/>
      <c r="E1966" s="94"/>
      <c r="F1966" s="94"/>
      <c r="G1966" s="94"/>
      <c r="H1966" s="94"/>
      <c r="I1966" s="94"/>
      <c r="J1966" s="94"/>
      <c r="K1966" s="94"/>
      <c r="L1966" s="94"/>
      <c r="M1966" s="94"/>
      <c r="N1966" s="94"/>
      <c r="O1966" s="94"/>
      <c r="P1966" s="27"/>
      <c r="Q1966" s="21">
        <f t="shared" si="318"/>
        <v>0</v>
      </c>
    </row>
    <row r="1967" spans="1:17">
      <c r="A1967" s="150"/>
      <c r="B1967" s="153"/>
      <c r="C1967" s="116" t="s">
        <v>55</v>
      </c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89"/>
      <c r="O1967" s="89"/>
      <c r="P1967" s="28"/>
      <c r="Q1967" s="20">
        <f t="shared" si="318"/>
        <v>0</v>
      </c>
    </row>
    <row r="1968" spans="1:17">
      <c r="A1968" s="150"/>
      <c r="B1968" s="153"/>
      <c r="C1968" s="8" t="s">
        <v>56</v>
      </c>
      <c r="D1968" s="89"/>
      <c r="E1968" s="89"/>
      <c r="F1968" s="89"/>
      <c r="G1968" s="89"/>
      <c r="H1968" s="89"/>
      <c r="I1968" s="89"/>
      <c r="J1968" s="89"/>
      <c r="K1968" s="89"/>
      <c r="L1968" s="89"/>
      <c r="M1968" s="89"/>
      <c r="N1968" s="89"/>
      <c r="O1968" s="89"/>
      <c r="P1968" s="28"/>
      <c r="Q1968" s="20">
        <f t="shared" si="318"/>
        <v>0</v>
      </c>
    </row>
    <row r="1969" spans="1:17">
      <c r="A1969" s="150"/>
      <c r="B1969" s="154"/>
      <c r="C1969" s="4" t="s">
        <v>61</v>
      </c>
      <c r="D1969" s="92"/>
      <c r="E1969" s="92"/>
      <c r="F1969" s="92"/>
      <c r="G1969" s="92"/>
      <c r="H1969" s="92"/>
      <c r="I1969" s="92"/>
      <c r="J1969" s="92"/>
      <c r="K1969" s="92"/>
      <c r="L1969" s="92"/>
      <c r="M1969" s="92"/>
      <c r="N1969" s="92"/>
      <c r="O1969" s="92"/>
      <c r="P1969" s="33"/>
      <c r="Q1969" s="22">
        <f t="shared" si="318"/>
        <v>0</v>
      </c>
    </row>
    <row r="1970" spans="1:17">
      <c r="A1970" s="150"/>
      <c r="B1970" s="156" t="s">
        <v>54</v>
      </c>
      <c r="C1970" s="157"/>
      <c r="D1970" s="56">
        <f t="shared" ref="D1970:O1970" si="322">SUM(D1956:D1960)-SUM(D1964:D1965)</f>
        <v>0</v>
      </c>
      <c r="E1970" s="56">
        <f t="shared" si="322"/>
        <v>0</v>
      </c>
      <c r="F1970" s="56">
        <f t="shared" si="322"/>
        <v>0</v>
      </c>
      <c r="G1970" s="56">
        <f t="shared" si="322"/>
        <v>0</v>
      </c>
      <c r="H1970" s="56">
        <f t="shared" si="322"/>
        <v>0</v>
      </c>
      <c r="I1970" s="56">
        <f t="shared" si="322"/>
        <v>0</v>
      </c>
      <c r="J1970" s="56">
        <f t="shared" si="322"/>
        <v>0</v>
      </c>
      <c r="K1970" s="56">
        <f t="shared" si="322"/>
        <v>0</v>
      </c>
      <c r="L1970" s="56">
        <f t="shared" si="322"/>
        <v>0</v>
      </c>
      <c r="M1970" s="56">
        <f t="shared" si="322"/>
        <v>0</v>
      </c>
      <c r="N1970" s="56">
        <f t="shared" si="322"/>
        <v>0</v>
      </c>
      <c r="O1970" s="56">
        <f t="shared" si="322"/>
        <v>0</v>
      </c>
      <c r="P1970" s="58">
        <f>SUM(P1954:P1960)-SUM(P1964:P1965)</f>
        <v>0</v>
      </c>
      <c r="Q1970" s="59">
        <f t="shared" si="318"/>
        <v>0</v>
      </c>
    </row>
    <row r="1971" spans="1:17" ht="14.25" thickBot="1">
      <c r="A1971" s="151"/>
      <c r="B1971" s="147" t="s">
        <v>5</v>
      </c>
      <c r="C1971" s="148"/>
      <c r="D1971" s="42">
        <f t="shared" ref="D1971:O1971" si="323">SUM(D1956:D1960)-SUM(D1961:D1965)+SUM(D1966:D1969)</f>
        <v>0</v>
      </c>
      <c r="E1971" s="42">
        <f t="shared" si="323"/>
        <v>0</v>
      </c>
      <c r="F1971" s="42">
        <f t="shared" si="323"/>
        <v>0</v>
      </c>
      <c r="G1971" s="42">
        <f t="shared" si="323"/>
        <v>0</v>
      </c>
      <c r="H1971" s="42">
        <f t="shared" si="323"/>
        <v>0</v>
      </c>
      <c r="I1971" s="42">
        <f t="shared" si="323"/>
        <v>0</v>
      </c>
      <c r="J1971" s="42">
        <f t="shared" si="323"/>
        <v>0</v>
      </c>
      <c r="K1971" s="42">
        <f t="shared" si="323"/>
        <v>0</v>
      </c>
      <c r="L1971" s="42">
        <f t="shared" si="323"/>
        <v>0</v>
      </c>
      <c r="M1971" s="42">
        <f t="shared" si="323"/>
        <v>0</v>
      </c>
      <c r="N1971" s="42">
        <f t="shared" si="323"/>
        <v>0</v>
      </c>
      <c r="O1971" s="42">
        <f t="shared" si="323"/>
        <v>0</v>
      </c>
      <c r="P1971" s="44">
        <f>SUM(P1954:P1960)-SUM(P1961:P1965)+SUM(P1966:P1969)</f>
        <v>0</v>
      </c>
      <c r="Q1971" s="46">
        <f t="shared" si="318"/>
        <v>0</v>
      </c>
    </row>
    <row r="1972" spans="1:17">
      <c r="A1972" s="149"/>
      <c r="B1972" s="152" t="s">
        <v>12</v>
      </c>
      <c r="C1972" s="114" t="s">
        <v>84</v>
      </c>
      <c r="D1972" s="87"/>
      <c r="E1972" s="87"/>
      <c r="F1972" s="87"/>
      <c r="G1972" s="87"/>
      <c r="H1972" s="87"/>
      <c r="I1972" s="87"/>
      <c r="J1972" s="87"/>
      <c r="K1972" s="87"/>
      <c r="L1972" s="87"/>
      <c r="M1972" s="87"/>
      <c r="N1972" s="87"/>
      <c r="O1972" s="87"/>
      <c r="P1972" s="30"/>
      <c r="Q1972" s="19">
        <f t="shared" si="318"/>
        <v>0</v>
      </c>
    </row>
    <row r="1973" spans="1:17">
      <c r="A1973" s="150"/>
      <c r="B1973" s="153"/>
      <c r="C1973" s="115" t="s">
        <v>85</v>
      </c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28"/>
      <c r="Q1973" s="20">
        <f t="shared" si="318"/>
        <v>0</v>
      </c>
    </row>
    <row r="1974" spans="1:17">
      <c r="A1974" s="150"/>
      <c r="B1974" s="153"/>
      <c r="C1974" s="116" t="s">
        <v>86</v>
      </c>
      <c r="D1974" s="91">
        <f>D1972*D1973</f>
        <v>0</v>
      </c>
      <c r="E1974" s="91">
        <f>E1972*E1973</f>
        <v>0</v>
      </c>
      <c r="F1974" s="91">
        <f>F1972*F1973</f>
        <v>0</v>
      </c>
      <c r="G1974" s="91">
        <f>G1972*G1973</f>
        <v>0</v>
      </c>
      <c r="H1974" s="91">
        <f>H1972*H1973</f>
        <v>0</v>
      </c>
      <c r="I1974" s="91">
        <f t="shared" ref="I1974:O1974" si="324">I1972*I1973</f>
        <v>0</v>
      </c>
      <c r="J1974" s="91">
        <f t="shared" si="324"/>
        <v>0</v>
      </c>
      <c r="K1974" s="91">
        <f t="shared" si="324"/>
        <v>0</v>
      </c>
      <c r="L1974" s="91">
        <f t="shared" si="324"/>
        <v>0</v>
      </c>
      <c r="M1974" s="91">
        <f t="shared" si="324"/>
        <v>0</v>
      </c>
      <c r="N1974" s="91">
        <f t="shared" si="324"/>
        <v>0</v>
      </c>
      <c r="O1974" s="91">
        <f t="shared" si="324"/>
        <v>0</v>
      </c>
      <c r="P1974" s="32"/>
      <c r="Q1974" s="20">
        <f t="shared" si="318"/>
        <v>0</v>
      </c>
    </row>
    <row r="1975" spans="1:17">
      <c r="A1975" s="150"/>
      <c r="B1975" s="153"/>
      <c r="C1975" s="117" t="s">
        <v>9</v>
      </c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32"/>
      <c r="Q1975" s="20">
        <f t="shared" si="318"/>
        <v>0</v>
      </c>
    </row>
    <row r="1976" spans="1:17">
      <c r="A1976" s="150"/>
      <c r="B1976" s="153"/>
      <c r="C1976" s="117" t="s">
        <v>38</v>
      </c>
      <c r="D1976" s="89"/>
      <c r="E1976" s="89"/>
      <c r="F1976" s="89"/>
      <c r="G1976" s="89"/>
      <c r="H1976" s="89"/>
      <c r="I1976" s="89"/>
      <c r="J1976" s="89"/>
      <c r="K1976" s="89"/>
      <c r="L1976" s="89"/>
      <c r="M1976" s="89"/>
      <c r="N1976" s="89"/>
      <c r="O1976" s="89"/>
      <c r="P1976" s="28"/>
      <c r="Q1976" s="20">
        <f t="shared" si="318"/>
        <v>0</v>
      </c>
    </row>
    <row r="1977" spans="1:17">
      <c r="A1977" s="150"/>
      <c r="B1977" s="153"/>
      <c r="C1977" s="62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32"/>
      <c r="Q1977" s="20">
        <f t="shared" si="318"/>
        <v>0</v>
      </c>
    </row>
    <row r="1978" spans="1:17">
      <c r="A1978" s="150"/>
      <c r="B1978" s="154"/>
      <c r="C1978" s="6" t="s">
        <v>42</v>
      </c>
      <c r="D1978" s="92"/>
      <c r="E1978" s="92"/>
      <c r="F1978" s="92"/>
      <c r="G1978" s="92"/>
      <c r="H1978" s="92"/>
      <c r="I1978" s="92"/>
      <c r="J1978" s="92"/>
      <c r="K1978" s="92"/>
      <c r="L1978" s="92"/>
      <c r="M1978" s="92"/>
      <c r="N1978" s="92"/>
      <c r="O1978" s="92"/>
      <c r="P1978" s="33"/>
      <c r="Q1978" s="22">
        <f t="shared" si="318"/>
        <v>0</v>
      </c>
    </row>
    <row r="1979" spans="1:17">
      <c r="A1979" s="150"/>
      <c r="B1979" s="155" t="s">
        <v>11</v>
      </c>
      <c r="C1979" s="5" t="s">
        <v>7</v>
      </c>
      <c r="D1979" s="94"/>
      <c r="E1979" s="94"/>
      <c r="F1979" s="94"/>
      <c r="G1979" s="94"/>
      <c r="H1979" s="94"/>
      <c r="I1979" s="94"/>
      <c r="J1979" s="94"/>
      <c r="K1979" s="94"/>
      <c r="L1979" s="94"/>
      <c r="M1979" s="94"/>
      <c r="N1979" s="94"/>
      <c r="O1979" s="94"/>
      <c r="P1979" s="27"/>
      <c r="Q1979" s="21">
        <f t="shared" si="318"/>
        <v>0</v>
      </c>
    </row>
    <row r="1980" spans="1:17">
      <c r="A1980" s="150"/>
      <c r="B1980" s="153"/>
      <c r="C1980" s="6" t="s">
        <v>4</v>
      </c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32"/>
      <c r="Q1980" s="20">
        <f t="shared" si="318"/>
        <v>0</v>
      </c>
    </row>
    <row r="1981" spans="1:17">
      <c r="A1981" s="150"/>
      <c r="B1981" s="153"/>
      <c r="C1981" s="6" t="s">
        <v>17</v>
      </c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32"/>
      <c r="Q1981" s="20">
        <f t="shared" si="318"/>
        <v>0</v>
      </c>
    </row>
    <row r="1982" spans="1:17">
      <c r="A1982" s="150"/>
      <c r="B1982" s="153"/>
      <c r="C1982" s="6" t="s">
        <v>18</v>
      </c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32"/>
      <c r="Q1982" s="20">
        <f t="shared" si="318"/>
        <v>0</v>
      </c>
    </row>
    <row r="1983" spans="1:17">
      <c r="A1983" s="150"/>
      <c r="B1983" s="153"/>
      <c r="C1983" s="6" t="s">
        <v>60</v>
      </c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1"/>
      <c r="O1983" s="91"/>
      <c r="P1983" s="32"/>
      <c r="Q1983" s="20">
        <f t="shared" si="318"/>
        <v>0</v>
      </c>
    </row>
    <row r="1984" spans="1:17">
      <c r="A1984" s="150"/>
      <c r="B1984" s="155" t="s">
        <v>13</v>
      </c>
      <c r="C1984" s="5" t="s">
        <v>10</v>
      </c>
      <c r="D1984" s="94"/>
      <c r="E1984" s="94"/>
      <c r="F1984" s="94"/>
      <c r="G1984" s="94"/>
      <c r="H1984" s="94"/>
      <c r="I1984" s="94"/>
      <c r="J1984" s="94"/>
      <c r="K1984" s="94"/>
      <c r="L1984" s="94"/>
      <c r="M1984" s="94"/>
      <c r="N1984" s="94"/>
      <c r="O1984" s="94"/>
      <c r="P1984" s="27"/>
      <c r="Q1984" s="21">
        <f t="shared" si="318"/>
        <v>0</v>
      </c>
    </row>
    <row r="1985" spans="1:17">
      <c r="A1985" s="150"/>
      <c r="B1985" s="153"/>
      <c r="C1985" s="116" t="s">
        <v>55</v>
      </c>
      <c r="D1985" s="89"/>
      <c r="E1985" s="89"/>
      <c r="F1985" s="89"/>
      <c r="G1985" s="89"/>
      <c r="H1985" s="89"/>
      <c r="I1985" s="89"/>
      <c r="J1985" s="89"/>
      <c r="K1985" s="89"/>
      <c r="L1985" s="89"/>
      <c r="M1985" s="89"/>
      <c r="N1985" s="89"/>
      <c r="O1985" s="89"/>
      <c r="P1985" s="28"/>
      <c r="Q1985" s="20">
        <f t="shared" si="318"/>
        <v>0</v>
      </c>
    </row>
    <row r="1986" spans="1:17">
      <c r="A1986" s="150"/>
      <c r="B1986" s="153"/>
      <c r="C1986" s="8" t="s">
        <v>56</v>
      </c>
      <c r="D1986" s="89"/>
      <c r="E1986" s="89"/>
      <c r="F1986" s="89"/>
      <c r="G1986" s="89"/>
      <c r="H1986" s="89"/>
      <c r="I1986" s="89"/>
      <c r="J1986" s="89"/>
      <c r="K1986" s="89"/>
      <c r="L1986" s="89"/>
      <c r="M1986" s="89"/>
      <c r="N1986" s="89"/>
      <c r="O1986" s="89"/>
      <c r="P1986" s="28"/>
      <c r="Q1986" s="20">
        <f t="shared" si="318"/>
        <v>0</v>
      </c>
    </row>
    <row r="1987" spans="1:17">
      <c r="A1987" s="150"/>
      <c r="B1987" s="154"/>
      <c r="C1987" s="4" t="s">
        <v>61</v>
      </c>
      <c r="D1987" s="92"/>
      <c r="E1987" s="92"/>
      <c r="F1987" s="92"/>
      <c r="G1987" s="92"/>
      <c r="H1987" s="92"/>
      <c r="I1987" s="92"/>
      <c r="J1987" s="92"/>
      <c r="K1987" s="92"/>
      <c r="L1987" s="92"/>
      <c r="M1987" s="92"/>
      <c r="N1987" s="92"/>
      <c r="O1987" s="92"/>
      <c r="P1987" s="33"/>
      <c r="Q1987" s="22">
        <f t="shared" si="318"/>
        <v>0</v>
      </c>
    </row>
    <row r="1988" spans="1:17">
      <c r="A1988" s="150"/>
      <c r="B1988" s="156" t="s">
        <v>54</v>
      </c>
      <c r="C1988" s="157"/>
      <c r="D1988" s="56">
        <f t="shared" ref="D1988:O1988" si="325">SUM(D1974:D1978)-SUM(D1982:D1983)</f>
        <v>0</v>
      </c>
      <c r="E1988" s="56">
        <f t="shared" si="325"/>
        <v>0</v>
      </c>
      <c r="F1988" s="56">
        <f t="shared" si="325"/>
        <v>0</v>
      </c>
      <c r="G1988" s="56">
        <f t="shared" si="325"/>
        <v>0</v>
      </c>
      <c r="H1988" s="56">
        <f t="shared" si="325"/>
        <v>0</v>
      </c>
      <c r="I1988" s="56">
        <f t="shared" si="325"/>
        <v>0</v>
      </c>
      <c r="J1988" s="56">
        <f t="shared" si="325"/>
        <v>0</v>
      </c>
      <c r="K1988" s="56">
        <f t="shared" si="325"/>
        <v>0</v>
      </c>
      <c r="L1988" s="56">
        <f t="shared" si="325"/>
        <v>0</v>
      </c>
      <c r="M1988" s="56">
        <f t="shared" si="325"/>
        <v>0</v>
      </c>
      <c r="N1988" s="56">
        <f t="shared" si="325"/>
        <v>0</v>
      </c>
      <c r="O1988" s="56">
        <f t="shared" si="325"/>
        <v>0</v>
      </c>
      <c r="P1988" s="58">
        <f>SUM(P1972:P1978)-SUM(P1982:P1983)</f>
        <v>0</v>
      </c>
      <c r="Q1988" s="59">
        <f t="shared" si="318"/>
        <v>0</v>
      </c>
    </row>
    <row r="1989" spans="1:17" ht="14.25" thickBot="1">
      <c r="A1989" s="151"/>
      <c r="B1989" s="147" t="s">
        <v>5</v>
      </c>
      <c r="C1989" s="148"/>
      <c r="D1989" s="42">
        <f t="shared" ref="D1989:O1989" si="326">SUM(D1974:D1978)-SUM(D1979:D1983)+SUM(D1984:D1987)</f>
        <v>0</v>
      </c>
      <c r="E1989" s="42">
        <f t="shared" si="326"/>
        <v>0</v>
      </c>
      <c r="F1989" s="42">
        <f t="shared" si="326"/>
        <v>0</v>
      </c>
      <c r="G1989" s="42">
        <f t="shared" si="326"/>
        <v>0</v>
      </c>
      <c r="H1989" s="42">
        <f t="shared" si="326"/>
        <v>0</v>
      </c>
      <c r="I1989" s="42">
        <f t="shared" si="326"/>
        <v>0</v>
      </c>
      <c r="J1989" s="42">
        <f t="shared" si="326"/>
        <v>0</v>
      </c>
      <c r="K1989" s="42">
        <f t="shared" si="326"/>
        <v>0</v>
      </c>
      <c r="L1989" s="42">
        <f t="shared" si="326"/>
        <v>0</v>
      </c>
      <c r="M1989" s="42">
        <f t="shared" si="326"/>
        <v>0</v>
      </c>
      <c r="N1989" s="42">
        <f t="shared" si="326"/>
        <v>0</v>
      </c>
      <c r="O1989" s="42">
        <f t="shared" si="326"/>
        <v>0</v>
      </c>
      <c r="P1989" s="44">
        <f>SUM(P1972:P1978)-SUM(P1979:P1983)+SUM(P1984:P1987)</f>
        <v>0</v>
      </c>
      <c r="Q1989" s="46">
        <f t="shared" si="318"/>
        <v>0</v>
      </c>
    </row>
    <row r="1990" spans="1:17">
      <c r="A1990" s="149"/>
      <c r="B1990" s="152" t="s">
        <v>12</v>
      </c>
      <c r="C1990" s="114" t="s">
        <v>84</v>
      </c>
      <c r="D1990" s="87"/>
      <c r="E1990" s="87"/>
      <c r="F1990" s="87"/>
      <c r="G1990" s="87"/>
      <c r="H1990" s="87"/>
      <c r="I1990" s="87"/>
      <c r="J1990" s="87"/>
      <c r="K1990" s="87"/>
      <c r="L1990" s="87"/>
      <c r="M1990" s="87"/>
      <c r="N1990" s="87"/>
      <c r="O1990" s="87"/>
      <c r="P1990" s="30"/>
      <c r="Q1990" s="19">
        <f t="shared" si="318"/>
        <v>0</v>
      </c>
    </row>
    <row r="1991" spans="1:17">
      <c r="A1991" s="150"/>
      <c r="B1991" s="153"/>
      <c r="C1991" s="115" t="s">
        <v>85</v>
      </c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28"/>
      <c r="Q1991" s="20">
        <f t="shared" si="318"/>
        <v>0</v>
      </c>
    </row>
    <row r="1992" spans="1:17">
      <c r="A1992" s="150"/>
      <c r="B1992" s="153"/>
      <c r="C1992" s="116" t="s">
        <v>86</v>
      </c>
      <c r="D1992" s="91">
        <f>D1990*D1991</f>
        <v>0</v>
      </c>
      <c r="E1992" s="91">
        <f>E1990*E1991</f>
        <v>0</v>
      </c>
      <c r="F1992" s="91">
        <f>F1990*F1991</f>
        <v>0</v>
      </c>
      <c r="G1992" s="91">
        <f>G1990*G1991</f>
        <v>0</v>
      </c>
      <c r="H1992" s="91">
        <f>H1990*H1991</f>
        <v>0</v>
      </c>
      <c r="I1992" s="91">
        <f t="shared" ref="I1992:O1992" si="327">I1990*I1991</f>
        <v>0</v>
      </c>
      <c r="J1992" s="91">
        <f t="shared" si="327"/>
        <v>0</v>
      </c>
      <c r="K1992" s="91">
        <f t="shared" si="327"/>
        <v>0</v>
      </c>
      <c r="L1992" s="91">
        <f t="shared" si="327"/>
        <v>0</v>
      </c>
      <c r="M1992" s="91">
        <f t="shared" si="327"/>
        <v>0</v>
      </c>
      <c r="N1992" s="91">
        <f t="shared" si="327"/>
        <v>0</v>
      </c>
      <c r="O1992" s="91">
        <f t="shared" si="327"/>
        <v>0</v>
      </c>
      <c r="P1992" s="32"/>
      <c r="Q1992" s="20">
        <f t="shared" si="318"/>
        <v>0</v>
      </c>
    </row>
    <row r="1993" spans="1:17">
      <c r="A1993" s="150"/>
      <c r="B1993" s="153"/>
      <c r="C1993" s="117" t="s">
        <v>9</v>
      </c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1"/>
      <c r="O1993" s="91"/>
      <c r="P1993" s="32"/>
      <c r="Q1993" s="20">
        <f t="shared" si="318"/>
        <v>0</v>
      </c>
    </row>
    <row r="1994" spans="1:17">
      <c r="A1994" s="150"/>
      <c r="B1994" s="153"/>
      <c r="C1994" s="117" t="s">
        <v>38</v>
      </c>
      <c r="D1994" s="89"/>
      <c r="E1994" s="89"/>
      <c r="F1994" s="89"/>
      <c r="G1994" s="89"/>
      <c r="H1994" s="89"/>
      <c r="I1994" s="89"/>
      <c r="J1994" s="89"/>
      <c r="K1994" s="89"/>
      <c r="L1994" s="89"/>
      <c r="M1994" s="89"/>
      <c r="N1994" s="89"/>
      <c r="O1994" s="89"/>
      <c r="P1994" s="28"/>
      <c r="Q1994" s="20">
        <f t="shared" si="318"/>
        <v>0</v>
      </c>
    </row>
    <row r="1995" spans="1:17">
      <c r="A1995" s="150"/>
      <c r="B1995" s="153"/>
      <c r="C1995" s="62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1"/>
      <c r="O1995" s="91"/>
      <c r="P1995" s="32"/>
      <c r="Q1995" s="20">
        <f t="shared" si="318"/>
        <v>0</v>
      </c>
    </row>
    <row r="1996" spans="1:17">
      <c r="A1996" s="150"/>
      <c r="B1996" s="154"/>
      <c r="C1996" s="6" t="s">
        <v>42</v>
      </c>
      <c r="D1996" s="92"/>
      <c r="E1996" s="92"/>
      <c r="F1996" s="92"/>
      <c r="G1996" s="92"/>
      <c r="H1996" s="92"/>
      <c r="I1996" s="92"/>
      <c r="J1996" s="92"/>
      <c r="K1996" s="92"/>
      <c r="L1996" s="92"/>
      <c r="M1996" s="92"/>
      <c r="N1996" s="92"/>
      <c r="O1996" s="92"/>
      <c r="P1996" s="33"/>
      <c r="Q1996" s="22">
        <f t="shared" si="318"/>
        <v>0</v>
      </c>
    </row>
    <row r="1997" spans="1:17">
      <c r="A1997" s="150"/>
      <c r="B1997" s="155" t="s">
        <v>11</v>
      </c>
      <c r="C1997" s="5" t="s">
        <v>7</v>
      </c>
      <c r="D1997" s="94"/>
      <c r="E1997" s="94"/>
      <c r="F1997" s="94"/>
      <c r="G1997" s="94"/>
      <c r="H1997" s="94"/>
      <c r="I1997" s="94"/>
      <c r="J1997" s="94"/>
      <c r="K1997" s="94"/>
      <c r="L1997" s="94"/>
      <c r="M1997" s="94"/>
      <c r="N1997" s="94"/>
      <c r="O1997" s="94"/>
      <c r="P1997" s="27"/>
      <c r="Q1997" s="21">
        <f t="shared" si="318"/>
        <v>0</v>
      </c>
    </row>
    <row r="1998" spans="1:17">
      <c r="A1998" s="150"/>
      <c r="B1998" s="153"/>
      <c r="C1998" s="6" t="s">
        <v>4</v>
      </c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32"/>
      <c r="Q1998" s="20">
        <f t="shared" si="318"/>
        <v>0</v>
      </c>
    </row>
    <row r="1999" spans="1:17">
      <c r="A1999" s="150"/>
      <c r="B1999" s="153"/>
      <c r="C1999" s="6" t="s">
        <v>17</v>
      </c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32"/>
      <c r="Q1999" s="20">
        <f t="shared" si="318"/>
        <v>0</v>
      </c>
    </row>
    <row r="2000" spans="1:17">
      <c r="A2000" s="150"/>
      <c r="B2000" s="153"/>
      <c r="C2000" s="6" t="s">
        <v>18</v>
      </c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32"/>
      <c r="Q2000" s="20">
        <f t="shared" si="318"/>
        <v>0</v>
      </c>
    </row>
    <row r="2001" spans="1:17">
      <c r="A2001" s="150"/>
      <c r="B2001" s="153"/>
      <c r="C2001" s="6" t="s">
        <v>60</v>
      </c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32"/>
      <c r="Q2001" s="20">
        <f t="shared" si="318"/>
        <v>0</v>
      </c>
    </row>
    <row r="2002" spans="1:17">
      <c r="A2002" s="150"/>
      <c r="B2002" s="155" t="s">
        <v>13</v>
      </c>
      <c r="C2002" s="5" t="s">
        <v>10</v>
      </c>
      <c r="D2002" s="94"/>
      <c r="E2002" s="94"/>
      <c r="F2002" s="94"/>
      <c r="G2002" s="94"/>
      <c r="H2002" s="94"/>
      <c r="I2002" s="94"/>
      <c r="J2002" s="94"/>
      <c r="K2002" s="94"/>
      <c r="L2002" s="94"/>
      <c r="M2002" s="94"/>
      <c r="N2002" s="94"/>
      <c r="O2002" s="94"/>
      <c r="P2002" s="27"/>
      <c r="Q2002" s="21">
        <f t="shared" si="318"/>
        <v>0</v>
      </c>
    </row>
    <row r="2003" spans="1:17">
      <c r="A2003" s="150"/>
      <c r="B2003" s="153"/>
      <c r="C2003" s="116" t="s">
        <v>55</v>
      </c>
      <c r="D2003" s="89"/>
      <c r="E2003" s="89"/>
      <c r="F2003" s="89"/>
      <c r="G2003" s="89"/>
      <c r="H2003" s="89"/>
      <c r="I2003" s="89"/>
      <c r="J2003" s="89"/>
      <c r="K2003" s="89"/>
      <c r="L2003" s="89"/>
      <c r="M2003" s="89"/>
      <c r="N2003" s="89"/>
      <c r="O2003" s="89"/>
      <c r="P2003" s="28"/>
      <c r="Q2003" s="20">
        <f t="shared" ref="Q2003:Q2066" si="328">SUM(P2003:P2003)</f>
        <v>0</v>
      </c>
    </row>
    <row r="2004" spans="1:17">
      <c r="A2004" s="150"/>
      <c r="B2004" s="153"/>
      <c r="C2004" s="8" t="s">
        <v>56</v>
      </c>
      <c r="D2004" s="89"/>
      <c r="E2004" s="89"/>
      <c r="F2004" s="89"/>
      <c r="G2004" s="89"/>
      <c r="H2004" s="89"/>
      <c r="I2004" s="89"/>
      <c r="J2004" s="89"/>
      <c r="K2004" s="89"/>
      <c r="L2004" s="89"/>
      <c r="M2004" s="89"/>
      <c r="N2004" s="89"/>
      <c r="O2004" s="89"/>
      <c r="P2004" s="28"/>
      <c r="Q2004" s="20">
        <f t="shared" si="328"/>
        <v>0</v>
      </c>
    </row>
    <row r="2005" spans="1:17">
      <c r="A2005" s="150"/>
      <c r="B2005" s="154"/>
      <c r="C2005" s="4" t="s">
        <v>61</v>
      </c>
      <c r="D2005" s="92"/>
      <c r="E2005" s="92"/>
      <c r="F2005" s="92"/>
      <c r="G2005" s="92"/>
      <c r="H2005" s="92"/>
      <c r="I2005" s="92"/>
      <c r="J2005" s="92"/>
      <c r="K2005" s="92"/>
      <c r="L2005" s="92"/>
      <c r="M2005" s="92"/>
      <c r="N2005" s="92"/>
      <c r="O2005" s="92"/>
      <c r="P2005" s="33"/>
      <c r="Q2005" s="22">
        <f t="shared" si="328"/>
        <v>0</v>
      </c>
    </row>
    <row r="2006" spans="1:17">
      <c r="A2006" s="150"/>
      <c r="B2006" s="156" t="s">
        <v>54</v>
      </c>
      <c r="C2006" s="157"/>
      <c r="D2006" s="56">
        <f t="shared" ref="D2006:O2006" si="329">SUM(D1992:D1996)-SUM(D2000:D2001)</f>
        <v>0</v>
      </c>
      <c r="E2006" s="56">
        <f t="shared" si="329"/>
        <v>0</v>
      </c>
      <c r="F2006" s="56">
        <f t="shared" si="329"/>
        <v>0</v>
      </c>
      <c r="G2006" s="56">
        <f t="shared" si="329"/>
        <v>0</v>
      </c>
      <c r="H2006" s="56">
        <f t="shared" si="329"/>
        <v>0</v>
      </c>
      <c r="I2006" s="56">
        <f t="shared" si="329"/>
        <v>0</v>
      </c>
      <c r="J2006" s="56">
        <f t="shared" si="329"/>
        <v>0</v>
      </c>
      <c r="K2006" s="56">
        <f t="shared" si="329"/>
        <v>0</v>
      </c>
      <c r="L2006" s="56">
        <f t="shared" si="329"/>
        <v>0</v>
      </c>
      <c r="M2006" s="56">
        <f t="shared" si="329"/>
        <v>0</v>
      </c>
      <c r="N2006" s="56">
        <f t="shared" si="329"/>
        <v>0</v>
      </c>
      <c r="O2006" s="56">
        <f t="shared" si="329"/>
        <v>0</v>
      </c>
      <c r="P2006" s="58">
        <f>SUM(P1990:P1996)-SUM(P2000:P2001)</f>
        <v>0</v>
      </c>
      <c r="Q2006" s="59">
        <f t="shared" si="328"/>
        <v>0</v>
      </c>
    </row>
    <row r="2007" spans="1:17" ht="14.25" thickBot="1">
      <c r="A2007" s="151"/>
      <c r="B2007" s="147" t="s">
        <v>5</v>
      </c>
      <c r="C2007" s="148"/>
      <c r="D2007" s="42">
        <f t="shared" ref="D2007:O2007" si="330">SUM(D1992:D1996)-SUM(D1997:D2001)+SUM(D2002:D2005)</f>
        <v>0</v>
      </c>
      <c r="E2007" s="42">
        <f t="shared" si="330"/>
        <v>0</v>
      </c>
      <c r="F2007" s="42">
        <f t="shared" si="330"/>
        <v>0</v>
      </c>
      <c r="G2007" s="42">
        <f t="shared" si="330"/>
        <v>0</v>
      </c>
      <c r="H2007" s="42">
        <f t="shared" si="330"/>
        <v>0</v>
      </c>
      <c r="I2007" s="42">
        <f t="shared" si="330"/>
        <v>0</v>
      </c>
      <c r="J2007" s="42">
        <f t="shared" si="330"/>
        <v>0</v>
      </c>
      <c r="K2007" s="42">
        <f t="shared" si="330"/>
        <v>0</v>
      </c>
      <c r="L2007" s="42">
        <f t="shared" si="330"/>
        <v>0</v>
      </c>
      <c r="M2007" s="42">
        <f t="shared" si="330"/>
        <v>0</v>
      </c>
      <c r="N2007" s="42">
        <f t="shared" si="330"/>
        <v>0</v>
      </c>
      <c r="O2007" s="42">
        <f t="shared" si="330"/>
        <v>0</v>
      </c>
      <c r="P2007" s="44">
        <f>SUM(P1990:P1996)-SUM(P1997:P2001)+SUM(P2002:P2005)</f>
        <v>0</v>
      </c>
      <c r="Q2007" s="46">
        <f t="shared" si="328"/>
        <v>0</v>
      </c>
    </row>
    <row r="2008" spans="1:17">
      <c r="A2008" s="149"/>
      <c r="B2008" s="152" t="s">
        <v>12</v>
      </c>
      <c r="C2008" s="114" t="s">
        <v>84</v>
      </c>
      <c r="D2008" s="87"/>
      <c r="E2008" s="87"/>
      <c r="F2008" s="87"/>
      <c r="G2008" s="87"/>
      <c r="H2008" s="87"/>
      <c r="I2008" s="87"/>
      <c r="J2008" s="87"/>
      <c r="K2008" s="87"/>
      <c r="L2008" s="87"/>
      <c r="M2008" s="87"/>
      <c r="N2008" s="87"/>
      <c r="O2008" s="87"/>
      <c r="P2008" s="30"/>
      <c r="Q2008" s="19">
        <f t="shared" si="328"/>
        <v>0</v>
      </c>
    </row>
    <row r="2009" spans="1:17">
      <c r="A2009" s="150"/>
      <c r="B2009" s="153"/>
      <c r="C2009" s="115" t="s">
        <v>85</v>
      </c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28"/>
      <c r="Q2009" s="20">
        <f t="shared" si="328"/>
        <v>0</v>
      </c>
    </row>
    <row r="2010" spans="1:17">
      <c r="A2010" s="150"/>
      <c r="B2010" s="153"/>
      <c r="C2010" s="116" t="s">
        <v>86</v>
      </c>
      <c r="D2010" s="91">
        <f>D2008*D2009</f>
        <v>0</v>
      </c>
      <c r="E2010" s="91">
        <f>E2008*E2009</f>
        <v>0</v>
      </c>
      <c r="F2010" s="91">
        <f>F2008*F2009</f>
        <v>0</v>
      </c>
      <c r="G2010" s="91">
        <f>G2008*G2009</f>
        <v>0</v>
      </c>
      <c r="H2010" s="91">
        <f>H2008*H2009</f>
        <v>0</v>
      </c>
      <c r="I2010" s="91">
        <f t="shared" ref="I2010:O2010" si="331">I2008*I2009</f>
        <v>0</v>
      </c>
      <c r="J2010" s="91">
        <f t="shared" si="331"/>
        <v>0</v>
      </c>
      <c r="K2010" s="91">
        <f t="shared" si="331"/>
        <v>0</v>
      </c>
      <c r="L2010" s="91">
        <f t="shared" si="331"/>
        <v>0</v>
      </c>
      <c r="M2010" s="91">
        <f t="shared" si="331"/>
        <v>0</v>
      </c>
      <c r="N2010" s="91">
        <f t="shared" si="331"/>
        <v>0</v>
      </c>
      <c r="O2010" s="91">
        <f t="shared" si="331"/>
        <v>0</v>
      </c>
      <c r="P2010" s="32"/>
      <c r="Q2010" s="20">
        <f t="shared" si="328"/>
        <v>0</v>
      </c>
    </row>
    <row r="2011" spans="1:17">
      <c r="A2011" s="150"/>
      <c r="B2011" s="153"/>
      <c r="C2011" s="117" t="s">
        <v>9</v>
      </c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32"/>
      <c r="Q2011" s="20">
        <f t="shared" si="328"/>
        <v>0</v>
      </c>
    </row>
    <row r="2012" spans="1:17">
      <c r="A2012" s="150"/>
      <c r="B2012" s="153"/>
      <c r="C2012" s="117" t="s">
        <v>38</v>
      </c>
      <c r="D2012" s="89"/>
      <c r="E2012" s="89"/>
      <c r="F2012" s="89"/>
      <c r="G2012" s="89"/>
      <c r="H2012" s="89"/>
      <c r="I2012" s="89"/>
      <c r="J2012" s="89"/>
      <c r="K2012" s="89"/>
      <c r="L2012" s="89"/>
      <c r="M2012" s="89"/>
      <c r="N2012" s="89"/>
      <c r="O2012" s="89"/>
      <c r="P2012" s="28"/>
      <c r="Q2012" s="20">
        <f t="shared" si="328"/>
        <v>0</v>
      </c>
    </row>
    <row r="2013" spans="1:17">
      <c r="A2013" s="150"/>
      <c r="B2013" s="153"/>
      <c r="C2013" s="62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1"/>
      <c r="O2013" s="91"/>
      <c r="P2013" s="32"/>
      <c r="Q2013" s="20">
        <f t="shared" si="328"/>
        <v>0</v>
      </c>
    </row>
    <row r="2014" spans="1:17">
      <c r="A2014" s="150"/>
      <c r="B2014" s="154"/>
      <c r="C2014" s="6" t="s">
        <v>42</v>
      </c>
      <c r="D2014" s="92"/>
      <c r="E2014" s="92"/>
      <c r="F2014" s="92"/>
      <c r="G2014" s="92"/>
      <c r="H2014" s="92"/>
      <c r="I2014" s="92"/>
      <c r="J2014" s="92"/>
      <c r="K2014" s="92"/>
      <c r="L2014" s="92"/>
      <c r="M2014" s="92"/>
      <c r="N2014" s="92"/>
      <c r="O2014" s="92"/>
      <c r="P2014" s="33"/>
      <c r="Q2014" s="22">
        <f t="shared" si="328"/>
        <v>0</v>
      </c>
    </row>
    <row r="2015" spans="1:17">
      <c r="A2015" s="150"/>
      <c r="B2015" s="155" t="s">
        <v>11</v>
      </c>
      <c r="C2015" s="5" t="s">
        <v>7</v>
      </c>
      <c r="D2015" s="94"/>
      <c r="E2015" s="94"/>
      <c r="F2015" s="94"/>
      <c r="G2015" s="94"/>
      <c r="H2015" s="94"/>
      <c r="I2015" s="94"/>
      <c r="J2015" s="94"/>
      <c r="K2015" s="94"/>
      <c r="L2015" s="94"/>
      <c r="M2015" s="94"/>
      <c r="N2015" s="94"/>
      <c r="O2015" s="94"/>
      <c r="P2015" s="27"/>
      <c r="Q2015" s="21">
        <f t="shared" si="328"/>
        <v>0</v>
      </c>
    </row>
    <row r="2016" spans="1:17">
      <c r="A2016" s="150"/>
      <c r="B2016" s="153"/>
      <c r="C2016" s="6" t="s">
        <v>4</v>
      </c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32"/>
      <c r="Q2016" s="20">
        <f t="shared" si="328"/>
        <v>0</v>
      </c>
    </row>
    <row r="2017" spans="1:17">
      <c r="A2017" s="150"/>
      <c r="B2017" s="153"/>
      <c r="C2017" s="6" t="s">
        <v>17</v>
      </c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1"/>
      <c r="O2017" s="91"/>
      <c r="P2017" s="32"/>
      <c r="Q2017" s="20">
        <f t="shared" si="328"/>
        <v>0</v>
      </c>
    </row>
    <row r="2018" spans="1:17">
      <c r="A2018" s="150"/>
      <c r="B2018" s="153"/>
      <c r="C2018" s="6" t="s">
        <v>18</v>
      </c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32"/>
      <c r="Q2018" s="20">
        <f t="shared" si="328"/>
        <v>0</v>
      </c>
    </row>
    <row r="2019" spans="1:17">
      <c r="A2019" s="150"/>
      <c r="B2019" s="153"/>
      <c r="C2019" s="6" t="s">
        <v>60</v>
      </c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1"/>
      <c r="O2019" s="91"/>
      <c r="P2019" s="32"/>
      <c r="Q2019" s="20">
        <f t="shared" si="328"/>
        <v>0</v>
      </c>
    </row>
    <row r="2020" spans="1:17">
      <c r="A2020" s="150"/>
      <c r="B2020" s="155" t="s">
        <v>13</v>
      </c>
      <c r="C2020" s="5" t="s">
        <v>10</v>
      </c>
      <c r="D2020" s="94"/>
      <c r="E2020" s="94"/>
      <c r="F2020" s="94"/>
      <c r="G2020" s="94"/>
      <c r="H2020" s="94"/>
      <c r="I2020" s="94"/>
      <c r="J2020" s="94"/>
      <c r="K2020" s="94"/>
      <c r="L2020" s="94"/>
      <c r="M2020" s="94"/>
      <c r="N2020" s="94"/>
      <c r="O2020" s="94"/>
      <c r="P2020" s="27"/>
      <c r="Q2020" s="21">
        <f t="shared" si="328"/>
        <v>0</v>
      </c>
    </row>
    <row r="2021" spans="1:17">
      <c r="A2021" s="150"/>
      <c r="B2021" s="153"/>
      <c r="C2021" s="116" t="s">
        <v>55</v>
      </c>
      <c r="D2021" s="89"/>
      <c r="E2021" s="89"/>
      <c r="F2021" s="89"/>
      <c r="G2021" s="89"/>
      <c r="H2021" s="89"/>
      <c r="I2021" s="89"/>
      <c r="J2021" s="89"/>
      <c r="K2021" s="89"/>
      <c r="L2021" s="89"/>
      <c r="M2021" s="89"/>
      <c r="N2021" s="89"/>
      <c r="O2021" s="89"/>
      <c r="P2021" s="28"/>
      <c r="Q2021" s="20">
        <f t="shared" si="328"/>
        <v>0</v>
      </c>
    </row>
    <row r="2022" spans="1:17">
      <c r="A2022" s="150"/>
      <c r="B2022" s="153"/>
      <c r="C2022" s="8" t="s">
        <v>56</v>
      </c>
      <c r="D2022" s="89"/>
      <c r="E2022" s="89"/>
      <c r="F2022" s="89"/>
      <c r="G2022" s="89"/>
      <c r="H2022" s="89"/>
      <c r="I2022" s="89"/>
      <c r="J2022" s="89"/>
      <c r="K2022" s="89"/>
      <c r="L2022" s="89"/>
      <c r="M2022" s="89"/>
      <c r="N2022" s="89"/>
      <c r="O2022" s="89"/>
      <c r="P2022" s="28"/>
      <c r="Q2022" s="20">
        <f t="shared" si="328"/>
        <v>0</v>
      </c>
    </row>
    <row r="2023" spans="1:17">
      <c r="A2023" s="150"/>
      <c r="B2023" s="154"/>
      <c r="C2023" s="4" t="s">
        <v>61</v>
      </c>
      <c r="D2023" s="92"/>
      <c r="E2023" s="92"/>
      <c r="F2023" s="92"/>
      <c r="G2023" s="92"/>
      <c r="H2023" s="92"/>
      <c r="I2023" s="92"/>
      <c r="J2023" s="92"/>
      <c r="K2023" s="92"/>
      <c r="L2023" s="92"/>
      <c r="M2023" s="92"/>
      <c r="N2023" s="92"/>
      <c r="O2023" s="92"/>
      <c r="P2023" s="33"/>
      <c r="Q2023" s="22">
        <f t="shared" si="328"/>
        <v>0</v>
      </c>
    </row>
    <row r="2024" spans="1:17">
      <c r="A2024" s="150"/>
      <c r="B2024" s="156" t="s">
        <v>54</v>
      </c>
      <c r="C2024" s="157"/>
      <c r="D2024" s="56">
        <f t="shared" ref="D2024:O2024" si="332">SUM(D2010:D2014)-SUM(D2018:D2019)</f>
        <v>0</v>
      </c>
      <c r="E2024" s="56">
        <f t="shared" si="332"/>
        <v>0</v>
      </c>
      <c r="F2024" s="56">
        <f t="shared" si="332"/>
        <v>0</v>
      </c>
      <c r="G2024" s="56">
        <f t="shared" si="332"/>
        <v>0</v>
      </c>
      <c r="H2024" s="56">
        <f t="shared" si="332"/>
        <v>0</v>
      </c>
      <c r="I2024" s="56">
        <f t="shared" si="332"/>
        <v>0</v>
      </c>
      <c r="J2024" s="56">
        <f t="shared" si="332"/>
        <v>0</v>
      </c>
      <c r="K2024" s="56">
        <f t="shared" si="332"/>
        <v>0</v>
      </c>
      <c r="L2024" s="56">
        <f t="shared" si="332"/>
        <v>0</v>
      </c>
      <c r="M2024" s="56">
        <f t="shared" si="332"/>
        <v>0</v>
      </c>
      <c r="N2024" s="56">
        <f t="shared" si="332"/>
        <v>0</v>
      </c>
      <c r="O2024" s="56">
        <f t="shared" si="332"/>
        <v>0</v>
      </c>
      <c r="P2024" s="58">
        <f>SUM(P2008:P2014)-SUM(P2018:P2019)</f>
        <v>0</v>
      </c>
      <c r="Q2024" s="59">
        <f t="shared" si="328"/>
        <v>0</v>
      </c>
    </row>
    <row r="2025" spans="1:17" ht="14.25" thickBot="1">
      <c r="A2025" s="151"/>
      <c r="B2025" s="147" t="s">
        <v>5</v>
      </c>
      <c r="C2025" s="148"/>
      <c r="D2025" s="42">
        <f t="shared" ref="D2025:O2025" si="333">SUM(D2010:D2014)-SUM(D2015:D2019)+SUM(D2020:D2023)</f>
        <v>0</v>
      </c>
      <c r="E2025" s="42">
        <f t="shared" si="333"/>
        <v>0</v>
      </c>
      <c r="F2025" s="42">
        <f t="shared" si="333"/>
        <v>0</v>
      </c>
      <c r="G2025" s="42">
        <f t="shared" si="333"/>
        <v>0</v>
      </c>
      <c r="H2025" s="42">
        <f t="shared" si="333"/>
        <v>0</v>
      </c>
      <c r="I2025" s="42">
        <f t="shared" si="333"/>
        <v>0</v>
      </c>
      <c r="J2025" s="42">
        <f t="shared" si="333"/>
        <v>0</v>
      </c>
      <c r="K2025" s="42">
        <f t="shared" si="333"/>
        <v>0</v>
      </c>
      <c r="L2025" s="42">
        <f t="shared" si="333"/>
        <v>0</v>
      </c>
      <c r="M2025" s="42">
        <f t="shared" si="333"/>
        <v>0</v>
      </c>
      <c r="N2025" s="42">
        <f t="shared" si="333"/>
        <v>0</v>
      </c>
      <c r="O2025" s="42">
        <f t="shared" si="333"/>
        <v>0</v>
      </c>
      <c r="P2025" s="44">
        <f>SUM(P2008:P2014)-SUM(P2015:P2019)+SUM(P2020:P2023)</f>
        <v>0</v>
      </c>
      <c r="Q2025" s="46">
        <f t="shared" si="328"/>
        <v>0</v>
      </c>
    </row>
    <row r="2026" spans="1:17">
      <c r="A2026" s="149"/>
      <c r="B2026" s="152" t="s">
        <v>12</v>
      </c>
      <c r="C2026" s="114" t="s">
        <v>84</v>
      </c>
      <c r="D2026" s="87"/>
      <c r="E2026" s="87"/>
      <c r="F2026" s="87"/>
      <c r="G2026" s="87"/>
      <c r="H2026" s="87"/>
      <c r="I2026" s="87"/>
      <c r="J2026" s="87"/>
      <c r="K2026" s="87"/>
      <c r="L2026" s="87"/>
      <c r="M2026" s="87"/>
      <c r="N2026" s="87"/>
      <c r="O2026" s="87"/>
      <c r="P2026" s="30"/>
      <c r="Q2026" s="19">
        <f t="shared" si="328"/>
        <v>0</v>
      </c>
    </row>
    <row r="2027" spans="1:17">
      <c r="A2027" s="150"/>
      <c r="B2027" s="153"/>
      <c r="C2027" s="115" t="s">
        <v>85</v>
      </c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28"/>
      <c r="Q2027" s="20">
        <f t="shared" si="328"/>
        <v>0</v>
      </c>
    </row>
    <row r="2028" spans="1:17">
      <c r="A2028" s="150"/>
      <c r="B2028" s="153"/>
      <c r="C2028" s="116" t="s">
        <v>86</v>
      </c>
      <c r="D2028" s="91">
        <f>D2026*D2027</f>
        <v>0</v>
      </c>
      <c r="E2028" s="91">
        <f>E2026*E2027</f>
        <v>0</v>
      </c>
      <c r="F2028" s="91">
        <f>F2026*F2027</f>
        <v>0</v>
      </c>
      <c r="G2028" s="91">
        <f>G2026*G2027</f>
        <v>0</v>
      </c>
      <c r="H2028" s="91">
        <f>H2026*H2027</f>
        <v>0</v>
      </c>
      <c r="I2028" s="91">
        <f t="shared" ref="I2028:O2028" si="334">I2026*I2027</f>
        <v>0</v>
      </c>
      <c r="J2028" s="91">
        <f t="shared" si="334"/>
        <v>0</v>
      </c>
      <c r="K2028" s="91">
        <f t="shared" si="334"/>
        <v>0</v>
      </c>
      <c r="L2028" s="91">
        <f t="shared" si="334"/>
        <v>0</v>
      </c>
      <c r="M2028" s="91">
        <f t="shared" si="334"/>
        <v>0</v>
      </c>
      <c r="N2028" s="91">
        <f t="shared" si="334"/>
        <v>0</v>
      </c>
      <c r="O2028" s="91">
        <f t="shared" si="334"/>
        <v>0</v>
      </c>
      <c r="P2028" s="32"/>
      <c r="Q2028" s="20">
        <f t="shared" si="328"/>
        <v>0</v>
      </c>
    </row>
    <row r="2029" spans="1:17">
      <c r="A2029" s="150"/>
      <c r="B2029" s="153"/>
      <c r="C2029" s="117" t="s">
        <v>9</v>
      </c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32"/>
      <c r="Q2029" s="20">
        <f t="shared" si="328"/>
        <v>0</v>
      </c>
    </row>
    <row r="2030" spans="1:17">
      <c r="A2030" s="150"/>
      <c r="B2030" s="153"/>
      <c r="C2030" s="117" t="s">
        <v>38</v>
      </c>
      <c r="D2030" s="89"/>
      <c r="E2030" s="89"/>
      <c r="F2030" s="89"/>
      <c r="G2030" s="89"/>
      <c r="H2030" s="89"/>
      <c r="I2030" s="89"/>
      <c r="J2030" s="89"/>
      <c r="K2030" s="89"/>
      <c r="L2030" s="89"/>
      <c r="M2030" s="89"/>
      <c r="N2030" s="89"/>
      <c r="O2030" s="89"/>
      <c r="P2030" s="28"/>
      <c r="Q2030" s="20">
        <f t="shared" si="328"/>
        <v>0</v>
      </c>
    </row>
    <row r="2031" spans="1:17">
      <c r="A2031" s="150"/>
      <c r="B2031" s="153"/>
      <c r="C2031" s="62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32"/>
      <c r="Q2031" s="20">
        <f t="shared" si="328"/>
        <v>0</v>
      </c>
    </row>
    <row r="2032" spans="1:17">
      <c r="A2032" s="150"/>
      <c r="B2032" s="154"/>
      <c r="C2032" s="6" t="s">
        <v>42</v>
      </c>
      <c r="D2032" s="92"/>
      <c r="E2032" s="92"/>
      <c r="F2032" s="92"/>
      <c r="G2032" s="92"/>
      <c r="H2032" s="92"/>
      <c r="I2032" s="92"/>
      <c r="J2032" s="92"/>
      <c r="K2032" s="92"/>
      <c r="L2032" s="92"/>
      <c r="M2032" s="92"/>
      <c r="N2032" s="92"/>
      <c r="O2032" s="92"/>
      <c r="P2032" s="33"/>
      <c r="Q2032" s="22">
        <f t="shared" si="328"/>
        <v>0</v>
      </c>
    </row>
    <row r="2033" spans="1:17">
      <c r="A2033" s="150"/>
      <c r="B2033" s="155" t="s">
        <v>11</v>
      </c>
      <c r="C2033" s="5" t="s">
        <v>7</v>
      </c>
      <c r="D2033" s="94"/>
      <c r="E2033" s="94"/>
      <c r="F2033" s="94"/>
      <c r="G2033" s="94"/>
      <c r="H2033" s="94"/>
      <c r="I2033" s="94"/>
      <c r="J2033" s="94"/>
      <c r="K2033" s="94"/>
      <c r="L2033" s="94"/>
      <c r="M2033" s="94"/>
      <c r="N2033" s="94"/>
      <c r="O2033" s="94"/>
      <c r="P2033" s="27"/>
      <c r="Q2033" s="21">
        <f t="shared" si="328"/>
        <v>0</v>
      </c>
    </row>
    <row r="2034" spans="1:17">
      <c r="A2034" s="150"/>
      <c r="B2034" s="153"/>
      <c r="C2034" s="6" t="s">
        <v>4</v>
      </c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32"/>
      <c r="Q2034" s="20">
        <f t="shared" si="328"/>
        <v>0</v>
      </c>
    </row>
    <row r="2035" spans="1:17">
      <c r="A2035" s="150"/>
      <c r="B2035" s="153"/>
      <c r="C2035" s="6" t="s">
        <v>17</v>
      </c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32"/>
      <c r="Q2035" s="20">
        <f t="shared" si="328"/>
        <v>0</v>
      </c>
    </row>
    <row r="2036" spans="1:17">
      <c r="A2036" s="150"/>
      <c r="B2036" s="153"/>
      <c r="C2036" s="6" t="s">
        <v>18</v>
      </c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32"/>
      <c r="Q2036" s="20">
        <f t="shared" si="328"/>
        <v>0</v>
      </c>
    </row>
    <row r="2037" spans="1:17">
      <c r="A2037" s="150"/>
      <c r="B2037" s="153"/>
      <c r="C2037" s="6" t="s">
        <v>60</v>
      </c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32"/>
      <c r="Q2037" s="20">
        <f t="shared" si="328"/>
        <v>0</v>
      </c>
    </row>
    <row r="2038" spans="1:17">
      <c r="A2038" s="150"/>
      <c r="B2038" s="155" t="s">
        <v>13</v>
      </c>
      <c r="C2038" s="5" t="s">
        <v>10</v>
      </c>
      <c r="D2038" s="94"/>
      <c r="E2038" s="94"/>
      <c r="F2038" s="94"/>
      <c r="G2038" s="94"/>
      <c r="H2038" s="94"/>
      <c r="I2038" s="94"/>
      <c r="J2038" s="94"/>
      <c r="K2038" s="94"/>
      <c r="L2038" s="94"/>
      <c r="M2038" s="94"/>
      <c r="N2038" s="94"/>
      <c r="O2038" s="94"/>
      <c r="P2038" s="27"/>
      <c r="Q2038" s="21">
        <f t="shared" si="328"/>
        <v>0</v>
      </c>
    </row>
    <row r="2039" spans="1:17">
      <c r="A2039" s="150"/>
      <c r="B2039" s="153"/>
      <c r="C2039" s="116" t="s">
        <v>55</v>
      </c>
      <c r="D2039" s="89"/>
      <c r="E2039" s="89"/>
      <c r="F2039" s="89"/>
      <c r="G2039" s="89"/>
      <c r="H2039" s="89"/>
      <c r="I2039" s="89"/>
      <c r="J2039" s="89"/>
      <c r="K2039" s="89"/>
      <c r="L2039" s="89"/>
      <c r="M2039" s="89"/>
      <c r="N2039" s="89"/>
      <c r="O2039" s="89"/>
      <c r="P2039" s="28"/>
      <c r="Q2039" s="20">
        <f t="shared" si="328"/>
        <v>0</v>
      </c>
    </row>
    <row r="2040" spans="1:17">
      <c r="A2040" s="150"/>
      <c r="B2040" s="153"/>
      <c r="C2040" s="8" t="s">
        <v>56</v>
      </c>
      <c r="D2040" s="89"/>
      <c r="E2040" s="89"/>
      <c r="F2040" s="89"/>
      <c r="G2040" s="89"/>
      <c r="H2040" s="89"/>
      <c r="I2040" s="89"/>
      <c r="J2040" s="89"/>
      <c r="K2040" s="89"/>
      <c r="L2040" s="89"/>
      <c r="M2040" s="89"/>
      <c r="N2040" s="89"/>
      <c r="O2040" s="89"/>
      <c r="P2040" s="28"/>
      <c r="Q2040" s="20">
        <f t="shared" si="328"/>
        <v>0</v>
      </c>
    </row>
    <row r="2041" spans="1:17">
      <c r="A2041" s="150"/>
      <c r="B2041" s="154"/>
      <c r="C2041" s="4" t="s">
        <v>61</v>
      </c>
      <c r="D2041" s="92"/>
      <c r="E2041" s="92"/>
      <c r="F2041" s="92"/>
      <c r="G2041" s="92"/>
      <c r="H2041" s="92"/>
      <c r="I2041" s="92"/>
      <c r="J2041" s="92"/>
      <c r="K2041" s="92"/>
      <c r="L2041" s="92"/>
      <c r="M2041" s="92"/>
      <c r="N2041" s="92"/>
      <c r="O2041" s="92"/>
      <c r="P2041" s="33"/>
      <c r="Q2041" s="22">
        <f t="shared" si="328"/>
        <v>0</v>
      </c>
    </row>
    <row r="2042" spans="1:17">
      <c r="A2042" s="150"/>
      <c r="B2042" s="156" t="s">
        <v>54</v>
      </c>
      <c r="C2042" s="157"/>
      <c r="D2042" s="56">
        <f t="shared" ref="D2042:O2042" si="335">SUM(D2028:D2032)-SUM(D2036:D2037)</f>
        <v>0</v>
      </c>
      <c r="E2042" s="56">
        <f t="shared" si="335"/>
        <v>0</v>
      </c>
      <c r="F2042" s="56">
        <f t="shared" si="335"/>
        <v>0</v>
      </c>
      <c r="G2042" s="56">
        <f t="shared" si="335"/>
        <v>0</v>
      </c>
      <c r="H2042" s="56">
        <f t="shared" si="335"/>
        <v>0</v>
      </c>
      <c r="I2042" s="56">
        <f t="shared" si="335"/>
        <v>0</v>
      </c>
      <c r="J2042" s="56">
        <f t="shared" si="335"/>
        <v>0</v>
      </c>
      <c r="K2042" s="56">
        <f t="shared" si="335"/>
        <v>0</v>
      </c>
      <c r="L2042" s="56">
        <f t="shared" si="335"/>
        <v>0</v>
      </c>
      <c r="M2042" s="56">
        <f t="shared" si="335"/>
        <v>0</v>
      </c>
      <c r="N2042" s="56">
        <f t="shared" si="335"/>
        <v>0</v>
      </c>
      <c r="O2042" s="56">
        <f t="shared" si="335"/>
        <v>0</v>
      </c>
      <c r="P2042" s="58">
        <f>SUM(P2026:P2032)-SUM(P2036:P2037)</f>
        <v>0</v>
      </c>
      <c r="Q2042" s="59">
        <f t="shared" si="328"/>
        <v>0</v>
      </c>
    </row>
    <row r="2043" spans="1:17" ht="14.25" thickBot="1">
      <c r="A2043" s="151"/>
      <c r="B2043" s="147" t="s">
        <v>5</v>
      </c>
      <c r="C2043" s="148"/>
      <c r="D2043" s="42">
        <f t="shared" ref="D2043:O2043" si="336">SUM(D2028:D2032)-SUM(D2033:D2037)+SUM(D2038:D2041)</f>
        <v>0</v>
      </c>
      <c r="E2043" s="42">
        <f t="shared" si="336"/>
        <v>0</v>
      </c>
      <c r="F2043" s="42">
        <f t="shared" si="336"/>
        <v>0</v>
      </c>
      <c r="G2043" s="42">
        <f t="shared" si="336"/>
        <v>0</v>
      </c>
      <c r="H2043" s="42">
        <f t="shared" si="336"/>
        <v>0</v>
      </c>
      <c r="I2043" s="42">
        <f t="shared" si="336"/>
        <v>0</v>
      </c>
      <c r="J2043" s="42">
        <f t="shared" si="336"/>
        <v>0</v>
      </c>
      <c r="K2043" s="42">
        <f t="shared" si="336"/>
        <v>0</v>
      </c>
      <c r="L2043" s="42">
        <f t="shared" si="336"/>
        <v>0</v>
      </c>
      <c r="M2043" s="42">
        <f t="shared" si="336"/>
        <v>0</v>
      </c>
      <c r="N2043" s="42">
        <f t="shared" si="336"/>
        <v>0</v>
      </c>
      <c r="O2043" s="42">
        <f t="shared" si="336"/>
        <v>0</v>
      </c>
      <c r="P2043" s="44">
        <f>SUM(P2026:P2032)-SUM(P2033:P2037)+SUM(P2038:P2041)</f>
        <v>0</v>
      </c>
      <c r="Q2043" s="46">
        <f t="shared" si="328"/>
        <v>0</v>
      </c>
    </row>
    <row r="2044" spans="1:17">
      <c r="A2044" s="149"/>
      <c r="B2044" s="152" t="s">
        <v>12</v>
      </c>
      <c r="C2044" s="114" t="s">
        <v>84</v>
      </c>
      <c r="D2044" s="87"/>
      <c r="E2044" s="87"/>
      <c r="F2044" s="87"/>
      <c r="G2044" s="87"/>
      <c r="H2044" s="87"/>
      <c r="I2044" s="87"/>
      <c r="J2044" s="87"/>
      <c r="K2044" s="87"/>
      <c r="L2044" s="87"/>
      <c r="M2044" s="87"/>
      <c r="N2044" s="87"/>
      <c r="O2044" s="87"/>
      <c r="P2044" s="30"/>
      <c r="Q2044" s="19">
        <f t="shared" si="328"/>
        <v>0</v>
      </c>
    </row>
    <row r="2045" spans="1:17">
      <c r="A2045" s="150"/>
      <c r="B2045" s="153"/>
      <c r="C2045" s="115" t="s">
        <v>85</v>
      </c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28"/>
      <c r="Q2045" s="20">
        <f t="shared" si="328"/>
        <v>0</v>
      </c>
    </row>
    <row r="2046" spans="1:17">
      <c r="A2046" s="150"/>
      <c r="B2046" s="153"/>
      <c r="C2046" s="116" t="s">
        <v>86</v>
      </c>
      <c r="D2046" s="91">
        <f>D2044*D2045</f>
        <v>0</v>
      </c>
      <c r="E2046" s="91">
        <f>E2044*E2045</f>
        <v>0</v>
      </c>
      <c r="F2046" s="91">
        <f>F2044*F2045</f>
        <v>0</v>
      </c>
      <c r="G2046" s="91">
        <f>G2044*G2045</f>
        <v>0</v>
      </c>
      <c r="H2046" s="91">
        <f>H2044*H2045</f>
        <v>0</v>
      </c>
      <c r="I2046" s="91">
        <f t="shared" ref="I2046:O2046" si="337">I2044*I2045</f>
        <v>0</v>
      </c>
      <c r="J2046" s="91">
        <f t="shared" si="337"/>
        <v>0</v>
      </c>
      <c r="K2046" s="91">
        <f t="shared" si="337"/>
        <v>0</v>
      </c>
      <c r="L2046" s="91">
        <f t="shared" si="337"/>
        <v>0</v>
      </c>
      <c r="M2046" s="91">
        <f t="shared" si="337"/>
        <v>0</v>
      </c>
      <c r="N2046" s="91">
        <f t="shared" si="337"/>
        <v>0</v>
      </c>
      <c r="O2046" s="91">
        <f t="shared" si="337"/>
        <v>0</v>
      </c>
      <c r="P2046" s="32"/>
      <c r="Q2046" s="20">
        <f t="shared" si="328"/>
        <v>0</v>
      </c>
    </row>
    <row r="2047" spans="1:17">
      <c r="A2047" s="150"/>
      <c r="B2047" s="153"/>
      <c r="C2047" s="117" t="s">
        <v>9</v>
      </c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1"/>
      <c r="O2047" s="91"/>
      <c r="P2047" s="32"/>
      <c r="Q2047" s="20">
        <f t="shared" si="328"/>
        <v>0</v>
      </c>
    </row>
    <row r="2048" spans="1:17">
      <c r="A2048" s="150"/>
      <c r="B2048" s="153"/>
      <c r="C2048" s="117" t="s">
        <v>38</v>
      </c>
      <c r="D2048" s="89"/>
      <c r="E2048" s="89"/>
      <c r="F2048" s="89"/>
      <c r="G2048" s="89"/>
      <c r="H2048" s="89"/>
      <c r="I2048" s="89"/>
      <c r="J2048" s="89"/>
      <c r="K2048" s="89"/>
      <c r="L2048" s="89"/>
      <c r="M2048" s="89"/>
      <c r="N2048" s="89"/>
      <c r="O2048" s="89"/>
      <c r="P2048" s="28"/>
      <c r="Q2048" s="20">
        <f t="shared" si="328"/>
        <v>0</v>
      </c>
    </row>
    <row r="2049" spans="1:17">
      <c r="A2049" s="150"/>
      <c r="B2049" s="153"/>
      <c r="C2049" s="62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1"/>
      <c r="O2049" s="91"/>
      <c r="P2049" s="32"/>
      <c r="Q2049" s="20">
        <f t="shared" si="328"/>
        <v>0</v>
      </c>
    </row>
    <row r="2050" spans="1:17">
      <c r="A2050" s="150"/>
      <c r="B2050" s="154"/>
      <c r="C2050" s="6" t="s">
        <v>42</v>
      </c>
      <c r="D2050" s="92"/>
      <c r="E2050" s="92"/>
      <c r="F2050" s="92"/>
      <c r="G2050" s="92"/>
      <c r="H2050" s="92"/>
      <c r="I2050" s="92"/>
      <c r="J2050" s="92"/>
      <c r="K2050" s="92"/>
      <c r="L2050" s="92"/>
      <c r="M2050" s="92"/>
      <c r="N2050" s="92"/>
      <c r="O2050" s="92"/>
      <c r="P2050" s="33"/>
      <c r="Q2050" s="22">
        <f t="shared" si="328"/>
        <v>0</v>
      </c>
    </row>
    <row r="2051" spans="1:17">
      <c r="A2051" s="150"/>
      <c r="B2051" s="155" t="s">
        <v>11</v>
      </c>
      <c r="C2051" s="5" t="s">
        <v>7</v>
      </c>
      <c r="D2051" s="94"/>
      <c r="E2051" s="94"/>
      <c r="F2051" s="94"/>
      <c r="G2051" s="94"/>
      <c r="H2051" s="94"/>
      <c r="I2051" s="94"/>
      <c r="J2051" s="94"/>
      <c r="K2051" s="94"/>
      <c r="L2051" s="94"/>
      <c r="M2051" s="94"/>
      <c r="N2051" s="94"/>
      <c r="O2051" s="94"/>
      <c r="P2051" s="27"/>
      <c r="Q2051" s="21">
        <f t="shared" si="328"/>
        <v>0</v>
      </c>
    </row>
    <row r="2052" spans="1:17">
      <c r="A2052" s="150"/>
      <c r="B2052" s="153"/>
      <c r="C2052" s="6" t="s">
        <v>4</v>
      </c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32"/>
      <c r="Q2052" s="20">
        <f t="shared" si="328"/>
        <v>0</v>
      </c>
    </row>
    <row r="2053" spans="1:17">
      <c r="A2053" s="150"/>
      <c r="B2053" s="153"/>
      <c r="C2053" s="6" t="s">
        <v>17</v>
      </c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1"/>
      <c r="O2053" s="91"/>
      <c r="P2053" s="32"/>
      <c r="Q2053" s="20">
        <f t="shared" si="328"/>
        <v>0</v>
      </c>
    </row>
    <row r="2054" spans="1:17">
      <c r="A2054" s="150"/>
      <c r="B2054" s="153"/>
      <c r="C2054" s="6" t="s">
        <v>18</v>
      </c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32"/>
      <c r="Q2054" s="20">
        <f t="shared" si="328"/>
        <v>0</v>
      </c>
    </row>
    <row r="2055" spans="1:17">
      <c r="A2055" s="150"/>
      <c r="B2055" s="153"/>
      <c r="C2055" s="6" t="s">
        <v>60</v>
      </c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1"/>
      <c r="O2055" s="91"/>
      <c r="P2055" s="32"/>
      <c r="Q2055" s="20">
        <f t="shared" si="328"/>
        <v>0</v>
      </c>
    </row>
    <row r="2056" spans="1:17">
      <c r="A2056" s="150"/>
      <c r="B2056" s="155" t="s">
        <v>13</v>
      </c>
      <c r="C2056" s="5" t="s">
        <v>10</v>
      </c>
      <c r="D2056" s="94"/>
      <c r="E2056" s="94"/>
      <c r="F2056" s="94"/>
      <c r="G2056" s="94"/>
      <c r="H2056" s="94"/>
      <c r="I2056" s="94"/>
      <c r="J2056" s="94"/>
      <c r="K2056" s="94"/>
      <c r="L2056" s="94"/>
      <c r="M2056" s="94"/>
      <c r="N2056" s="94"/>
      <c r="O2056" s="94"/>
      <c r="P2056" s="27"/>
      <c r="Q2056" s="21">
        <f t="shared" si="328"/>
        <v>0</v>
      </c>
    </row>
    <row r="2057" spans="1:17">
      <c r="A2057" s="150"/>
      <c r="B2057" s="153"/>
      <c r="C2057" s="116" t="s">
        <v>55</v>
      </c>
      <c r="D2057" s="89"/>
      <c r="E2057" s="89"/>
      <c r="F2057" s="89"/>
      <c r="G2057" s="89"/>
      <c r="H2057" s="89"/>
      <c r="I2057" s="89"/>
      <c r="J2057" s="89"/>
      <c r="K2057" s="89"/>
      <c r="L2057" s="89"/>
      <c r="M2057" s="89"/>
      <c r="N2057" s="89"/>
      <c r="O2057" s="89"/>
      <c r="P2057" s="28"/>
      <c r="Q2057" s="20">
        <f t="shared" si="328"/>
        <v>0</v>
      </c>
    </row>
    <row r="2058" spans="1:17">
      <c r="A2058" s="150"/>
      <c r="B2058" s="153"/>
      <c r="C2058" s="8" t="s">
        <v>56</v>
      </c>
      <c r="D2058" s="89"/>
      <c r="E2058" s="89"/>
      <c r="F2058" s="89"/>
      <c r="G2058" s="89"/>
      <c r="H2058" s="89"/>
      <c r="I2058" s="89"/>
      <c r="J2058" s="89"/>
      <c r="K2058" s="89"/>
      <c r="L2058" s="89"/>
      <c r="M2058" s="89"/>
      <c r="N2058" s="89"/>
      <c r="O2058" s="89"/>
      <c r="P2058" s="28"/>
      <c r="Q2058" s="20">
        <f t="shared" si="328"/>
        <v>0</v>
      </c>
    </row>
    <row r="2059" spans="1:17">
      <c r="A2059" s="150"/>
      <c r="B2059" s="154"/>
      <c r="C2059" s="4" t="s">
        <v>61</v>
      </c>
      <c r="D2059" s="92"/>
      <c r="E2059" s="92"/>
      <c r="F2059" s="92"/>
      <c r="G2059" s="92"/>
      <c r="H2059" s="92"/>
      <c r="I2059" s="92"/>
      <c r="J2059" s="92"/>
      <c r="K2059" s="92"/>
      <c r="L2059" s="92"/>
      <c r="M2059" s="92"/>
      <c r="N2059" s="92"/>
      <c r="O2059" s="92"/>
      <c r="P2059" s="33"/>
      <c r="Q2059" s="22">
        <f t="shared" si="328"/>
        <v>0</v>
      </c>
    </row>
    <row r="2060" spans="1:17">
      <c r="A2060" s="150"/>
      <c r="B2060" s="156" t="s">
        <v>54</v>
      </c>
      <c r="C2060" s="157"/>
      <c r="D2060" s="56">
        <f t="shared" ref="D2060:O2060" si="338">SUM(D2046:D2050)-SUM(D2054:D2055)</f>
        <v>0</v>
      </c>
      <c r="E2060" s="56">
        <f t="shared" si="338"/>
        <v>0</v>
      </c>
      <c r="F2060" s="56">
        <f t="shared" si="338"/>
        <v>0</v>
      </c>
      <c r="G2060" s="56">
        <f t="shared" si="338"/>
        <v>0</v>
      </c>
      <c r="H2060" s="56">
        <f t="shared" si="338"/>
        <v>0</v>
      </c>
      <c r="I2060" s="56">
        <f t="shared" si="338"/>
        <v>0</v>
      </c>
      <c r="J2060" s="56">
        <f t="shared" si="338"/>
        <v>0</v>
      </c>
      <c r="K2060" s="56">
        <f t="shared" si="338"/>
        <v>0</v>
      </c>
      <c r="L2060" s="56">
        <f t="shared" si="338"/>
        <v>0</v>
      </c>
      <c r="M2060" s="56">
        <f t="shared" si="338"/>
        <v>0</v>
      </c>
      <c r="N2060" s="56">
        <f t="shared" si="338"/>
        <v>0</v>
      </c>
      <c r="O2060" s="56">
        <f t="shared" si="338"/>
        <v>0</v>
      </c>
      <c r="P2060" s="58">
        <f>SUM(P2044:P2050)-SUM(P2054:P2055)</f>
        <v>0</v>
      </c>
      <c r="Q2060" s="59">
        <f t="shared" si="328"/>
        <v>0</v>
      </c>
    </row>
    <row r="2061" spans="1:17" ht="14.25" thickBot="1">
      <c r="A2061" s="151"/>
      <c r="B2061" s="147" t="s">
        <v>5</v>
      </c>
      <c r="C2061" s="148"/>
      <c r="D2061" s="42">
        <f t="shared" ref="D2061:O2061" si="339">SUM(D2046:D2050)-SUM(D2051:D2055)+SUM(D2056:D2059)</f>
        <v>0</v>
      </c>
      <c r="E2061" s="42">
        <f t="shared" si="339"/>
        <v>0</v>
      </c>
      <c r="F2061" s="42">
        <f t="shared" si="339"/>
        <v>0</v>
      </c>
      <c r="G2061" s="42">
        <f t="shared" si="339"/>
        <v>0</v>
      </c>
      <c r="H2061" s="42">
        <f t="shared" si="339"/>
        <v>0</v>
      </c>
      <c r="I2061" s="42">
        <f t="shared" si="339"/>
        <v>0</v>
      </c>
      <c r="J2061" s="42">
        <f t="shared" si="339"/>
        <v>0</v>
      </c>
      <c r="K2061" s="42">
        <f t="shared" si="339"/>
        <v>0</v>
      </c>
      <c r="L2061" s="42">
        <f t="shared" si="339"/>
        <v>0</v>
      </c>
      <c r="M2061" s="42">
        <f t="shared" si="339"/>
        <v>0</v>
      </c>
      <c r="N2061" s="42">
        <f t="shared" si="339"/>
        <v>0</v>
      </c>
      <c r="O2061" s="42">
        <f t="shared" si="339"/>
        <v>0</v>
      </c>
      <c r="P2061" s="44">
        <f>SUM(P2044:P2050)-SUM(P2051:P2055)+SUM(P2056:P2059)</f>
        <v>0</v>
      </c>
      <c r="Q2061" s="46">
        <f t="shared" si="328"/>
        <v>0</v>
      </c>
    </row>
    <row r="2062" spans="1:17">
      <c r="A2062" s="149"/>
      <c r="B2062" s="152" t="s">
        <v>12</v>
      </c>
      <c r="C2062" s="114" t="s">
        <v>84</v>
      </c>
      <c r="D2062" s="87"/>
      <c r="E2062" s="87"/>
      <c r="F2062" s="87"/>
      <c r="G2062" s="87"/>
      <c r="H2062" s="87"/>
      <c r="I2062" s="87"/>
      <c r="J2062" s="87"/>
      <c r="K2062" s="87"/>
      <c r="L2062" s="87"/>
      <c r="M2062" s="87"/>
      <c r="N2062" s="87"/>
      <c r="O2062" s="87"/>
      <c r="P2062" s="30"/>
      <c r="Q2062" s="19">
        <f t="shared" si="328"/>
        <v>0</v>
      </c>
    </row>
    <row r="2063" spans="1:17">
      <c r="A2063" s="150"/>
      <c r="B2063" s="153"/>
      <c r="C2063" s="115" t="s">
        <v>85</v>
      </c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28"/>
      <c r="Q2063" s="20">
        <f t="shared" si="328"/>
        <v>0</v>
      </c>
    </row>
    <row r="2064" spans="1:17">
      <c r="A2064" s="150"/>
      <c r="B2064" s="153"/>
      <c r="C2064" s="116" t="s">
        <v>86</v>
      </c>
      <c r="D2064" s="91">
        <f>D2062*D2063</f>
        <v>0</v>
      </c>
      <c r="E2064" s="91">
        <f>E2062*E2063</f>
        <v>0</v>
      </c>
      <c r="F2064" s="91">
        <f>F2062*F2063</f>
        <v>0</v>
      </c>
      <c r="G2064" s="91">
        <f>G2062*G2063</f>
        <v>0</v>
      </c>
      <c r="H2064" s="91">
        <f>H2062*H2063</f>
        <v>0</v>
      </c>
      <c r="I2064" s="91">
        <f t="shared" ref="I2064:O2064" si="340">I2062*I2063</f>
        <v>0</v>
      </c>
      <c r="J2064" s="91">
        <f t="shared" si="340"/>
        <v>0</v>
      </c>
      <c r="K2064" s="91">
        <f t="shared" si="340"/>
        <v>0</v>
      </c>
      <c r="L2064" s="91">
        <f t="shared" si="340"/>
        <v>0</v>
      </c>
      <c r="M2064" s="91">
        <f t="shared" si="340"/>
        <v>0</v>
      </c>
      <c r="N2064" s="91">
        <f t="shared" si="340"/>
        <v>0</v>
      </c>
      <c r="O2064" s="91">
        <f t="shared" si="340"/>
        <v>0</v>
      </c>
      <c r="P2064" s="32"/>
      <c r="Q2064" s="20">
        <f t="shared" si="328"/>
        <v>0</v>
      </c>
    </row>
    <row r="2065" spans="1:17">
      <c r="A2065" s="150"/>
      <c r="B2065" s="153"/>
      <c r="C2065" s="117" t="s">
        <v>9</v>
      </c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32"/>
      <c r="Q2065" s="20">
        <f t="shared" si="328"/>
        <v>0</v>
      </c>
    </row>
    <row r="2066" spans="1:17">
      <c r="A2066" s="150"/>
      <c r="B2066" s="153"/>
      <c r="C2066" s="117" t="s">
        <v>38</v>
      </c>
      <c r="D2066" s="89"/>
      <c r="E2066" s="89"/>
      <c r="F2066" s="89"/>
      <c r="G2066" s="89"/>
      <c r="H2066" s="89"/>
      <c r="I2066" s="89"/>
      <c r="J2066" s="89"/>
      <c r="K2066" s="89"/>
      <c r="L2066" s="89"/>
      <c r="M2066" s="89"/>
      <c r="N2066" s="89"/>
      <c r="O2066" s="89"/>
      <c r="P2066" s="28"/>
      <c r="Q2066" s="20">
        <f t="shared" si="328"/>
        <v>0</v>
      </c>
    </row>
    <row r="2067" spans="1:17">
      <c r="A2067" s="150"/>
      <c r="B2067" s="153"/>
      <c r="C2067" s="62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32"/>
      <c r="Q2067" s="20">
        <f t="shared" ref="Q2067:Q2130" si="341">SUM(P2067:P2067)</f>
        <v>0</v>
      </c>
    </row>
    <row r="2068" spans="1:17">
      <c r="A2068" s="150"/>
      <c r="B2068" s="154"/>
      <c r="C2068" s="6" t="s">
        <v>42</v>
      </c>
      <c r="D2068" s="92"/>
      <c r="E2068" s="92"/>
      <c r="F2068" s="92"/>
      <c r="G2068" s="92"/>
      <c r="H2068" s="92"/>
      <c r="I2068" s="92"/>
      <c r="J2068" s="92"/>
      <c r="K2068" s="92"/>
      <c r="L2068" s="92"/>
      <c r="M2068" s="92"/>
      <c r="N2068" s="92"/>
      <c r="O2068" s="92"/>
      <c r="P2068" s="33"/>
      <c r="Q2068" s="22">
        <f t="shared" si="341"/>
        <v>0</v>
      </c>
    </row>
    <row r="2069" spans="1:17">
      <c r="A2069" s="150"/>
      <c r="B2069" s="155" t="s">
        <v>11</v>
      </c>
      <c r="C2069" s="5" t="s">
        <v>7</v>
      </c>
      <c r="D2069" s="94"/>
      <c r="E2069" s="94"/>
      <c r="F2069" s="94"/>
      <c r="G2069" s="94"/>
      <c r="H2069" s="94"/>
      <c r="I2069" s="94"/>
      <c r="J2069" s="94"/>
      <c r="K2069" s="94"/>
      <c r="L2069" s="94"/>
      <c r="M2069" s="94"/>
      <c r="N2069" s="94"/>
      <c r="O2069" s="94"/>
      <c r="P2069" s="27"/>
      <c r="Q2069" s="21">
        <f t="shared" si="341"/>
        <v>0</v>
      </c>
    </row>
    <row r="2070" spans="1:17">
      <c r="A2070" s="150"/>
      <c r="B2070" s="153"/>
      <c r="C2070" s="6" t="s">
        <v>4</v>
      </c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32"/>
      <c r="Q2070" s="20">
        <f t="shared" si="341"/>
        <v>0</v>
      </c>
    </row>
    <row r="2071" spans="1:17">
      <c r="A2071" s="150"/>
      <c r="B2071" s="153"/>
      <c r="C2071" s="6" t="s">
        <v>17</v>
      </c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32"/>
      <c r="Q2071" s="20">
        <f t="shared" si="341"/>
        <v>0</v>
      </c>
    </row>
    <row r="2072" spans="1:17">
      <c r="A2072" s="150"/>
      <c r="B2072" s="153"/>
      <c r="C2072" s="6" t="s">
        <v>18</v>
      </c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32"/>
      <c r="Q2072" s="20">
        <f t="shared" si="341"/>
        <v>0</v>
      </c>
    </row>
    <row r="2073" spans="1:17">
      <c r="A2073" s="150"/>
      <c r="B2073" s="153"/>
      <c r="C2073" s="6" t="s">
        <v>60</v>
      </c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1"/>
      <c r="O2073" s="91"/>
      <c r="P2073" s="32"/>
      <c r="Q2073" s="20">
        <f t="shared" si="341"/>
        <v>0</v>
      </c>
    </row>
    <row r="2074" spans="1:17">
      <c r="A2074" s="150"/>
      <c r="B2074" s="155" t="s">
        <v>13</v>
      </c>
      <c r="C2074" s="5" t="s">
        <v>10</v>
      </c>
      <c r="D2074" s="94"/>
      <c r="E2074" s="94"/>
      <c r="F2074" s="94"/>
      <c r="G2074" s="94"/>
      <c r="H2074" s="94"/>
      <c r="I2074" s="94"/>
      <c r="J2074" s="94"/>
      <c r="K2074" s="94"/>
      <c r="L2074" s="94"/>
      <c r="M2074" s="94"/>
      <c r="N2074" s="94"/>
      <c r="O2074" s="94"/>
      <c r="P2074" s="27"/>
      <c r="Q2074" s="21">
        <f t="shared" si="341"/>
        <v>0</v>
      </c>
    </row>
    <row r="2075" spans="1:17">
      <c r="A2075" s="150"/>
      <c r="B2075" s="153"/>
      <c r="C2075" s="116" t="s">
        <v>55</v>
      </c>
      <c r="D2075" s="89"/>
      <c r="E2075" s="89"/>
      <c r="F2075" s="89"/>
      <c r="G2075" s="89"/>
      <c r="H2075" s="89"/>
      <c r="I2075" s="89"/>
      <c r="J2075" s="89"/>
      <c r="K2075" s="89"/>
      <c r="L2075" s="89"/>
      <c r="M2075" s="89"/>
      <c r="N2075" s="89"/>
      <c r="O2075" s="89"/>
      <c r="P2075" s="28"/>
      <c r="Q2075" s="20">
        <f t="shared" si="341"/>
        <v>0</v>
      </c>
    </row>
    <row r="2076" spans="1:17">
      <c r="A2076" s="150"/>
      <c r="B2076" s="153"/>
      <c r="C2076" s="8" t="s">
        <v>56</v>
      </c>
      <c r="D2076" s="89"/>
      <c r="E2076" s="89"/>
      <c r="F2076" s="89"/>
      <c r="G2076" s="89"/>
      <c r="H2076" s="89"/>
      <c r="I2076" s="89"/>
      <c r="J2076" s="89"/>
      <c r="K2076" s="89"/>
      <c r="L2076" s="89"/>
      <c r="M2076" s="89"/>
      <c r="N2076" s="89"/>
      <c r="O2076" s="89"/>
      <c r="P2076" s="28"/>
      <c r="Q2076" s="20">
        <f t="shared" si="341"/>
        <v>0</v>
      </c>
    </row>
    <row r="2077" spans="1:17">
      <c r="A2077" s="150"/>
      <c r="B2077" s="154"/>
      <c r="C2077" s="4" t="s">
        <v>61</v>
      </c>
      <c r="D2077" s="92"/>
      <c r="E2077" s="92"/>
      <c r="F2077" s="92"/>
      <c r="G2077" s="92"/>
      <c r="H2077" s="92"/>
      <c r="I2077" s="92"/>
      <c r="J2077" s="92"/>
      <c r="K2077" s="92"/>
      <c r="L2077" s="92"/>
      <c r="M2077" s="92"/>
      <c r="N2077" s="92"/>
      <c r="O2077" s="92"/>
      <c r="P2077" s="33"/>
      <c r="Q2077" s="22">
        <f t="shared" si="341"/>
        <v>0</v>
      </c>
    </row>
    <row r="2078" spans="1:17">
      <c r="A2078" s="150"/>
      <c r="B2078" s="156" t="s">
        <v>54</v>
      </c>
      <c r="C2078" s="157"/>
      <c r="D2078" s="56">
        <f t="shared" ref="D2078:O2078" si="342">SUM(D2064:D2068)-SUM(D2072:D2073)</f>
        <v>0</v>
      </c>
      <c r="E2078" s="56">
        <f t="shared" si="342"/>
        <v>0</v>
      </c>
      <c r="F2078" s="56">
        <f t="shared" si="342"/>
        <v>0</v>
      </c>
      <c r="G2078" s="56">
        <f t="shared" si="342"/>
        <v>0</v>
      </c>
      <c r="H2078" s="56">
        <f t="shared" si="342"/>
        <v>0</v>
      </c>
      <c r="I2078" s="56">
        <f t="shared" si="342"/>
        <v>0</v>
      </c>
      <c r="J2078" s="56">
        <f t="shared" si="342"/>
        <v>0</v>
      </c>
      <c r="K2078" s="56">
        <f t="shared" si="342"/>
        <v>0</v>
      </c>
      <c r="L2078" s="56">
        <f t="shared" si="342"/>
        <v>0</v>
      </c>
      <c r="M2078" s="56">
        <f t="shared" si="342"/>
        <v>0</v>
      </c>
      <c r="N2078" s="56">
        <f t="shared" si="342"/>
        <v>0</v>
      </c>
      <c r="O2078" s="56">
        <f t="shared" si="342"/>
        <v>0</v>
      </c>
      <c r="P2078" s="58">
        <f>SUM(P2062:P2068)-SUM(P2072:P2073)</f>
        <v>0</v>
      </c>
      <c r="Q2078" s="59">
        <f t="shared" si="341"/>
        <v>0</v>
      </c>
    </row>
    <row r="2079" spans="1:17" ht="14.25" thickBot="1">
      <c r="A2079" s="151"/>
      <c r="B2079" s="147" t="s">
        <v>5</v>
      </c>
      <c r="C2079" s="148"/>
      <c r="D2079" s="42">
        <f t="shared" ref="D2079:O2079" si="343">SUM(D2064:D2068)-SUM(D2069:D2073)+SUM(D2074:D2077)</f>
        <v>0</v>
      </c>
      <c r="E2079" s="42">
        <f t="shared" si="343"/>
        <v>0</v>
      </c>
      <c r="F2079" s="42">
        <f t="shared" si="343"/>
        <v>0</v>
      </c>
      <c r="G2079" s="42">
        <f t="shared" si="343"/>
        <v>0</v>
      </c>
      <c r="H2079" s="42">
        <f t="shared" si="343"/>
        <v>0</v>
      </c>
      <c r="I2079" s="42">
        <f t="shared" si="343"/>
        <v>0</v>
      </c>
      <c r="J2079" s="42">
        <f t="shared" si="343"/>
        <v>0</v>
      </c>
      <c r="K2079" s="42">
        <f t="shared" si="343"/>
        <v>0</v>
      </c>
      <c r="L2079" s="42">
        <f t="shared" si="343"/>
        <v>0</v>
      </c>
      <c r="M2079" s="42">
        <f t="shared" si="343"/>
        <v>0</v>
      </c>
      <c r="N2079" s="42">
        <f t="shared" si="343"/>
        <v>0</v>
      </c>
      <c r="O2079" s="42">
        <f t="shared" si="343"/>
        <v>0</v>
      </c>
      <c r="P2079" s="44">
        <f>SUM(P2062:P2068)-SUM(P2069:P2073)+SUM(P2074:P2077)</f>
        <v>0</v>
      </c>
      <c r="Q2079" s="46">
        <f t="shared" si="341"/>
        <v>0</v>
      </c>
    </row>
    <row r="2080" spans="1:17">
      <c r="A2080" s="149"/>
      <c r="B2080" s="152" t="s">
        <v>12</v>
      </c>
      <c r="C2080" s="114" t="s">
        <v>84</v>
      </c>
      <c r="D2080" s="87"/>
      <c r="E2080" s="87"/>
      <c r="F2080" s="87"/>
      <c r="G2080" s="87"/>
      <c r="H2080" s="87"/>
      <c r="I2080" s="87"/>
      <c r="J2080" s="87"/>
      <c r="K2080" s="87"/>
      <c r="L2080" s="87"/>
      <c r="M2080" s="87"/>
      <c r="N2080" s="87"/>
      <c r="O2080" s="87"/>
      <c r="P2080" s="30"/>
      <c r="Q2080" s="19">
        <f t="shared" si="341"/>
        <v>0</v>
      </c>
    </row>
    <row r="2081" spans="1:17">
      <c r="A2081" s="150"/>
      <c r="B2081" s="153"/>
      <c r="C2081" s="115" t="s">
        <v>85</v>
      </c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28"/>
      <c r="Q2081" s="20">
        <f t="shared" si="341"/>
        <v>0</v>
      </c>
    </row>
    <row r="2082" spans="1:17">
      <c r="A2082" s="150"/>
      <c r="B2082" s="153"/>
      <c r="C2082" s="116" t="s">
        <v>86</v>
      </c>
      <c r="D2082" s="91">
        <f>D2080*D2081</f>
        <v>0</v>
      </c>
      <c r="E2082" s="91">
        <f>E2080*E2081</f>
        <v>0</v>
      </c>
      <c r="F2082" s="91">
        <f>F2080*F2081</f>
        <v>0</v>
      </c>
      <c r="G2082" s="91">
        <f>G2080*G2081</f>
        <v>0</v>
      </c>
      <c r="H2082" s="91">
        <f>H2080*H2081</f>
        <v>0</v>
      </c>
      <c r="I2082" s="91">
        <f t="shared" ref="I2082:O2082" si="344">I2080*I2081</f>
        <v>0</v>
      </c>
      <c r="J2082" s="91">
        <f t="shared" si="344"/>
        <v>0</v>
      </c>
      <c r="K2082" s="91">
        <f t="shared" si="344"/>
        <v>0</v>
      </c>
      <c r="L2082" s="91">
        <f t="shared" si="344"/>
        <v>0</v>
      </c>
      <c r="M2082" s="91">
        <f t="shared" si="344"/>
        <v>0</v>
      </c>
      <c r="N2082" s="91">
        <f t="shared" si="344"/>
        <v>0</v>
      </c>
      <c r="O2082" s="91">
        <f t="shared" si="344"/>
        <v>0</v>
      </c>
      <c r="P2082" s="32"/>
      <c r="Q2082" s="20">
        <f t="shared" si="341"/>
        <v>0</v>
      </c>
    </row>
    <row r="2083" spans="1:17">
      <c r="A2083" s="150"/>
      <c r="B2083" s="153"/>
      <c r="C2083" s="117" t="s">
        <v>9</v>
      </c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1"/>
      <c r="O2083" s="91"/>
      <c r="P2083" s="32"/>
      <c r="Q2083" s="20">
        <f t="shared" si="341"/>
        <v>0</v>
      </c>
    </row>
    <row r="2084" spans="1:17">
      <c r="A2084" s="150"/>
      <c r="B2084" s="153"/>
      <c r="C2084" s="117" t="s">
        <v>38</v>
      </c>
      <c r="D2084" s="89"/>
      <c r="E2084" s="89"/>
      <c r="F2084" s="89"/>
      <c r="G2084" s="89"/>
      <c r="H2084" s="89"/>
      <c r="I2084" s="89"/>
      <c r="J2084" s="89"/>
      <c r="K2084" s="89"/>
      <c r="L2084" s="89"/>
      <c r="M2084" s="89"/>
      <c r="N2084" s="89"/>
      <c r="O2084" s="89"/>
      <c r="P2084" s="28"/>
      <c r="Q2084" s="20">
        <f t="shared" si="341"/>
        <v>0</v>
      </c>
    </row>
    <row r="2085" spans="1:17">
      <c r="A2085" s="150"/>
      <c r="B2085" s="153"/>
      <c r="C2085" s="62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1"/>
      <c r="O2085" s="91"/>
      <c r="P2085" s="32"/>
      <c r="Q2085" s="20">
        <f t="shared" si="341"/>
        <v>0</v>
      </c>
    </row>
    <row r="2086" spans="1:17">
      <c r="A2086" s="150"/>
      <c r="B2086" s="154"/>
      <c r="C2086" s="6" t="s">
        <v>42</v>
      </c>
      <c r="D2086" s="92"/>
      <c r="E2086" s="92"/>
      <c r="F2086" s="92"/>
      <c r="G2086" s="92"/>
      <c r="H2086" s="92"/>
      <c r="I2086" s="92"/>
      <c r="J2086" s="92"/>
      <c r="K2086" s="92"/>
      <c r="L2086" s="92"/>
      <c r="M2086" s="92"/>
      <c r="N2086" s="92"/>
      <c r="O2086" s="92"/>
      <c r="P2086" s="33"/>
      <c r="Q2086" s="22">
        <f t="shared" si="341"/>
        <v>0</v>
      </c>
    </row>
    <row r="2087" spans="1:17">
      <c r="A2087" s="150"/>
      <c r="B2087" s="155" t="s">
        <v>11</v>
      </c>
      <c r="C2087" s="5" t="s">
        <v>7</v>
      </c>
      <c r="D2087" s="94"/>
      <c r="E2087" s="94"/>
      <c r="F2087" s="94"/>
      <c r="G2087" s="94"/>
      <c r="H2087" s="94"/>
      <c r="I2087" s="94"/>
      <c r="J2087" s="94"/>
      <c r="K2087" s="94"/>
      <c r="L2087" s="94"/>
      <c r="M2087" s="94"/>
      <c r="N2087" s="94"/>
      <c r="O2087" s="94"/>
      <c r="P2087" s="27"/>
      <c r="Q2087" s="21">
        <f t="shared" si="341"/>
        <v>0</v>
      </c>
    </row>
    <row r="2088" spans="1:17">
      <c r="A2088" s="150"/>
      <c r="B2088" s="153"/>
      <c r="C2088" s="6" t="s">
        <v>4</v>
      </c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32"/>
      <c r="Q2088" s="20">
        <f t="shared" si="341"/>
        <v>0</v>
      </c>
    </row>
    <row r="2089" spans="1:17">
      <c r="A2089" s="150"/>
      <c r="B2089" s="153"/>
      <c r="C2089" s="6" t="s">
        <v>17</v>
      </c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32"/>
      <c r="Q2089" s="20">
        <f t="shared" si="341"/>
        <v>0</v>
      </c>
    </row>
    <row r="2090" spans="1:17">
      <c r="A2090" s="150"/>
      <c r="B2090" s="153"/>
      <c r="C2090" s="6" t="s">
        <v>18</v>
      </c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32"/>
      <c r="Q2090" s="20">
        <f t="shared" si="341"/>
        <v>0</v>
      </c>
    </row>
    <row r="2091" spans="1:17">
      <c r="A2091" s="150"/>
      <c r="B2091" s="153"/>
      <c r="C2091" s="6" t="s">
        <v>60</v>
      </c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32"/>
      <c r="Q2091" s="20">
        <f t="shared" si="341"/>
        <v>0</v>
      </c>
    </row>
    <row r="2092" spans="1:17">
      <c r="A2092" s="150"/>
      <c r="B2092" s="155" t="s">
        <v>13</v>
      </c>
      <c r="C2092" s="5" t="s">
        <v>10</v>
      </c>
      <c r="D2092" s="94"/>
      <c r="E2092" s="94"/>
      <c r="F2092" s="94"/>
      <c r="G2092" s="94"/>
      <c r="H2092" s="94"/>
      <c r="I2092" s="94"/>
      <c r="J2092" s="94"/>
      <c r="K2092" s="94"/>
      <c r="L2092" s="94"/>
      <c r="M2092" s="94"/>
      <c r="N2092" s="94"/>
      <c r="O2092" s="94"/>
      <c r="P2092" s="27"/>
      <c r="Q2092" s="21">
        <f t="shared" si="341"/>
        <v>0</v>
      </c>
    </row>
    <row r="2093" spans="1:17">
      <c r="A2093" s="150"/>
      <c r="B2093" s="153"/>
      <c r="C2093" s="116" t="s">
        <v>55</v>
      </c>
      <c r="D2093" s="89"/>
      <c r="E2093" s="89"/>
      <c r="F2093" s="89"/>
      <c r="G2093" s="89"/>
      <c r="H2093" s="89"/>
      <c r="I2093" s="89"/>
      <c r="J2093" s="89"/>
      <c r="K2093" s="89"/>
      <c r="L2093" s="89"/>
      <c r="M2093" s="89"/>
      <c r="N2093" s="89"/>
      <c r="O2093" s="89"/>
      <c r="P2093" s="28"/>
      <c r="Q2093" s="20">
        <f t="shared" si="341"/>
        <v>0</v>
      </c>
    </row>
    <row r="2094" spans="1:17">
      <c r="A2094" s="150"/>
      <c r="B2094" s="153"/>
      <c r="C2094" s="8" t="s">
        <v>56</v>
      </c>
      <c r="D2094" s="89"/>
      <c r="E2094" s="89"/>
      <c r="F2094" s="89"/>
      <c r="G2094" s="89"/>
      <c r="H2094" s="89"/>
      <c r="I2094" s="89"/>
      <c r="J2094" s="89"/>
      <c r="K2094" s="89"/>
      <c r="L2094" s="89"/>
      <c r="M2094" s="89"/>
      <c r="N2094" s="89"/>
      <c r="O2094" s="89"/>
      <c r="P2094" s="28"/>
      <c r="Q2094" s="20">
        <f t="shared" si="341"/>
        <v>0</v>
      </c>
    </row>
    <row r="2095" spans="1:17">
      <c r="A2095" s="150"/>
      <c r="B2095" s="154"/>
      <c r="C2095" s="4" t="s">
        <v>61</v>
      </c>
      <c r="D2095" s="92"/>
      <c r="E2095" s="92"/>
      <c r="F2095" s="92"/>
      <c r="G2095" s="92"/>
      <c r="H2095" s="92"/>
      <c r="I2095" s="92"/>
      <c r="J2095" s="92"/>
      <c r="K2095" s="92"/>
      <c r="L2095" s="92"/>
      <c r="M2095" s="92"/>
      <c r="N2095" s="92"/>
      <c r="O2095" s="92"/>
      <c r="P2095" s="33"/>
      <c r="Q2095" s="22">
        <f t="shared" si="341"/>
        <v>0</v>
      </c>
    </row>
    <row r="2096" spans="1:17">
      <c r="A2096" s="150"/>
      <c r="B2096" s="156" t="s">
        <v>54</v>
      </c>
      <c r="C2096" s="157"/>
      <c r="D2096" s="56">
        <f t="shared" ref="D2096:O2096" si="345">SUM(D2082:D2086)-SUM(D2090:D2091)</f>
        <v>0</v>
      </c>
      <c r="E2096" s="56">
        <f t="shared" si="345"/>
        <v>0</v>
      </c>
      <c r="F2096" s="56">
        <f t="shared" si="345"/>
        <v>0</v>
      </c>
      <c r="G2096" s="56">
        <f t="shared" si="345"/>
        <v>0</v>
      </c>
      <c r="H2096" s="56">
        <f t="shared" si="345"/>
        <v>0</v>
      </c>
      <c r="I2096" s="56">
        <f t="shared" si="345"/>
        <v>0</v>
      </c>
      <c r="J2096" s="56">
        <f t="shared" si="345"/>
        <v>0</v>
      </c>
      <c r="K2096" s="56">
        <f t="shared" si="345"/>
        <v>0</v>
      </c>
      <c r="L2096" s="56">
        <f t="shared" si="345"/>
        <v>0</v>
      </c>
      <c r="M2096" s="56">
        <f t="shared" si="345"/>
        <v>0</v>
      </c>
      <c r="N2096" s="56">
        <f t="shared" si="345"/>
        <v>0</v>
      </c>
      <c r="O2096" s="56">
        <f t="shared" si="345"/>
        <v>0</v>
      </c>
      <c r="P2096" s="58">
        <f>SUM(P2080:P2086)-SUM(P2090:P2091)</f>
        <v>0</v>
      </c>
      <c r="Q2096" s="59">
        <f t="shared" si="341"/>
        <v>0</v>
      </c>
    </row>
    <row r="2097" spans="1:17" ht="14.25" thickBot="1">
      <c r="A2097" s="151"/>
      <c r="B2097" s="147" t="s">
        <v>5</v>
      </c>
      <c r="C2097" s="148"/>
      <c r="D2097" s="42">
        <f t="shared" ref="D2097:O2097" si="346">SUM(D2082:D2086)-SUM(D2087:D2091)+SUM(D2092:D2095)</f>
        <v>0</v>
      </c>
      <c r="E2097" s="42">
        <f t="shared" si="346"/>
        <v>0</v>
      </c>
      <c r="F2097" s="42">
        <f t="shared" si="346"/>
        <v>0</v>
      </c>
      <c r="G2097" s="42">
        <f t="shared" si="346"/>
        <v>0</v>
      </c>
      <c r="H2097" s="42">
        <f t="shared" si="346"/>
        <v>0</v>
      </c>
      <c r="I2097" s="42">
        <f t="shared" si="346"/>
        <v>0</v>
      </c>
      <c r="J2097" s="42">
        <f t="shared" si="346"/>
        <v>0</v>
      </c>
      <c r="K2097" s="42">
        <f t="shared" si="346"/>
        <v>0</v>
      </c>
      <c r="L2097" s="42">
        <f t="shared" si="346"/>
        <v>0</v>
      </c>
      <c r="M2097" s="42">
        <f t="shared" si="346"/>
        <v>0</v>
      </c>
      <c r="N2097" s="42">
        <f t="shared" si="346"/>
        <v>0</v>
      </c>
      <c r="O2097" s="42">
        <f t="shared" si="346"/>
        <v>0</v>
      </c>
      <c r="P2097" s="44">
        <f>SUM(P2080:P2086)-SUM(P2087:P2091)+SUM(P2092:P2095)</f>
        <v>0</v>
      </c>
      <c r="Q2097" s="46">
        <f t="shared" si="341"/>
        <v>0</v>
      </c>
    </row>
    <row r="2098" spans="1:17">
      <c r="A2098" s="149"/>
      <c r="B2098" s="152" t="s">
        <v>12</v>
      </c>
      <c r="C2098" s="114" t="s">
        <v>84</v>
      </c>
      <c r="D2098" s="87"/>
      <c r="E2098" s="87"/>
      <c r="F2098" s="87"/>
      <c r="G2098" s="87"/>
      <c r="H2098" s="87"/>
      <c r="I2098" s="87"/>
      <c r="J2098" s="87"/>
      <c r="K2098" s="87"/>
      <c r="L2098" s="87"/>
      <c r="M2098" s="87"/>
      <c r="N2098" s="87"/>
      <c r="O2098" s="87"/>
      <c r="P2098" s="30"/>
      <c r="Q2098" s="19">
        <f t="shared" si="341"/>
        <v>0</v>
      </c>
    </row>
    <row r="2099" spans="1:17">
      <c r="A2099" s="150"/>
      <c r="B2099" s="153"/>
      <c r="C2099" s="115" t="s">
        <v>85</v>
      </c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28"/>
      <c r="Q2099" s="20">
        <f t="shared" si="341"/>
        <v>0</v>
      </c>
    </row>
    <row r="2100" spans="1:17">
      <c r="A2100" s="150"/>
      <c r="B2100" s="153"/>
      <c r="C2100" s="116" t="s">
        <v>86</v>
      </c>
      <c r="D2100" s="91">
        <f>D2098*D2099</f>
        <v>0</v>
      </c>
      <c r="E2100" s="91">
        <f>E2098*E2099</f>
        <v>0</v>
      </c>
      <c r="F2100" s="91">
        <f>F2098*F2099</f>
        <v>0</v>
      </c>
      <c r="G2100" s="91">
        <f>G2098*G2099</f>
        <v>0</v>
      </c>
      <c r="H2100" s="91">
        <f>H2098*H2099</f>
        <v>0</v>
      </c>
      <c r="I2100" s="91">
        <f t="shared" ref="I2100:O2100" si="347">I2098*I2099</f>
        <v>0</v>
      </c>
      <c r="J2100" s="91">
        <f t="shared" si="347"/>
        <v>0</v>
      </c>
      <c r="K2100" s="91">
        <f t="shared" si="347"/>
        <v>0</v>
      </c>
      <c r="L2100" s="91">
        <f t="shared" si="347"/>
        <v>0</v>
      </c>
      <c r="M2100" s="91">
        <f t="shared" si="347"/>
        <v>0</v>
      </c>
      <c r="N2100" s="91">
        <f t="shared" si="347"/>
        <v>0</v>
      </c>
      <c r="O2100" s="91">
        <f t="shared" si="347"/>
        <v>0</v>
      </c>
      <c r="P2100" s="32"/>
      <c r="Q2100" s="20">
        <f t="shared" si="341"/>
        <v>0</v>
      </c>
    </row>
    <row r="2101" spans="1:17">
      <c r="A2101" s="150"/>
      <c r="B2101" s="153"/>
      <c r="C2101" s="117" t="s">
        <v>9</v>
      </c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32"/>
      <c r="Q2101" s="20">
        <f t="shared" si="341"/>
        <v>0</v>
      </c>
    </row>
    <row r="2102" spans="1:17">
      <c r="A2102" s="150"/>
      <c r="B2102" s="153"/>
      <c r="C2102" s="117" t="s">
        <v>38</v>
      </c>
      <c r="D2102" s="89"/>
      <c r="E2102" s="89"/>
      <c r="F2102" s="89"/>
      <c r="G2102" s="89"/>
      <c r="H2102" s="89"/>
      <c r="I2102" s="89"/>
      <c r="J2102" s="89"/>
      <c r="K2102" s="89"/>
      <c r="L2102" s="89"/>
      <c r="M2102" s="89"/>
      <c r="N2102" s="89"/>
      <c r="O2102" s="89"/>
      <c r="P2102" s="28"/>
      <c r="Q2102" s="20">
        <f t="shared" si="341"/>
        <v>0</v>
      </c>
    </row>
    <row r="2103" spans="1:17">
      <c r="A2103" s="150"/>
      <c r="B2103" s="153"/>
      <c r="C2103" s="62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1"/>
      <c r="O2103" s="91"/>
      <c r="P2103" s="32"/>
      <c r="Q2103" s="20">
        <f t="shared" si="341"/>
        <v>0</v>
      </c>
    </row>
    <row r="2104" spans="1:17">
      <c r="A2104" s="150"/>
      <c r="B2104" s="154"/>
      <c r="C2104" s="6" t="s">
        <v>42</v>
      </c>
      <c r="D2104" s="92"/>
      <c r="E2104" s="92"/>
      <c r="F2104" s="92"/>
      <c r="G2104" s="92"/>
      <c r="H2104" s="92"/>
      <c r="I2104" s="92"/>
      <c r="J2104" s="92"/>
      <c r="K2104" s="92"/>
      <c r="L2104" s="92"/>
      <c r="M2104" s="92"/>
      <c r="N2104" s="92"/>
      <c r="O2104" s="92"/>
      <c r="P2104" s="33"/>
      <c r="Q2104" s="22">
        <f t="shared" si="341"/>
        <v>0</v>
      </c>
    </row>
    <row r="2105" spans="1:17">
      <c r="A2105" s="150"/>
      <c r="B2105" s="155" t="s">
        <v>11</v>
      </c>
      <c r="C2105" s="5" t="s">
        <v>7</v>
      </c>
      <c r="D2105" s="94"/>
      <c r="E2105" s="94"/>
      <c r="F2105" s="94"/>
      <c r="G2105" s="94"/>
      <c r="H2105" s="94"/>
      <c r="I2105" s="94"/>
      <c r="J2105" s="94"/>
      <c r="K2105" s="94"/>
      <c r="L2105" s="94"/>
      <c r="M2105" s="94"/>
      <c r="N2105" s="94"/>
      <c r="O2105" s="94"/>
      <c r="P2105" s="27"/>
      <c r="Q2105" s="21">
        <f t="shared" si="341"/>
        <v>0</v>
      </c>
    </row>
    <row r="2106" spans="1:17">
      <c r="A2106" s="150"/>
      <c r="B2106" s="153"/>
      <c r="C2106" s="6" t="s">
        <v>4</v>
      </c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32"/>
      <c r="Q2106" s="20">
        <f t="shared" si="341"/>
        <v>0</v>
      </c>
    </row>
    <row r="2107" spans="1:17">
      <c r="A2107" s="150"/>
      <c r="B2107" s="153"/>
      <c r="C2107" s="6" t="s">
        <v>17</v>
      </c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1"/>
      <c r="O2107" s="91"/>
      <c r="P2107" s="32"/>
      <c r="Q2107" s="20">
        <f t="shared" si="341"/>
        <v>0</v>
      </c>
    </row>
    <row r="2108" spans="1:17">
      <c r="A2108" s="150"/>
      <c r="B2108" s="153"/>
      <c r="C2108" s="6" t="s">
        <v>18</v>
      </c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32"/>
      <c r="Q2108" s="20">
        <f t="shared" si="341"/>
        <v>0</v>
      </c>
    </row>
    <row r="2109" spans="1:17">
      <c r="A2109" s="150"/>
      <c r="B2109" s="153"/>
      <c r="C2109" s="6" t="s">
        <v>60</v>
      </c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1"/>
      <c r="O2109" s="91"/>
      <c r="P2109" s="32"/>
      <c r="Q2109" s="20">
        <f t="shared" si="341"/>
        <v>0</v>
      </c>
    </row>
    <row r="2110" spans="1:17">
      <c r="A2110" s="150"/>
      <c r="B2110" s="155" t="s">
        <v>13</v>
      </c>
      <c r="C2110" s="5" t="s">
        <v>10</v>
      </c>
      <c r="D2110" s="94"/>
      <c r="E2110" s="94"/>
      <c r="F2110" s="94"/>
      <c r="G2110" s="94"/>
      <c r="H2110" s="94"/>
      <c r="I2110" s="94"/>
      <c r="J2110" s="94"/>
      <c r="K2110" s="94"/>
      <c r="L2110" s="94"/>
      <c r="M2110" s="94"/>
      <c r="N2110" s="94"/>
      <c r="O2110" s="94"/>
      <c r="P2110" s="27"/>
      <c r="Q2110" s="21">
        <f t="shared" si="341"/>
        <v>0</v>
      </c>
    </row>
    <row r="2111" spans="1:17">
      <c r="A2111" s="150"/>
      <c r="B2111" s="153"/>
      <c r="C2111" s="116" t="s">
        <v>55</v>
      </c>
      <c r="D2111" s="89"/>
      <c r="E2111" s="89"/>
      <c r="F2111" s="89"/>
      <c r="G2111" s="89"/>
      <c r="H2111" s="89"/>
      <c r="I2111" s="89"/>
      <c r="J2111" s="89"/>
      <c r="K2111" s="89"/>
      <c r="L2111" s="89"/>
      <c r="M2111" s="89"/>
      <c r="N2111" s="89"/>
      <c r="O2111" s="89"/>
      <c r="P2111" s="28"/>
      <c r="Q2111" s="20">
        <f t="shared" si="341"/>
        <v>0</v>
      </c>
    </row>
    <row r="2112" spans="1:17">
      <c r="A2112" s="150"/>
      <c r="B2112" s="153"/>
      <c r="C2112" s="8" t="s">
        <v>56</v>
      </c>
      <c r="D2112" s="89"/>
      <c r="E2112" s="89"/>
      <c r="F2112" s="89"/>
      <c r="G2112" s="89"/>
      <c r="H2112" s="89"/>
      <c r="I2112" s="89"/>
      <c r="J2112" s="89"/>
      <c r="K2112" s="89"/>
      <c r="L2112" s="89"/>
      <c r="M2112" s="89"/>
      <c r="N2112" s="89"/>
      <c r="O2112" s="89"/>
      <c r="P2112" s="28"/>
      <c r="Q2112" s="20">
        <f t="shared" si="341"/>
        <v>0</v>
      </c>
    </row>
    <row r="2113" spans="1:17">
      <c r="A2113" s="150"/>
      <c r="B2113" s="154"/>
      <c r="C2113" s="4" t="s">
        <v>61</v>
      </c>
      <c r="D2113" s="92"/>
      <c r="E2113" s="92"/>
      <c r="F2113" s="92"/>
      <c r="G2113" s="92"/>
      <c r="H2113" s="92"/>
      <c r="I2113" s="92"/>
      <c r="J2113" s="92"/>
      <c r="K2113" s="92"/>
      <c r="L2113" s="92"/>
      <c r="M2113" s="92"/>
      <c r="N2113" s="92"/>
      <c r="O2113" s="92"/>
      <c r="P2113" s="33"/>
      <c r="Q2113" s="22">
        <f t="shared" si="341"/>
        <v>0</v>
      </c>
    </row>
    <row r="2114" spans="1:17">
      <c r="A2114" s="150"/>
      <c r="B2114" s="156" t="s">
        <v>54</v>
      </c>
      <c r="C2114" s="157"/>
      <c r="D2114" s="56">
        <f t="shared" ref="D2114:O2114" si="348">SUM(D2100:D2104)-SUM(D2108:D2109)</f>
        <v>0</v>
      </c>
      <c r="E2114" s="56">
        <f t="shared" si="348"/>
        <v>0</v>
      </c>
      <c r="F2114" s="56">
        <f t="shared" si="348"/>
        <v>0</v>
      </c>
      <c r="G2114" s="56">
        <f t="shared" si="348"/>
        <v>0</v>
      </c>
      <c r="H2114" s="56">
        <f t="shared" si="348"/>
        <v>0</v>
      </c>
      <c r="I2114" s="56">
        <f t="shared" si="348"/>
        <v>0</v>
      </c>
      <c r="J2114" s="56">
        <f t="shared" si="348"/>
        <v>0</v>
      </c>
      <c r="K2114" s="56">
        <f t="shared" si="348"/>
        <v>0</v>
      </c>
      <c r="L2114" s="56">
        <f t="shared" si="348"/>
        <v>0</v>
      </c>
      <c r="M2114" s="56">
        <f t="shared" si="348"/>
        <v>0</v>
      </c>
      <c r="N2114" s="56">
        <f t="shared" si="348"/>
        <v>0</v>
      </c>
      <c r="O2114" s="56">
        <f t="shared" si="348"/>
        <v>0</v>
      </c>
      <c r="P2114" s="58">
        <f>SUM(P2098:P2104)-SUM(P2108:P2109)</f>
        <v>0</v>
      </c>
      <c r="Q2114" s="59">
        <f t="shared" si="341"/>
        <v>0</v>
      </c>
    </row>
    <row r="2115" spans="1:17" ht="14.25" thickBot="1">
      <c r="A2115" s="151"/>
      <c r="B2115" s="147" t="s">
        <v>5</v>
      </c>
      <c r="C2115" s="148"/>
      <c r="D2115" s="42">
        <f t="shared" ref="D2115:O2115" si="349">SUM(D2100:D2104)-SUM(D2105:D2109)+SUM(D2110:D2113)</f>
        <v>0</v>
      </c>
      <c r="E2115" s="42">
        <f t="shared" si="349"/>
        <v>0</v>
      </c>
      <c r="F2115" s="42">
        <f t="shared" si="349"/>
        <v>0</v>
      </c>
      <c r="G2115" s="42">
        <f t="shared" si="349"/>
        <v>0</v>
      </c>
      <c r="H2115" s="42">
        <f t="shared" si="349"/>
        <v>0</v>
      </c>
      <c r="I2115" s="42">
        <f t="shared" si="349"/>
        <v>0</v>
      </c>
      <c r="J2115" s="42">
        <f t="shared" si="349"/>
        <v>0</v>
      </c>
      <c r="K2115" s="42">
        <f t="shared" si="349"/>
        <v>0</v>
      </c>
      <c r="L2115" s="42">
        <f t="shared" si="349"/>
        <v>0</v>
      </c>
      <c r="M2115" s="42">
        <f t="shared" si="349"/>
        <v>0</v>
      </c>
      <c r="N2115" s="42">
        <f t="shared" si="349"/>
        <v>0</v>
      </c>
      <c r="O2115" s="42">
        <f t="shared" si="349"/>
        <v>0</v>
      </c>
      <c r="P2115" s="44">
        <f>SUM(P2098:P2104)-SUM(P2105:P2109)+SUM(P2110:P2113)</f>
        <v>0</v>
      </c>
      <c r="Q2115" s="46">
        <f t="shared" si="341"/>
        <v>0</v>
      </c>
    </row>
    <row r="2116" spans="1:17">
      <c r="A2116" s="149"/>
      <c r="B2116" s="152" t="s">
        <v>12</v>
      </c>
      <c r="C2116" s="114" t="s">
        <v>84</v>
      </c>
      <c r="D2116" s="87"/>
      <c r="E2116" s="87"/>
      <c r="F2116" s="87"/>
      <c r="G2116" s="87"/>
      <c r="H2116" s="87"/>
      <c r="I2116" s="87"/>
      <c r="J2116" s="87"/>
      <c r="K2116" s="87"/>
      <c r="L2116" s="87"/>
      <c r="M2116" s="87"/>
      <c r="N2116" s="87"/>
      <c r="O2116" s="87"/>
      <c r="P2116" s="30"/>
      <c r="Q2116" s="19">
        <f t="shared" si="341"/>
        <v>0</v>
      </c>
    </row>
    <row r="2117" spans="1:17">
      <c r="A2117" s="150"/>
      <c r="B2117" s="153"/>
      <c r="C2117" s="115" t="s">
        <v>85</v>
      </c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28"/>
      <c r="Q2117" s="20">
        <f t="shared" si="341"/>
        <v>0</v>
      </c>
    </row>
    <row r="2118" spans="1:17">
      <c r="A2118" s="150"/>
      <c r="B2118" s="153"/>
      <c r="C2118" s="116" t="s">
        <v>86</v>
      </c>
      <c r="D2118" s="91">
        <f>D2116*D2117</f>
        <v>0</v>
      </c>
      <c r="E2118" s="91">
        <f>E2116*E2117</f>
        <v>0</v>
      </c>
      <c r="F2118" s="91">
        <f>F2116*F2117</f>
        <v>0</v>
      </c>
      <c r="G2118" s="91">
        <f>G2116*G2117</f>
        <v>0</v>
      </c>
      <c r="H2118" s="91">
        <f>H2116*H2117</f>
        <v>0</v>
      </c>
      <c r="I2118" s="91">
        <f t="shared" ref="I2118:O2118" si="350">I2116*I2117</f>
        <v>0</v>
      </c>
      <c r="J2118" s="91">
        <f t="shared" si="350"/>
        <v>0</v>
      </c>
      <c r="K2118" s="91">
        <f t="shared" si="350"/>
        <v>0</v>
      </c>
      <c r="L2118" s="91">
        <f t="shared" si="350"/>
        <v>0</v>
      </c>
      <c r="M2118" s="91">
        <f t="shared" si="350"/>
        <v>0</v>
      </c>
      <c r="N2118" s="91">
        <f t="shared" si="350"/>
        <v>0</v>
      </c>
      <c r="O2118" s="91">
        <f t="shared" si="350"/>
        <v>0</v>
      </c>
      <c r="P2118" s="32"/>
      <c r="Q2118" s="20">
        <f t="shared" si="341"/>
        <v>0</v>
      </c>
    </row>
    <row r="2119" spans="1:17">
      <c r="A2119" s="150"/>
      <c r="B2119" s="153"/>
      <c r="C2119" s="117" t="s">
        <v>9</v>
      </c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32"/>
      <c r="Q2119" s="20">
        <f t="shared" si="341"/>
        <v>0</v>
      </c>
    </row>
    <row r="2120" spans="1:17">
      <c r="A2120" s="150"/>
      <c r="B2120" s="153"/>
      <c r="C2120" s="117" t="s">
        <v>38</v>
      </c>
      <c r="D2120" s="89"/>
      <c r="E2120" s="89"/>
      <c r="F2120" s="89"/>
      <c r="G2120" s="89"/>
      <c r="H2120" s="89"/>
      <c r="I2120" s="89"/>
      <c r="J2120" s="89"/>
      <c r="K2120" s="89"/>
      <c r="L2120" s="89"/>
      <c r="M2120" s="89"/>
      <c r="N2120" s="89"/>
      <c r="O2120" s="89"/>
      <c r="P2120" s="28"/>
      <c r="Q2120" s="20">
        <f t="shared" si="341"/>
        <v>0</v>
      </c>
    </row>
    <row r="2121" spans="1:17">
      <c r="A2121" s="150"/>
      <c r="B2121" s="153"/>
      <c r="C2121" s="62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32"/>
      <c r="Q2121" s="20">
        <f t="shared" si="341"/>
        <v>0</v>
      </c>
    </row>
    <row r="2122" spans="1:17">
      <c r="A2122" s="150"/>
      <c r="B2122" s="154"/>
      <c r="C2122" s="6" t="s">
        <v>42</v>
      </c>
      <c r="D2122" s="92"/>
      <c r="E2122" s="92"/>
      <c r="F2122" s="92"/>
      <c r="G2122" s="92"/>
      <c r="H2122" s="92"/>
      <c r="I2122" s="92"/>
      <c r="J2122" s="92"/>
      <c r="K2122" s="92"/>
      <c r="L2122" s="92"/>
      <c r="M2122" s="92"/>
      <c r="N2122" s="92"/>
      <c r="O2122" s="92"/>
      <c r="P2122" s="33"/>
      <c r="Q2122" s="22">
        <f t="shared" si="341"/>
        <v>0</v>
      </c>
    </row>
    <row r="2123" spans="1:17">
      <c r="A2123" s="150"/>
      <c r="B2123" s="155" t="s">
        <v>11</v>
      </c>
      <c r="C2123" s="5" t="s">
        <v>7</v>
      </c>
      <c r="D2123" s="94"/>
      <c r="E2123" s="94"/>
      <c r="F2123" s="94"/>
      <c r="G2123" s="94"/>
      <c r="H2123" s="94"/>
      <c r="I2123" s="94"/>
      <c r="J2123" s="94"/>
      <c r="K2123" s="94"/>
      <c r="L2123" s="94"/>
      <c r="M2123" s="94"/>
      <c r="N2123" s="94"/>
      <c r="O2123" s="94"/>
      <c r="P2123" s="27"/>
      <c r="Q2123" s="21">
        <f t="shared" si="341"/>
        <v>0</v>
      </c>
    </row>
    <row r="2124" spans="1:17">
      <c r="A2124" s="150"/>
      <c r="B2124" s="153"/>
      <c r="C2124" s="6" t="s">
        <v>4</v>
      </c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32"/>
      <c r="Q2124" s="20">
        <f t="shared" si="341"/>
        <v>0</v>
      </c>
    </row>
    <row r="2125" spans="1:17">
      <c r="A2125" s="150"/>
      <c r="B2125" s="153"/>
      <c r="C2125" s="6" t="s">
        <v>17</v>
      </c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32"/>
      <c r="Q2125" s="20">
        <f t="shared" si="341"/>
        <v>0</v>
      </c>
    </row>
    <row r="2126" spans="1:17">
      <c r="A2126" s="150"/>
      <c r="B2126" s="153"/>
      <c r="C2126" s="6" t="s">
        <v>18</v>
      </c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32"/>
      <c r="Q2126" s="20">
        <f t="shared" si="341"/>
        <v>0</v>
      </c>
    </row>
    <row r="2127" spans="1:17">
      <c r="A2127" s="150"/>
      <c r="B2127" s="153"/>
      <c r="C2127" s="6" t="s">
        <v>60</v>
      </c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32"/>
      <c r="Q2127" s="20">
        <f t="shared" si="341"/>
        <v>0</v>
      </c>
    </row>
    <row r="2128" spans="1:17">
      <c r="A2128" s="150"/>
      <c r="B2128" s="155" t="s">
        <v>13</v>
      </c>
      <c r="C2128" s="5" t="s">
        <v>10</v>
      </c>
      <c r="D2128" s="94"/>
      <c r="E2128" s="94"/>
      <c r="F2128" s="94"/>
      <c r="G2128" s="94"/>
      <c r="H2128" s="94"/>
      <c r="I2128" s="94"/>
      <c r="J2128" s="94"/>
      <c r="K2128" s="94"/>
      <c r="L2128" s="94"/>
      <c r="M2128" s="94"/>
      <c r="N2128" s="94"/>
      <c r="O2128" s="94"/>
      <c r="P2128" s="27"/>
      <c r="Q2128" s="21">
        <f t="shared" si="341"/>
        <v>0</v>
      </c>
    </row>
    <row r="2129" spans="1:17">
      <c r="A2129" s="150"/>
      <c r="B2129" s="153"/>
      <c r="C2129" s="116" t="s">
        <v>55</v>
      </c>
      <c r="D2129" s="89"/>
      <c r="E2129" s="89"/>
      <c r="F2129" s="89"/>
      <c r="G2129" s="89"/>
      <c r="H2129" s="89"/>
      <c r="I2129" s="89"/>
      <c r="J2129" s="89"/>
      <c r="K2129" s="89"/>
      <c r="L2129" s="89"/>
      <c r="M2129" s="89"/>
      <c r="N2129" s="89"/>
      <c r="O2129" s="89"/>
      <c r="P2129" s="28"/>
      <c r="Q2129" s="20">
        <f t="shared" si="341"/>
        <v>0</v>
      </c>
    </row>
    <row r="2130" spans="1:17">
      <c r="A2130" s="150"/>
      <c r="B2130" s="153"/>
      <c r="C2130" s="8" t="s">
        <v>56</v>
      </c>
      <c r="D2130" s="89"/>
      <c r="E2130" s="89"/>
      <c r="F2130" s="89"/>
      <c r="G2130" s="89"/>
      <c r="H2130" s="89"/>
      <c r="I2130" s="89"/>
      <c r="J2130" s="89"/>
      <c r="K2130" s="89"/>
      <c r="L2130" s="89"/>
      <c r="M2130" s="89"/>
      <c r="N2130" s="89"/>
      <c r="O2130" s="89"/>
      <c r="P2130" s="28"/>
      <c r="Q2130" s="20">
        <f t="shared" si="341"/>
        <v>0</v>
      </c>
    </row>
    <row r="2131" spans="1:17">
      <c r="A2131" s="150"/>
      <c r="B2131" s="154"/>
      <c r="C2131" s="4" t="s">
        <v>61</v>
      </c>
      <c r="D2131" s="92"/>
      <c r="E2131" s="92"/>
      <c r="F2131" s="92"/>
      <c r="G2131" s="92"/>
      <c r="H2131" s="92"/>
      <c r="I2131" s="92"/>
      <c r="J2131" s="92"/>
      <c r="K2131" s="92"/>
      <c r="L2131" s="92"/>
      <c r="M2131" s="92"/>
      <c r="N2131" s="92"/>
      <c r="O2131" s="92"/>
      <c r="P2131" s="33"/>
      <c r="Q2131" s="22">
        <f t="shared" ref="Q2131:Q2187" si="351">SUM(P2131:P2131)</f>
        <v>0</v>
      </c>
    </row>
    <row r="2132" spans="1:17">
      <c r="A2132" s="150"/>
      <c r="B2132" s="156" t="s">
        <v>54</v>
      </c>
      <c r="C2132" s="157"/>
      <c r="D2132" s="56">
        <f t="shared" ref="D2132:O2132" si="352">SUM(D2118:D2122)-SUM(D2126:D2127)</f>
        <v>0</v>
      </c>
      <c r="E2132" s="56">
        <f t="shared" si="352"/>
        <v>0</v>
      </c>
      <c r="F2132" s="56">
        <f t="shared" si="352"/>
        <v>0</v>
      </c>
      <c r="G2132" s="56">
        <f t="shared" si="352"/>
        <v>0</v>
      </c>
      <c r="H2132" s="56">
        <f t="shared" si="352"/>
        <v>0</v>
      </c>
      <c r="I2132" s="56">
        <f t="shared" si="352"/>
        <v>0</v>
      </c>
      <c r="J2132" s="56">
        <f t="shared" si="352"/>
        <v>0</v>
      </c>
      <c r="K2132" s="56">
        <f t="shared" si="352"/>
        <v>0</v>
      </c>
      <c r="L2132" s="56">
        <f t="shared" si="352"/>
        <v>0</v>
      </c>
      <c r="M2132" s="56">
        <f t="shared" si="352"/>
        <v>0</v>
      </c>
      <c r="N2132" s="56">
        <f t="shared" si="352"/>
        <v>0</v>
      </c>
      <c r="O2132" s="56">
        <f t="shared" si="352"/>
        <v>0</v>
      </c>
      <c r="P2132" s="58">
        <f>SUM(P2116:P2122)-SUM(P2126:P2127)</f>
        <v>0</v>
      </c>
      <c r="Q2132" s="59">
        <f t="shared" si="351"/>
        <v>0</v>
      </c>
    </row>
    <row r="2133" spans="1:17" ht="14.25" thickBot="1">
      <c r="A2133" s="151"/>
      <c r="B2133" s="147" t="s">
        <v>5</v>
      </c>
      <c r="C2133" s="148"/>
      <c r="D2133" s="42">
        <f t="shared" ref="D2133:O2133" si="353">SUM(D2118:D2122)-SUM(D2123:D2127)+SUM(D2128:D2131)</f>
        <v>0</v>
      </c>
      <c r="E2133" s="42">
        <f t="shared" si="353"/>
        <v>0</v>
      </c>
      <c r="F2133" s="42">
        <f t="shared" si="353"/>
        <v>0</v>
      </c>
      <c r="G2133" s="42">
        <f t="shared" si="353"/>
        <v>0</v>
      </c>
      <c r="H2133" s="42">
        <f t="shared" si="353"/>
        <v>0</v>
      </c>
      <c r="I2133" s="42">
        <f t="shared" si="353"/>
        <v>0</v>
      </c>
      <c r="J2133" s="42">
        <f t="shared" si="353"/>
        <v>0</v>
      </c>
      <c r="K2133" s="42">
        <f t="shared" si="353"/>
        <v>0</v>
      </c>
      <c r="L2133" s="42">
        <f t="shared" si="353"/>
        <v>0</v>
      </c>
      <c r="M2133" s="42">
        <f t="shared" si="353"/>
        <v>0</v>
      </c>
      <c r="N2133" s="42">
        <f t="shared" si="353"/>
        <v>0</v>
      </c>
      <c r="O2133" s="42">
        <f t="shared" si="353"/>
        <v>0</v>
      </c>
      <c r="P2133" s="44">
        <f>SUM(P2116:P2122)-SUM(P2123:P2127)+SUM(P2128:P2131)</f>
        <v>0</v>
      </c>
      <c r="Q2133" s="46">
        <f t="shared" si="351"/>
        <v>0</v>
      </c>
    </row>
    <row r="2134" spans="1:17">
      <c r="A2134" s="149"/>
      <c r="B2134" s="152" t="s">
        <v>12</v>
      </c>
      <c r="C2134" s="114" t="s">
        <v>84</v>
      </c>
      <c r="D2134" s="87"/>
      <c r="E2134" s="87"/>
      <c r="F2134" s="87"/>
      <c r="G2134" s="87"/>
      <c r="H2134" s="87"/>
      <c r="I2134" s="87"/>
      <c r="J2134" s="87"/>
      <c r="K2134" s="87"/>
      <c r="L2134" s="87"/>
      <c r="M2134" s="87"/>
      <c r="N2134" s="87"/>
      <c r="O2134" s="87"/>
      <c r="P2134" s="30"/>
      <c r="Q2134" s="19">
        <f t="shared" si="351"/>
        <v>0</v>
      </c>
    </row>
    <row r="2135" spans="1:17">
      <c r="A2135" s="150"/>
      <c r="B2135" s="153"/>
      <c r="C2135" s="115" t="s">
        <v>85</v>
      </c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28"/>
      <c r="Q2135" s="20">
        <f t="shared" si="351"/>
        <v>0</v>
      </c>
    </row>
    <row r="2136" spans="1:17">
      <c r="A2136" s="150"/>
      <c r="B2136" s="153"/>
      <c r="C2136" s="116" t="s">
        <v>86</v>
      </c>
      <c r="D2136" s="91">
        <f>D2134*D2135</f>
        <v>0</v>
      </c>
      <c r="E2136" s="91">
        <f>E2134*E2135</f>
        <v>0</v>
      </c>
      <c r="F2136" s="91">
        <f>F2134*F2135</f>
        <v>0</v>
      </c>
      <c r="G2136" s="91">
        <f>G2134*G2135</f>
        <v>0</v>
      </c>
      <c r="H2136" s="91">
        <f>H2134*H2135</f>
        <v>0</v>
      </c>
      <c r="I2136" s="91">
        <f t="shared" ref="I2136:O2136" si="354">I2134*I2135</f>
        <v>0</v>
      </c>
      <c r="J2136" s="91">
        <f t="shared" si="354"/>
        <v>0</v>
      </c>
      <c r="K2136" s="91">
        <f t="shared" si="354"/>
        <v>0</v>
      </c>
      <c r="L2136" s="91">
        <f t="shared" si="354"/>
        <v>0</v>
      </c>
      <c r="M2136" s="91">
        <f t="shared" si="354"/>
        <v>0</v>
      </c>
      <c r="N2136" s="91">
        <f t="shared" si="354"/>
        <v>0</v>
      </c>
      <c r="O2136" s="91">
        <f t="shared" si="354"/>
        <v>0</v>
      </c>
      <c r="P2136" s="32"/>
      <c r="Q2136" s="20">
        <f t="shared" si="351"/>
        <v>0</v>
      </c>
    </row>
    <row r="2137" spans="1:17">
      <c r="A2137" s="150"/>
      <c r="B2137" s="153"/>
      <c r="C2137" s="117" t="s">
        <v>9</v>
      </c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1"/>
      <c r="O2137" s="91"/>
      <c r="P2137" s="32"/>
      <c r="Q2137" s="20">
        <f t="shared" si="351"/>
        <v>0</v>
      </c>
    </row>
    <row r="2138" spans="1:17">
      <c r="A2138" s="150"/>
      <c r="B2138" s="153"/>
      <c r="C2138" s="117" t="s">
        <v>38</v>
      </c>
      <c r="D2138" s="89"/>
      <c r="E2138" s="89"/>
      <c r="F2138" s="89"/>
      <c r="G2138" s="89"/>
      <c r="H2138" s="89"/>
      <c r="I2138" s="89"/>
      <c r="J2138" s="89"/>
      <c r="K2138" s="89"/>
      <c r="L2138" s="89"/>
      <c r="M2138" s="89"/>
      <c r="N2138" s="89"/>
      <c r="O2138" s="89"/>
      <c r="P2138" s="28"/>
      <c r="Q2138" s="20">
        <f t="shared" si="351"/>
        <v>0</v>
      </c>
    </row>
    <row r="2139" spans="1:17">
      <c r="A2139" s="150"/>
      <c r="B2139" s="153"/>
      <c r="C2139" s="62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1"/>
      <c r="O2139" s="91"/>
      <c r="P2139" s="32"/>
      <c r="Q2139" s="20">
        <f t="shared" si="351"/>
        <v>0</v>
      </c>
    </row>
    <row r="2140" spans="1:17">
      <c r="A2140" s="150"/>
      <c r="B2140" s="154"/>
      <c r="C2140" s="6" t="s">
        <v>42</v>
      </c>
      <c r="D2140" s="92"/>
      <c r="E2140" s="92"/>
      <c r="F2140" s="92"/>
      <c r="G2140" s="92"/>
      <c r="H2140" s="92"/>
      <c r="I2140" s="92"/>
      <c r="J2140" s="92"/>
      <c r="K2140" s="92"/>
      <c r="L2140" s="92"/>
      <c r="M2140" s="92"/>
      <c r="N2140" s="92"/>
      <c r="O2140" s="92"/>
      <c r="P2140" s="33"/>
      <c r="Q2140" s="22">
        <f t="shared" si="351"/>
        <v>0</v>
      </c>
    </row>
    <row r="2141" spans="1:17">
      <c r="A2141" s="150"/>
      <c r="B2141" s="155" t="s">
        <v>11</v>
      </c>
      <c r="C2141" s="5" t="s">
        <v>7</v>
      </c>
      <c r="D2141" s="94"/>
      <c r="E2141" s="94"/>
      <c r="F2141" s="94"/>
      <c r="G2141" s="94"/>
      <c r="H2141" s="94"/>
      <c r="I2141" s="94"/>
      <c r="J2141" s="94"/>
      <c r="K2141" s="94"/>
      <c r="L2141" s="94"/>
      <c r="M2141" s="94"/>
      <c r="N2141" s="94"/>
      <c r="O2141" s="94"/>
      <c r="P2141" s="27"/>
      <c r="Q2141" s="21">
        <f t="shared" si="351"/>
        <v>0</v>
      </c>
    </row>
    <row r="2142" spans="1:17">
      <c r="A2142" s="150"/>
      <c r="B2142" s="153"/>
      <c r="C2142" s="6" t="s">
        <v>4</v>
      </c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32"/>
      <c r="Q2142" s="20">
        <f t="shared" si="351"/>
        <v>0</v>
      </c>
    </row>
    <row r="2143" spans="1:17">
      <c r="A2143" s="150"/>
      <c r="B2143" s="153"/>
      <c r="C2143" s="6" t="s">
        <v>17</v>
      </c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1"/>
      <c r="O2143" s="91"/>
      <c r="P2143" s="32"/>
      <c r="Q2143" s="20">
        <f t="shared" si="351"/>
        <v>0</v>
      </c>
    </row>
    <row r="2144" spans="1:17">
      <c r="A2144" s="150"/>
      <c r="B2144" s="153"/>
      <c r="C2144" s="6" t="s">
        <v>18</v>
      </c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32"/>
      <c r="Q2144" s="20">
        <f t="shared" si="351"/>
        <v>0</v>
      </c>
    </row>
    <row r="2145" spans="1:17">
      <c r="A2145" s="150"/>
      <c r="B2145" s="153"/>
      <c r="C2145" s="6" t="s">
        <v>60</v>
      </c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1"/>
      <c r="O2145" s="91"/>
      <c r="P2145" s="32"/>
      <c r="Q2145" s="20">
        <f t="shared" si="351"/>
        <v>0</v>
      </c>
    </row>
    <row r="2146" spans="1:17">
      <c r="A2146" s="150"/>
      <c r="B2146" s="155" t="s">
        <v>13</v>
      </c>
      <c r="C2146" s="5" t="s">
        <v>10</v>
      </c>
      <c r="D2146" s="94"/>
      <c r="E2146" s="94"/>
      <c r="F2146" s="94"/>
      <c r="G2146" s="94"/>
      <c r="H2146" s="94"/>
      <c r="I2146" s="94"/>
      <c r="J2146" s="94"/>
      <c r="K2146" s="94"/>
      <c r="L2146" s="94"/>
      <c r="M2146" s="94"/>
      <c r="N2146" s="94"/>
      <c r="O2146" s="94"/>
      <c r="P2146" s="27"/>
      <c r="Q2146" s="21">
        <f t="shared" si="351"/>
        <v>0</v>
      </c>
    </row>
    <row r="2147" spans="1:17">
      <c r="A2147" s="150"/>
      <c r="B2147" s="153"/>
      <c r="C2147" s="116" t="s">
        <v>55</v>
      </c>
      <c r="D2147" s="89"/>
      <c r="E2147" s="89"/>
      <c r="F2147" s="89"/>
      <c r="G2147" s="89"/>
      <c r="H2147" s="89"/>
      <c r="I2147" s="89"/>
      <c r="J2147" s="89"/>
      <c r="K2147" s="89"/>
      <c r="L2147" s="89"/>
      <c r="M2147" s="89"/>
      <c r="N2147" s="89"/>
      <c r="O2147" s="89"/>
      <c r="P2147" s="28"/>
      <c r="Q2147" s="20">
        <f t="shared" si="351"/>
        <v>0</v>
      </c>
    </row>
    <row r="2148" spans="1:17">
      <c r="A2148" s="150"/>
      <c r="B2148" s="153"/>
      <c r="C2148" s="8" t="s">
        <v>56</v>
      </c>
      <c r="D2148" s="89"/>
      <c r="E2148" s="89"/>
      <c r="F2148" s="89"/>
      <c r="G2148" s="89"/>
      <c r="H2148" s="89"/>
      <c r="I2148" s="89"/>
      <c r="J2148" s="89"/>
      <c r="K2148" s="89"/>
      <c r="L2148" s="89"/>
      <c r="M2148" s="89"/>
      <c r="N2148" s="89"/>
      <c r="O2148" s="89"/>
      <c r="P2148" s="28"/>
      <c r="Q2148" s="20">
        <f t="shared" si="351"/>
        <v>0</v>
      </c>
    </row>
    <row r="2149" spans="1:17">
      <c r="A2149" s="150"/>
      <c r="B2149" s="154"/>
      <c r="C2149" s="4" t="s">
        <v>61</v>
      </c>
      <c r="D2149" s="92"/>
      <c r="E2149" s="92"/>
      <c r="F2149" s="92"/>
      <c r="G2149" s="92"/>
      <c r="H2149" s="92"/>
      <c r="I2149" s="92"/>
      <c r="J2149" s="92"/>
      <c r="K2149" s="92"/>
      <c r="L2149" s="92"/>
      <c r="M2149" s="92"/>
      <c r="N2149" s="92"/>
      <c r="O2149" s="92"/>
      <c r="P2149" s="33"/>
      <c r="Q2149" s="22">
        <f t="shared" si="351"/>
        <v>0</v>
      </c>
    </row>
    <row r="2150" spans="1:17">
      <c r="A2150" s="150"/>
      <c r="B2150" s="156" t="s">
        <v>54</v>
      </c>
      <c r="C2150" s="157"/>
      <c r="D2150" s="56">
        <f t="shared" ref="D2150:O2150" si="355">SUM(D2136:D2140)-SUM(D2144:D2145)</f>
        <v>0</v>
      </c>
      <c r="E2150" s="56">
        <f t="shared" si="355"/>
        <v>0</v>
      </c>
      <c r="F2150" s="56">
        <f t="shared" si="355"/>
        <v>0</v>
      </c>
      <c r="G2150" s="56">
        <f t="shared" si="355"/>
        <v>0</v>
      </c>
      <c r="H2150" s="56">
        <f t="shared" si="355"/>
        <v>0</v>
      </c>
      <c r="I2150" s="56">
        <f t="shared" si="355"/>
        <v>0</v>
      </c>
      <c r="J2150" s="56">
        <f t="shared" si="355"/>
        <v>0</v>
      </c>
      <c r="K2150" s="56">
        <f t="shared" si="355"/>
        <v>0</v>
      </c>
      <c r="L2150" s="56">
        <f t="shared" si="355"/>
        <v>0</v>
      </c>
      <c r="M2150" s="56">
        <f t="shared" si="355"/>
        <v>0</v>
      </c>
      <c r="N2150" s="56">
        <f t="shared" si="355"/>
        <v>0</v>
      </c>
      <c r="O2150" s="56">
        <f t="shared" si="355"/>
        <v>0</v>
      </c>
      <c r="P2150" s="58">
        <f>SUM(P2134:P2140)-SUM(P2144:P2145)</f>
        <v>0</v>
      </c>
      <c r="Q2150" s="59">
        <f t="shared" si="351"/>
        <v>0</v>
      </c>
    </row>
    <row r="2151" spans="1:17" ht="14.25" thickBot="1">
      <c r="A2151" s="151"/>
      <c r="B2151" s="147" t="s">
        <v>5</v>
      </c>
      <c r="C2151" s="148"/>
      <c r="D2151" s="42">
        <f t="shared" ref="D2151:O2151" si="356">SUM(D2136:D2140)-SUM(D2141:D2145)+SUM(D2146:D2149)</f>
        <v>0</v>
      </c>
      <c r="E2151" s="42">
        <f t="shared" si="356"/>
        <v>0</v>
      </c>
      <c r="F2151" s="42">
        <f t="shared" si="356"/>
        <v>0</v>
      </c>
      <c r="G2151" s="42">
        <f t="shared" si="356"/>
        <v>0</v>
      </c>
      <c r="H2151" s="42">
        <f t="shared" si="356"/>
        <v>0</v>
      </c>
      <c r="I2151" s="42">
        <f t="shared" si="356"/>
        <v>0</v>
      </c>
      <c r="J2151" s="42">
        <f t="shared" si="356"/>
        <v>0</v>
      </c>
      <c r="K2151" s="42">
        <f t="shared" si="356"/>
        <v>0</v>
      </c>
      <c r="L2151" s="42">
        <f t="shared" si="356"/>
        <v>0</v>
      </c>
      <c r="M2151" s="42">
        <f t="shared" si="356"/>
        <v>0</v>
      </c>
      <c r="N2151" s="42">
        <f t="shared" si="356"/>
        <v>0</v>
      </c>
      <c r="O2151" s="42">
        <f t="shared" si="356"/>
        <v>0</v>
      </c>
      <c r="P2151" s="44">
        <f>SUM(P2134:P2140)-SUM(P2141:P2145)+SUM(P2146:P2149)</f>
        <v>0</v>
      </c>
      <c r="Q2151" s="46">
        <f t="shared" si="351"/>
        <v>0</v>
      </c>
    </row>
    <row r="2152" spans="1:17">
      <c r="A2152" s="149"/>
      <c r="B2152" s="152" t="s">
        <v>12</v>
      </c>
      <c r="C2152" s="114" t="s">
        <v>84</v>
      </c>
      <c r="D2152" s="87"/>
      <c r="E2152" s="87"/>
      <c r="F2152" s="87"/>
      <c r="G2152" s="87"/>
      <c r="H2152" s="87"/>
      <c r="I2152" s="87"/>
      <c r="J2152" s="87"/>
      <c r="K2152" s="87"/>
      <c r="L2152" s="87"/>
      <c r="M2152" s="87"/>
      <c r="N2152" s="87"/>
      <c r="O2152" s="87"/>
      <c r="P2152" s="30"/>
      <c r="Q2152" s="19">
        <f t="shared" si="351"/>
        <v>0</v>
      </c>
    </row>
    <row r="2153" spans="1:17">
      <c r="A2153" s="150"/>
      <c r="B2153" s="153"/>
      <c r="C2153" s="115" t="s">
        <v>85</v>
      </c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28"/>
      <c r="Q2153" s="20">
        <f t="shared" si="351"/>
        <v>0</v>
      </c>
    </row>
    <row r="2154" spans="1:17">
      <c r="A2154" s="150"/>
      <c r="B2154" s="153"/>
      <c r="C2154" s="116" t="s">
        <v>86</v>
      </c>
      <c r="D2154" s="91">
        <f>D2152*D2153</f>
        <v>0</v>
      </c>
      <c r="E2154" s="91">
        <f>E2152*E2153</f>
        <v>0</v>
      </c>
      <c r="F2154" s="91">
        <f>F2152*F2153</f>
        <v>0</v>
      </c>
      <c r="G2154" s="91">
        <f>G2152*G2153</f>
        <v>0</v>
      </c>
      <c r="H2154" s="91">
        <f>H2152*H2153</f>
        <v>0</v>
      </c>
      <c r="I2154" s="91">
        <f t="shared" ref="I2154:O2154" si="357">I2152*I2153</f>
        <v>0</v>
      </c>
      <c r="J2154" s="91">
        <f t="shared" si="357"/>
        <v>0</v>
      </c>
      <c r="K2154" s="91">
        <f t="shared" si="357"/>
        <v>0</v>
      </c>
      <c r="L2154" s="91">
        <f t="shared" si="357"/>
        <v>0</v>
      </c>
      <c r="M2154" s="91">
        <f t="shared" si="357"/>
        <v>0</v>
      </c>
      <c r="N2154" s="91">
        <f t="shared" si="357"/>
        <v>0</v>
      </c>
      <c r="O2154" s="91">
        <f t="shared" si="357"/>
        <v>0</v>
      </c>
      <c r="P2154" s="32"/>
      <c r="Q2154" s="20">
        <f t="shared" si="351"/>
        <v>0</v>
      </c>
    </row>
    <row r="2155" spans="1:17">
      <c r="A2155" s="150"/>
      <c r="B2155" s="153"/>
      <c r="C2155" s="117" t="s">
        <v>9</v>
      </c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32"/>
      <c r="Q2155" s="20">
        <f t="shared" si="351"/>
        <v>0</v>
      </c>
    </row>
    <row r="2156" spans="1:17">
      <c r="A2156" s="150"/>
      <c r="B2156" s="153"/>
      <c r="C2156" s="117" t="s">
        <v>38</v>
      </c>
      <c r="D2156" s="89"/>
      <c r="E2156" s="89"/>
      <c r="F2156" s="89"/>
      <c r="G2156" s="89"/>
      <c r="H2156" s="89"/>
      <c r="I2156" s="89"/>
      <c r="J2156" s="89"/>
      <c r="K2156" s="89"/>
      <c r="L2156" s="89"/>
      <c r="M2156" s="89"/>
      <c r="N2156" s="89"/>
      <c r="O2156" s="89"/>
      <c r="P2156" s="28"/>
      <c r="Q2156" s="20">
        <f t="shared" si="351"/>
        <v>0</v>
      </c>
    </row>
    <row r="2157" spans="1:17">
      <c r="A2157" s="150"/>
      <c r="B2157" s="153"/>
      <c r="C2157" s="62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32"/>
      <c r="Q2157" s="20">
        <f t="shared" si="351"/>
        <v>0</v>
      </c>
    </row>
    <row r="2158" spans="1:17">
      <c r="A2158" s="150"/>
      <c r="B2158" s="154"/>
      <c r="C2158" s="6" t="s">
        <v>42</v>
      </c>
      <c r="D2158" s="92"/>
      <c r="E2158" s="92"/>
      <c r="F2158" s="92"/>
      <c r="G2158" s="92"/>
      <c r="H2158" s="92"/>
      <c r="I2158" s="92"/>
      <c r="J2158" s="92"/>
      <c r="K2158" s="92"/>
      <c r="L2158" s="92"/>
      <c r="M2158" s="92"/>
      <c r="N2158" s="92"/>
      <c r="O2158" s="92"/>
      <c r="P2158" s="33"/>
      <c r="Q2158" s="22">
        <f t="shared" si="351"/>
        <v>0</v>
      </c>
    </row>
    <row r="2159" spans="1:17">
      <c r="A2159" s="150"/>
      <c r="B2159" s="155" t="s">
        <v>11</v>
      </c>
      <c r="C2159" s="5" t="s">
        <v>7</v>
      </c>
      <c r="D2159" s="94"/>
      <c r="E2159" s="94"/>
      <c r="F2159" s="94"/>
      <c r="G2159" s="94"/>
      <c r="H2159" s="94"/>
      <c r="I2159" s="94"/>
      <c r="J2159" s="94"/>
      <c r="K2159" s="94"/>
      <c r="L2159" s="94"/>
      <c r="M2159" s="94"/>
      <c r="N2159" s="94"/>
      <c r="O2159" s="94"/>
      <c r="P2159" s="27"/>
      <c r="Q2159" s="21">
        <f t="shared" si="351"/>
        <v>0</v>
      </c>
    </row>
    <row r="2160" spans="1:17">
      <c r="A2160" s="150"/>
      <c r="B2160" s="153"/>
      <c r="C2160" s="6" t="s">
        <v>4</v>
      </c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32"/>
      <c r="Q2160" s="20">
        <f t="shared" si="351"/>
        <v>0</v>
      </c>
    </row>
    <row r="2161" spans="1:17">
      <c r="A2161" s="150"/>
      <c r="B2161" s="153"/>
      <c r="C2161" s="6" t="s">
        <v>17</v>
      </c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32"/>
      <c r="Q2161" s="20">
        <f t="shared" si="351"/>
        <v>0</v>
      </c>
    </row>
    <row r="2162" spans="1:17">
      <c r="A2162" s="150"/>
      <c r="B2162" s="153"/>
      <c r="C2162" s="6" t="s">
        <v>18</v>
      </c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32"/>
      <c r="Q2162" s="20">
        <f t="shared" si="351"/>
        <v>0</v>
      </c>
    </row>
    <row r="2163" spans="1:17">
      <c r="A2163" s="150"/>
      <c r="B2163" s="153"/>
      <c r="C2163" s="6" t="s">
        <v>60</v>
      </c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1"/>
      <c r="O2163" s="91"/>
      <c r="P2163" s="32"/>
      <c r="Q2163" s="20">
        <f t="shared" si="351"/>
        <v>0</v>
      </c>
    </row>
    <row r="2164" spans="1:17">
      <c r="A2164" s="150"/>
      <c r="B2164" s="155" t="s">
        <v>13</v>
      </c>
      <c r="C2164" s="5" t="s">
        <v>10</v>
      </c>
      <c r="D2164" s="94"/>
      <c r="E2164" s="94"/>
      <c r="F2164" s="94"/>
      <c r="G2164" s="94"/>
      <c r="H2164" s="94"/>
      <c r="I2164" s="94"/>
      <c r="J2164" s="94"/>
      <c r="K2164" s="94"/>
      <c r="L2164" s="94"/>
      <c r="M2164" s="94"/>
      <c r="N2164" s="94"/>
      <c r="O2164" s="94"/>
      <c r="P2164" s="27"/>
      <c r="Q2164" s="21">
        <f t="shared" si="351"/>
        <v>0</v>
      </c>
    </row>
    <row r="2165" spans="1:17">
      <c r="A2165" s="150"/>
      <c r="B2165" s="153"/>
      <c r="C2165" s="116" t="s">
        <v>55</v>
      </c>
      <c r="D2165" s="89"/>
      <c r="E2165" s="89"/>
      <c r="F2165" s="89"/>
      <c r="G2165" s="89"/>
      <c r="H2165" s="89"/>
      <c r="I2165" s="89"/>
      <c r="J2165" s="89"/>
      <c r="K2165" s="89"/>
      <c r="L2165" s="89"/>
      <c r="M2165" s="89"/>
      <c r="N2165" s="89"/>
      <c r="O2165" s="89"/>
      <c r="P2165" s="28"/>
      <c r="Q2165" s="20">
        <f t="shared" si="351"/>
        <v>0</v>
      </c>
    </row>
    <row r="2166" spans="1:17">
      <c r="A2166" s="150"/>
      <c r="B2166" s="153"/>
      <c r="C2166" s="8" t="s">
        <v>56</v>
      </c>
      <c r="D2166" s="89"/>
      <c r="E2166" s="89"/>
      <c r="F2166" s="89"/>
      <c r="G2166" s="89"/>
      <c r="H2166" s="89"/>
      <c r="I2166" s="89"/>
      <c r="J2166" s="89"/>
      <c r="K2166" s="89"/>
      <c r="L2166" s="89"/>
      <c r="M2166" s="89"/>
      <c r="N2166" s="89"/>
      <c r="O2166" s="89"/>
      <c r="P2166" s="28"/>
      <c r="Q2166" s="20">
        <f t="shared" si="351"/>
        <v>0</v>
      </c>
    </row>
    <row r="2167" spans="1:17">
      <c r="A2167" s="150"/>
      <c r="B2167" s="154"/>
      <c r="C2167" s="4" t="s">
        <v>61</v>
      </c>
      <c r="D2167" s="92"/>
      <c r="E2167" s="92"/>
      <c r="F2167" s="92"/>
      <c r="G2167" s="92"/>
      <c r="H2167" s="92"/>
      <c r="I2167" s="92"/>
      <c r="J2167" s="92"/>
      <c r="K2167" s="92"/>
      <c r="L2167" s="92"/>
      <c r="M2167" s="92"/>
      <c r="N2167" s="92"/>
      <c r="O2167" s="92"/>
      <c r="P2167" s="33"/>
      <c r="Q2167" s="22">
        <f t="shared" si="351"/>
        <v>0</v>
      </c>
    </row>
    <row r="2168" spans="1:17">
      <c r="A2168" s="150"/>
      <c r="B2168" s="156" t="s">
        <v>54</v>
      </c>
      <c r="C2168" s="157"/>
      <c r="D2168" s="56">
        <f t="shared" ref="D2168:O2168" si="358">SUM(D2154:D2158)-SUM(D2162:D2163)</f>
        <v>0</v>
      </c>
      <c r="E2168" s="56">
        <f t="shared" si="358"/>
        <v>0</v>
      </c>
      <c r="F2168" s="56">
        <f t="shared" si="358"/>
        <v>0</v>
      </c>
      <c r="G2168" s="56">
        <f t="shared" si="358"/>
        <v>0</v>
      </c>
      <c r="H2168" s="56">
        <f t="shared" si="358"/>
        <v>0</v>
      </c>
      <c r="I2168" s="56">
        <f t="shared" si="358"/>
        <v>0</v>
      </c>
      <c r="J2168" s="56">
        <f t="shared" si="358"/>
        <v>0</v>
      </c>
      <c r="K2168" s="56">
        <f t="shared" si="358"/>
        <v>0</v>
      </c>
      <c r="L2168" s="56">
        <f t="shared" si="358"/>
        <v>0</v>
      </c>
      <c r="M2168" s="56">
        <f t="shared" si="358"/>
        <v>0</v>
      </c>
      <c r="N2168" s="56">
        <f t="shared" si="358"/>
        <v>0</v>
      </c>
      <c r="O2168" s="56">
        <f t="shared" si="358"/>
        <v>0</v>
      </c>
      <c r="P2168" s="58">
        <f>SUM(P2152:P2158)-SUM(P2162:P2163)</f>
        <v>0</v>
      </c>
      <c r="Q2168" s="59">
        <f t="shared" si="351"/>
        <v>0</v>
      </c>
    </row>
    <row r="2169" spans="1:17" ht="14.25" thickBot="1">
      <c r="A2169" s="151"/>
      <c r="B2169" s="147" t="s">
        <v>5</v>
      </c>
      <c r="C2169" s="148"/>
      <c r="D2169" s="42">
        <f t="shared" ref="D2169:O2169" si="359">SUM(D2154:D2158)-SUM(D2159:D2163)+SUM(D2164:D2167)</f>
        <v>0</v>
      </c>
      <c r="E2169" s="42">
        <f t="shared" si="359"/>
        <v>0</v>
      </c>
      <c r="F2169" s="42">
        <f t="shared" si="359"/>
        <v>0</v>
      </c>
      <c r="G2169" s="42">
        <f t="shared" si="359"/>
        <v>0</v>
      </c>
      <c r="H2169" s="42">
        <f t="shared" si="359"/>
        <v>0</v>
      </c>
      <c r="I2169" s="42">
        <f t="shared" si="359"/>
        <v>0</v>
      </c>
      <c r="J2169" s="42">
        <f t="shared" si="359"/>
        <v>0</v>
      </c>
      <c r="K2169" s="42">
        <f t="shared" si="359"/>
        <v>0</v>
      </c>
      <c r="L2169" s="42">
        <f t="shared" si="359"/>
        <v>0</v>
      </c>
      <c r="M2169" s="42">
        <f t="shared" si="359"/>
        <v>0</v>
      </c>
      <c r="N2169" s="42">
        <f t="shared" si="359"/>
        <v>0</v>
      </c>
      <c r="O2169" s="42">
        <f t="shared" si="359"/>
        <v>0</v>
      </c>
      <c r="P2169" s="44">
        <f>SUM(P2152:P2158)-SUM(P2159:P2163)+SUM(P2164:P2167)</f>
        <v>0</v>
      </c>
      <c r="Q2169" s="46">
        <f t="shared" si="351"/>
        <v>0</v>
      </c>
    </row>
    <row r="2170" spans="1:17">
      <c r="A2170" s="149"/>
      <c r="B2170" s="152" t="s">
        <v>12</v>
      </c>
      <c r="C2170" s="114" t="s">
        <v>84</v>
      </c>
      <c r="D2170" s="87"/>
      <c r="E2170" s="87"/>
      <c r="F2170" s="87"/>
      <c r="G2170" s="87"/>
      <c r="H2170" s="87"/>
      <c r="I2170" s="87"/>
      <c r="J2170" s="87"/>
      <c r="K2170" s="87"/>
      <c r="L2170" s="87"/>
      <c r="M2170" s="87"/>
      <c r="N2170" s="87"/>
      <c r="O2170" s="87"/>
      <c r="P2170" s="30"/>
      <c r="Q2170" s="19">
        <f t="shared" si="351"/>
        <v>0</v>
      </c>
    </row>
    <row r="2171" spans="1:17">
      <c r="A2171" s="150"/>
      <c r="B2171" s="153"/>
      <c r="C2171" s="115" t="s">
        <v>85</v>
      </c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28"/>
      <c r="Q2171" s="20">
        <f t="shared" si="351"/>
        <v>0</v>
      </c>
    </row>
    <row r="2172" spans="1:17">
      <c r="A2172" s="150"/>
      <c r="B2172" s="153"/>
      <c r="C2172" s="116" t="s">
        <v>86</v>
      </c>
      <c r="D2172" s="91">
        <f>D2170*D2171</f>
        <v>0</v>
      </c>
      <c r="E2172" s="91">
        <f>E2170*E2171</f>
        <v>0</v>
      </c>
      <c r="F2172" s="91">
        <f>F2170*F2171</f>
        <v>0</v>
      </c>
      <c r="G2172" s="91">
        <f>G2170*G2171</f>
        <v>0</v>
      </c>
      <c r="H2172" s="91">
        <f>H2170*H2171</f>
        <v>0</v>
      </c>
      <c r="I2172" s="91">
        <f t="shared" ref="I2172:O2172" si="360">I2170*I2171</f>
        <v>0</v>
      </c>
      <c r="J2172" s="91">
        <f t="shared" si="360"/>
        <v>0</v>
      </c>
      <c r="K2172" s="91">
        <f t="shared" si="360"/>
        <v>0</v>
      </c>
      <c r="L2172" s="91">
        <f t="shared" si="360"/>
        <v>0</v>
      </c>
      <c r="M2172" s="91">
        <f t="shared" si="360"/>
        <v>0</v>
      </c>
      <c r="N2172" s="91">
        <f t="shared" si="360"/>
        <v>0</v>
      </c>
      <c r="O2172" s="91">
        <f t="shared" si="360"/>
        <v>0</v>
      </c>
      <c r="P2172" s="32"/>
      <c r="Q2172" s="20">
        <f t="shared" si="351"/>
        <v>0</v>
      </c>
    </row>
    <row r="2173" spans="1:17">
      <c r="A2173" s="150"/>
      <c r="B2173" s="153"/>
      <c r="C2173" s="117" t="s">
        <v>9</v>
      </c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1"/>
      <c r="O2173" s="91"/>
      <c r="P2173" s="32"/>
      <c r="Q2173" s="20">
        <f t="shared" si="351"/>
        <v>0</v>
      </c>
    </row>
    <row r="2174" spans="1:17">
      <c r="A2174" s="150"/>
      <c r="B2174" s="153"/>
      <c r="C2174" s="117" t="s">
        <v>38</v>
      </c>
      <c r="D2174" s="89"/>
      <c r="E2174" s="89"/>
      <c r="F2174" s="89"/>
      <c r="G2174" s="89"/>
      <c r="H2174" s="89"/>
      <c r="I2174" s="89"/>
      <c r="J2174" s="89"/>
      <c r="K2174" s="89"/>
      <c r="L2174" s="89"/>
      <c r="M2174" s="89"/>
      <c r="N2174" s="89"/>
      <c r="O2174" s="89"/>
      <c r="P2174" s="28"/>
      <c r="Q2174" s="20">
        <f t="shared" si="351"/>
        <v>0</v>
      </c>
    </row>
    <row r="2175" spans="1:17">
      <c r="A2175" s="150"/>
      <c r="B2175" s="153"/>
      <c r="C2175" s="62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1"/>
      <c r="O2175" s="91"/>
      <c r="P2175" s="32"/>
      <c r="Q2175" s="20">
        <f t="shared" si="351"/>
        <v>0</v>
      </c>
    </row>
    <row r="2176" spans="1:17">
      <c r="A2176" s="150"/>
      <c r="B2176" s="154"/>
      <c r="C2176" s="6" t="s">
        <v>42</v>
      </c>
      <c r="D2176" s="92"/>
      <c r="E2176" s="92"/>
      <c r="F2176" s="92"/>
      <c r="G2176" s="92"/>
      <c r="H2176" s="92"/>
      <c r="I2176" s="92"/>
      <c r="J2176" s="92"/>
      <c r="K2176" s="92"/>
      <c r="L2176" s="92"/>
      <c r="M2176" s="92"/>
      <c r="N2176" s="92"/>
      <c r="O2176" s="92"/>
      <c r="P2176" s="33"/>
      <c r="Q2176" s="22">
        <f t="shared" si="351"/>
        <v>0</v>
      </c>
    </row>
    <row r="2177" spans="1:17">
      <c r="A2177" s="150"/>
      <c r="B2177" s="155" t="s">
        <v>11</v>
      </c>
      <c r="C2177" s="5" t="s">
        <v>7</v>
      </c>
      <c r="D2177" s="94"/>
      <c r="E2177" s="94"/>
      <c r="F2177" s="94"/>
      <c r="G2177" s="94"/>
      <c r="H2177" s="94"/>
      <c r="I2177" s="94"/>
      <c r="J2177" s="94"/>
      <c r="K2177" s="94"/>
      <c r="L2177" s="94"/>
      <c r="M2177" s="94"/>
      <c r="N2177" s="94"/>
      <c r="O2177" s="94"/>
      <c r="P2177" s="27"/>
      <c r="Q2177" s="21">
        <f t="shared" si="351"/>
        <v>0</v>
      </c>
    </row>
    <row r="2178" spans="1:17">
      <c r="A2178" s="150"/>
      <c r="B2178" s="153"/>
      <c r="C2178" s="6" t="s">
        <v>4</v>
      </c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32"/>
      <c r="Q2178" s="20">
        <f t="shared" si="351"/>
        <v>0</v>
      </c>
    </row>
    <row r="2179" spans="1:17">
      <c r="A2179" s="150"/>
      <c r="B2179" s="153"/>
      <c r="C2179" s="6" t="s">
        <v>17</v>
      </c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32"/>
      <c r="Q2179" s="20">
        <f t="shared" si="351"/>
        <v>0</v>
      </c>
    </row>
    <row r="2180" spans="1:17">
      <c r="A2180" s="150"/>
      <c r="B2180" s="153"/>
      <c r="C2180" s="6" t="s">
        <v>18</v>
      </c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32"/>
      <c r="Q2180" s="20">
        <f t="shared" si="351"/>
        <v>0</v>
      </c>
    </row>
    <row r="2181" spans="1:17">
      <c r="A2181" s="150"/>
      <c r="B2181" s="153"/>
      <c r="C2181" s="6" t="s">
        <v>60</v>
      </c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32"/>
      <c r="Q2181" s="20">
        <f t="shared" si="351"/>
        <v>0</v>
      </c>
    </row>
    <row r="2182" spans="1:17">
      <c r="A2182" s="150"/>
      <c r="B2182" s="155" t="s">
        <v>13</v>
      </c>
      <c r="C2182" s="5" t="s">
        <v>10</v>
      </c>
      <c r="D2182" s="94"/>
      <c r="E2182" s="94"/>
      <c r="F2182" s="94"/>
      <c r="G2182" s="94"/>
      <c r="H2182" s="94"/>
      <c r="I2182" s="94"/>
      <c r="J2182" s="94"/>
      <c r="K2182" s="94"/>
      <c r="L2182" s="94"/>
      <c r="M2182" s="94"/>
      <c r="N2182" s="94"/>
      <c r="O2182" s="94"/>
      <c r="P2182" s="27"/>
      <c r="Q2182" s="21">
        <f t="shared" si="351"/>
        <v>0</v>
      </c>
    </row>
    <row r="2183" spans="1:17">
      <c r="A2183" s="150"/>
      <c r="B2183" s="153"/>
      <c r="C2183" s="116" t="s">
        <v>55</v>
      </c>
      <c r="D2183" s="89"/>
      <c r="E2183" s="89"/>
      <c r="F2183" s="89"/>
      <c r="G2183" s="89"/>
      <c r="H2183" s="89"/>
      <c r="I2183" s="89"/>
      <c r="J2183" s="89"/>
      <c r="K2183" s="89"/>
      <c r="L2183" s="89"/>
      <c r="M2183" s="89"/>
      <c r="N2183" s="89"/>
      <c r="O2183" s="89"/>
      <c r="P2183" s="28"/>
      <c r="Q2183" s="20">
        <f t="shared" si="351"/>
        <v>0</v>
      </c>
    </row>
    <row r="2184" spans="1:17">
      <c r="A2184" s="150"/>
      <c r="B2184" s="153"/>
      <c r="C2184" s="8" t="s">
        <v>56</v>
      </c>
      <c r="D2184" s="89"/>
      <c r="E2184" s="89"/>
      <c r="F2184" s="89"/>
      <c r="G2184" s="89"/>
      <c r="H2184" s="89"/>
      <c r="I2184" s="89"/>
      <c r="J2184" s="89"/>
      <c r="K2184" s="89"/>
      <c r="L2184" s="89"/>
      <c r="M2184" s="89"/>
      <c r="N2184" s="89"/>
      <c r="O2184" s="89"/>
      <c r="P2184" s="28"/>
      <c r="Q2184" s="20">
        <f t="shared" si="351"/>
        <v>0</v>
      </c>
    </row>
    <row r="2185" spans="1:17">
      <c r="A2185" s="150"/>
      <c r="B2185" s="154"/>
      <c r="C2185" s="4" t="s">
        <v>61</v>
      </c>
      <c r="D2185" s="92"/>
      <c r="E2185" s="92"/>
      <c r="F2185" s="92"/>
      <c r="G2185" s="92"/>
      <c r="H2185" s="92"/>
      <c r="I2185" s="92"/>
      <c r="J2185" s="92"/>
      <c r="K2185" s="92"/>
      <c r="L2185" s="92"/>
      <c r="M2185" s="92"/>
      <c r="N2185" s="92"/>
      <c r="O2185" s="92"/>
      <c r="P2185" s="33"/>
      <c r="Q2185" s="22">
        <f t="shared" si="351"/>
        <v>0</v>
      </c>
    </row>
    <row r="2186" spans="1:17">
      <c r="A2186" s="150"/>
      <c r="B2186" s="156" t="s">
        <v>54</v>
      </c>
      <c r="C2186" s="157"/>
      <c r="D2186" s="56">
        <f t="shared" ref="D2186:O2186" si="361">SUM(D2172:D2176)-SUM(D2180:D2181)</f>
        <v>0</v>
      </c>
      <c r="E2186" s="56">
        <f t="shared" si="361"/>
        <v>0</v>
      </c>
      <c r="F2186" s="56">
        <f t="shared" si="361"/>
        <v>0</v>
      </c>
      <c r="G2186" s="56">
        <f t="shared" si="361"/>
        <v>0</v>
      </c>
      <c r="H2186" s="56">
        <f t="shared" si="361"/>
        <v>0</v>
      </c>
      <c r="I2186" s="56">
        <f t="shared" si="361"/>
        <v>0</v>
      </c>
      <c r="J2186" s="56">
        <f t="shared" si="361"/>
        <v>0</v>
      </c>
      <c r="K2186" s="56">
        <f t="shared" si="361"/>
        <v>0</v>
      </c>
      <c r="L2186" s="56">
        <f t="shared" si="361"/>
        <v>0</v>
      </c>
      <c r="M2186" s="56">
        <f t="shared" si="361"/>
        <v>0</v>
      </c>
      <c r="N2186" s="56">
        <f t="shared" si="361"/>
        <v>0</v>
      </c>
      <c r="O2186" s="56">
        <f t="shared" si="361"/>
        <v>0</v>
      </c>
      <c r="P2186" s="58">
        <f>SUM(P2170:P2176)-SUM(P2180:P2181)</f>
        <v>0</v>
      </c>
      <c r="Q2186" s="59">
        <f t="shared" si="351"/>
        <v>0</v>
      </c>
    </row>
    <row r="2187" spans="1:17" ht="14.25" thickBot="1">
      <c r="A2187" s="151"/>
      <c r="B2187" s="147" t="s">
        <v>5</v>
      </c>
      <c r="C2187" s="148"/>
      <c r="D2187" s="42">
        <f t="shared" ref="D2187:O2187" si="362">SUM(D2172:D2176)-SUM(D2177:D2181)+SUM(D2182:D2185)</f>
        <v>0</v>
      </c>
      <c r="E2187" s="42">
        <f t="shared" si="362"/>
        <v>0</v>
      </c>
      <c r="F2187" s="42">
        <f t="shared" si="362"/>
        <v>0</v>
      </c>
      <c r="G2187" s="42">
        <f t="shared" si="362"/>
        <v>0</v>
      </c>
      <c r="H2187" s="42">
        <f t="shared" si="362"/>
        <v>0</v>
      </c>
      <c r="I2187" s="42">
        <f t="shared" si="362"/>
        <v>0</v>
      </c>
      <c r="J2187" s="42">
        <f t="shared" si="362"/>
        <v>0</v>
      </c>
      <c r="K2187" s="42">
        <f t="shared" si="362"/>
        <v>0</v>
      </c>
      <c r="L2187" s="42">
        <f t="shared" si="362"/>
        <v>0</v>
      </c>
      <c r="M2187" s="42">
        <f t="shared" si="362"/>
        <v>0</v>
      </c>
      <c r="N2187" s="42">
        <f t="shared" si="362"/>
        <v>0</v>
      </c>
      <c r="O2187" s="42">
        <f t="shared" si="362"/>
        <v>0</v>
      </c>
      <c r="P2187" s="44">
        <f>SUM(P2170:P2176)-SUM(P2177:P2181)+SUM(P2182:P2185)</f>
        <v>0</v>
      </c>
      <c r="Q2187" s="46">
        <f t="shared" si="351"/>
        <v>0</v>
      </c>
    </row>
    <row r="2188" spans="1:17">
      <c r="A2188" s="149"/>
      <c r="B2188" s="152" t="s">
        <v>12</v>
      </c>
      <c r="C2188" s="114" t="s">
        <v>84</v>
      </c>
      <c r="D2188" s="87"/>
      <c r="E2188" s="87"/>
      <c r="F2188" s="87"/>
      <c r="G2188" s="87"/>
      <c r="H2188" s="87"/>
      <c r="I2188" s="87"/>
      <c r="J2188" s="87"/>
      <c r="K2188" s="87"/>
      <c r="L2188" s="87"/>
      <c r="M2188" s="87"/>
      <c r="N2188" s="87"/>
      <c r="O2188" s="87"/>
      <c r="P2188" s="30"/>
      <c r="Q2188" s="134">
        <f>SUM(D2188:P2188)</f>
        <v>0</v>
      </c>
    </row>
    <row r="2189" spans="1:17">
      <c r="A2189" s="150"/>
      <c r="B2189" s="153"/>
      <c r="C2189" s="115" t="s">
        <v>85</v>
      </c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28"/>
      <c r="Q2189" s="132">
        <f t="shared" ref="Q2189:Q2204" si="363">SUM(D2189:P2189)</f>
        <v>0</v>
      </c>
    </row>
    <row r="2190" spans="1:17">
      <c r="A2190" s="150"/>
      <c r="B2190" s="153"/>
      <c r="C2190" s="116" t="s">
        <v>86</v>
      </c>
      <c r="D2190" s="91">
        <f t="shared" ref="D2190:O2190" si="364">D2188*D2189</f>
        <v>0</v>
      </c>
      <c r="E2190" s="91">
        <f t="shared" si="364"/>
        <v>0</v>
      </c>
      <c r="F2190" s="91">
        <f t="shared" si="364"/>
        <v>0</v>
      </c>
      <c r="G2190" s="91">
        <f t="shared" si="364"/>
        <v>0</v>
      </c>
      <c r="H2190" s="91">
        <f t="shared" si="364"/>
        <v>0</v>
      </c>
      <c r="I2190" s="91">
        <f t="shared" si="364"/>
        <v>0</v>
      </c>
      <c r="J2190" s="91">
        <f t="shared" si="364"/>
        <v>0</v>
      </c>
      <c r="K2190" s="91">
        <f t="shared" si="364"/>
        <v>0</v>
      </c>
      <c r="L2190" s="91">
        <f t="shared" si="364"/>
        <v>0</v>
      </c>
      <c r="M2190" s="91">
        <f t="shared" si="364"/>
        <v>0</v>
      </c>
      <c r="N2190" s="91">
        <f t="shared" si="364"/>
        <v>0</v>
      </c>
      <c r="O2190" s="91">
        <f t="shared" si="364"/>
        <v>0</v>
      </c>
      <c r="P2190" s="32"/>
      <c r="Q2190" s="132">
        <f t="shared" si="363"/>
        <v>0</v>
      </c>
    </row>
    <row r="2191" spans="1:17">
      <c r="A2191" s="150"/>
      <c r="B2191" s="153"/>
      <c r="C2191" s="117" t="s">
        <v>9</v>
      </c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32"/>
      <c r="Q2191" s="132">
        <f t="shared" si="363"/>
        <v>0</v>
      </c>
    </row>
    <row r="2192" spans="1:17">
      <c r="A2192" s="150"/>
      <c r="B2192" s="153"/>
      <c r="C2192" s="117" t="s">
        <v>38</v>
      </c>
      <c r="D2192" s="89"/>
      <c r="E2192" s="89"/>
      <c r="F2192" s="89"/>
      <c r="G2192" s="89"/>
      <c r="H2192" s="89"/>
      <c r="I2192" s="89"/>
      <c r="J2192" s="89"/>
      <c r="K2192" s="89"/>
      <c r="L2192" s="89"/>
      <c r="M2192" s="89"/>
      <c r="N2192" s="89"/>
      <c r="O2192" s="89"/>
      <c r="P2192" s="28"/>
      <c r="Q2192" s="132">
        <f t="shared" si="363"/>
        <v>0</v>
      </c>
    </row>
    <row r="2193" spans="1:17">
      <c r="A2193" s="150"/>
      <c r="B2193" s="153"/>
      <c r="C2193" s="62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1"/>
      <c r="O2193" s="91"/>
      <c r="P2193" s="32"/>
      <c r="Q2193" s="132">
        <f t="shared" si="363"/>
        <v>0</v>
      </c>
    </row>
    <row r="2194" spans="1:17">
      <c r="A2194" s="150"/>
      <c r="B2194" s="154"/>
      <c r="C2194" s="6" t="s">
        <v>42</v>
      </c>
      <c r="D2194" s="92"/>
      <c r="E2194" s="92"/>
      <c r="F2194" s="92"/>
      <c r="G2194" s="92"/>
      <c r="H2194" s="92"/>
      <c r="I2194" s="92"/>
      <c r="J2194" s="92"/>
      <c r="K2194" s="92"/>
      <c r="L2194" s="92"/>
      <c r="M2194" s="92"/>
      <c r="N2194" s="92"/>
      <c r="O2194" s="92"/>
      <c r="P2194" s="33"/>
      <c r="Q2194" s="135">
        <f t="shared" si="363"/>
        <v>0</v>
      </c>
    </row>
    <row r="2195" spans="1:17">
      <c r="A2195" s="150"/>
      <c r="B2195" s="155" t="s">
        <v>11</v>
      </c>
      <c r="C2195" s="5" t="s">
        <v>7</v>
      </c>
      <c r="D2195" s="94"/>
      <c r="E2195" s="94"/>
      <c r="F2195" s="94"/>
      <c r="G2195" s="94"/>
      <c r="H2195" s="94"/>
      <c r="I2195" s="94"/>
      <c r="J2195" s="94"/>
      <c r="K2195" s="94"/>
      <c r="L2195" s="94"/>
      <c r="M2195" s="94"/>
      <c r="N2195" s="94"/>
      <c r="O2195" s="94"/>
      <c r="P2195" s="27"/>
      <c r="Q2195" s="136">
        <f t="shared" si="363"/>
        <v>0</v>
      </c>
    </row>
    <row r="2196" spans="1:17">
      <c r="A2196" s="150"/>
      <c r="B2196" s="153"/>
      <c r="C2196" s="6" t="s">
        <v>4</v>
      </c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32"/>
      <c r="Q2196" s="132">
        <f t="shared" si="363"/>
        <v>0</v>
      </c>
    </row>
    <row r="2197" spans="1:17">
      <c r="A2197" s="150"/>
      <c r="B2197" s="153"/>
      <c r="C2197" s="6" t="s">
        <v>17</v>
      </c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1"/>
      <c r="O2197" s="91"/>
      <c r="P2197" s="32"/>
      <c r="Q2197" s="132">
        <f t="shared" si="363"/>
        <v>0</v>
      </c>
    </row>
    <row r="2198" spans="1:17">
      <c r="A2198" s="150"/>
      <c r="B2198" s="153"/>
      <c r="C2198" s="6" t="s">
        <v>18</v>
      </c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32"/>
      <c r="Q2198" s="132">
        <f t="shared" si="363"/>
        <v>0</v>
      </c>
    </row>
    <row r="2199" spans="1:17">
      <c r="A2199" s="150"/>
      <c r="B2199" s="153"/>
      <c r="C2199" s="6" t="s">
        <v>60</v>
      </c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1"/>
      <c r="O2199" s="91"/>
      <c r="P2199" s="32"/>
      <c r="Q2199" s="135">
        <f t="shared" si="363"/>
        <v>0</v>
      </c>
    </row>
    <row r="2200" spans="1:17">
      <c r="A2200" s="150"/>
      <c r="B2200" s="155" t="s">
        <v>13</v>
      </c>
      <c r="C2200" s="5" t="s">
        <v>10</v>
      </c>
      <c r="D2200" s="94"/>
      <c r="E2200" s="94"/>
      <c r="F2200" s="94"/>
      <c r="G2200" s="94"/>
      <c r="H2200" s="94"/>
      <c r="I2200" s="94"/>
      <c r="J2200" s="94"/>
      <c r="K2200" s="94"/>
      <c r="L2200" s="94"/>
      <c r="M2200" s="94"/>
      <c r="N2200" s="94"/>
      <c r="O2200" s="94"/>
      <c r="P2200" s="27"/>
      <c r="Q2200" s="131">
        <f t="shared" si="363"/>
        <v>0</v>
      </c>
    </row>
    <row r="2201" spans="1:17">
      <c r="A2201" s="150"/>
      <c r="B2201" s="153"/>
      <c r="C2201" s="116" t="s">
        <v>55</v>
      </c>
      <c r="D2201" s="89"/>
      <c r="E2201" s="89"/>
      <c r="F2201" s="89"/>
      <c r="G2201" s="89"/>
      <c r="H2201" s="89"/>
      <c r="I2201" s="89"/>
      <c r="J2201" s="89"/>
      <c r="K2201" s="89"/>
      <c r="L2201" s="89"/>
      <c r="M2201" s="89"/>
      <c r="N2201" s="89"/>
      <c r="O2201" s="89"/>
      <c r="P2201" s="28"/>
      <c r="Q2201" s="132">
        <f t="shared" si="363"/>
        <v>0</v>
      </c>
    </row>
    <row r="2202" spans="1:17">
      <c r="A2202" s="150"/>
      <c r="B2202" s="153"/>
      <c r="C2202" s="8" t="s">
        <v>56</v>
      </c>
      <c r="D2202" s="89"/>
      <c r="E2202" s="89"/>
      <c r="F2202" s="89"/>
      <c r="G2202" s="89"/>
      <c r="H2202" s="89"/>
      <c r="I2202" s="89"/>
      <c r="J2202" s="89"/>
      <c r="K2202" s="89"/>
      <c r="L2202" s="89"/>
      <c r="M2202" s="89"/>
      <c r="N2202" s="89"/>
      <c r="O2202" s="89"/>
      <c r="P2202" s="28"/>
      <c r="Q2202" s="132">
        <f t="shared" si="363"/>
        <v>0</v>
      </c>
    </row>
    <row r="2203" spans="1:17" ht="14.25" thickBot="1">
      <c r="A2203" s="150"/>
      <c r="B2203" s="154"/>
      <c r="C2203" s="4" t="s">
        <v>61</v>
      </c>
      <c r="D2203" s="92"/>
      <c r="E2203" s="92"/>
      <c r="F2203" s="92"/>
      <c r="G2203" s="92"/>
      <c r="H2203" s="92"/>
      <c r="I2203" s="92"/>
      <c r="J2203" s="92"/>
      <c r="K2203" s="92"/>
      <c r="L2203" s="92"/>
      <c r="M2203" s="92"/>
      <c r="N2203" s="92"/>
      <c r="O2203" s="92"/>
      <c r="P2203" s="33"/>
      <c r="Q2203" s="133">
        <f t="shared" si="363"/>
        <v>0</v>
      </c>
    </row>
    <row r="2204" spans="1:17" ht="14.25" thickBot="1">
      <c r="A2204" s="150"/>
      <c r="B2204" s="156" t="s">
        <v>54</v>
      </c>
      <c r="C2204" s="157"/>
      <c r="D2204" s="56">
        <f>SUM(D2190:D2194)-SUM(D2198:D2199)</f>
        <v>0</v>
      </c>
      <c r="E2204" s="56">
        <f t="shared" ref="E2204:O2204" si="365">SUM(E2190:E2194)-SUM(E2198:E2199)</f>
        <v>0</v>
      </c>
      <c r="F2204" s="56">
        <f t="shared" si="365"/>
        <v>0</v>
      </c>
      <c r="G2204" s="56">
        <f t="shared" si="365"/>
        <v>0</v>
      </c>
      <c r="H2204" s="56">
        <f t="shared" si="365"/>
        <v>0</v>
      </c>
      <c r="I2204" s="56">
        <f t="shared" si="365"/>
        <v>0</v>
      </c>
      <c r="J2204" s="56">
        <f t="shared" si="365"/>
        <v>0</v>
      </c>
      <c r="K2204" s="56">
        <f t="shared" si="365"/>
        <v>0</v>
      </c>
      <c r="L2204" s="56">
        <f t="shared" si="365"/>
        <v>0</v>
      </c>
      <c r="M2204" s="56">
        <f t="shared" si="365"/>
        <v>0</v>
      </c>
      <c r="N2204" s="56">
        <f t="shared" si="365"/>
        <v>0</v>
      </c>
      <c r="O2204" s="56">
        <f t="shared" si="365"/>
        <v>0</v>
      </c>
      <c r="P2204" s="58">
        <f>SUM(P2188:P2194)-SUM(P2198:P2199)</f>
        <v>0</v>
      </c>
      <c r="Q2204" s="130">
        <f t="shared" si="363"/>
        <v>0</v>
      </c>
    </row>
    <row r="2205" spans="1:17" ht="14.25" thickBot="1">
      <c r="A2205" s="151"/>
      <c r="B2205" s="147" t="s">
        <v>5</v>
      </c>
      <c r="C2205" s="148"/>
      <c r="D2205" s="42">
        <f>SUM(D2190:D2194)-SUM(D2195:D2199)+SUM(D2200:D2203)</f>
        <v>0</v>
      </c>
      <c r="E2205" s="42">
        <f t="shared" ref="E2205:O2205" si="366">SUM(E2190:E2194)-SUM(E2195:E2199)+SUM(E2200:E2203)</f>
        <v>0</v>
      </c>
      <c r="F2205" s="42">
        <f t="shared" si="366"/>
        <v>0</v>
      </c>
      <c r="G2205" s="42">
        <f t="shared" si="366"/>
        <v>0</v>
      </c>
      <c r="H2205" s="42">
        <f t="shared" si="366"/>
        <v>0</v>
      </c>
      <c r="I2205" s="42">
        <f t="shared" si="366"/>
        <v>0</v>
      </c>
      <c r="J2205" s="42">
        <f t="shared" si="366"/>
        <v>0</v>
      </c>
      <c r="K2205" s="42">
        <f t="shared" si="366"/>
        <v>0</v>
      </c>
      <c r="L2205" s="42">
        <f t="shared" si="366"/>
        <v>0</v>
      </c>
      <c r="M2205" s="42">
        <f t="shared" si="366"/>
        <v>0</v>
      </c>
      <c r="N2205" s="42">
        <f t="shared" si="366"/>
        <v>0</v>
      </c>
      <c r="O2205" s="42">
        <f t="shared" si="366"/>
        <v>0</v>
      </c>
      <c r="P2205" s="44">
        <f>SUM(P2188:P2194)-SUM(P2195:P2199)+SUM(P2200:P2203)</f>
        <v>0</v>
      </c>
      <c r="Q2205" s="46">
        <f>SUM(D2205:P2205)</f>
        <v>0</v>
      </c>
    </row>
    <row r="2206" spans="1:17">
      <c r="A2206" s="149"/>
      <c r="B2206" s="152" t="s">
        <v>12</v>
      </c>
      <c r="C2206" s="114" t="s">
        <v>84</v>
      </c>
      <c r="D2206" s="87"/>
      <c r="E2206" s="87"/>
      <c r="F2206" s="87"/>
      <c r="G2206" s="87"/>
      <c r="H2206" s="87"/>
      <c r="I2206" s="87"/>
      <c r="J2206" s="87"/>
      <c r="K2206" s="87"/>
      <c r="L2206" s="87"/>
      <c r="M2206" s="87"/>
      <c r="N2206" s="87"/>
      <c r="O2206" s="87"/>
      <c r="P2206" s="30"/>
      <c r="Q2206" s="134">
        <f>SUM(D2206:P2206)</f>
        <v>0</v>
      </c>
    </row>
    <row r="2207" spans="1:17">
      <c r="A2207" s="150"/>
      <c r="B2207" s="153"/>
      <c r="C2207" s="115" t="s">
        <v>85</v>
      </c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28"/>
      <c r="Q2207" s="132">
        <f t="shared" ref="Q2207:Q2222" si="367">SUM(D2207:P2207)</f>
        <v>0</v>
      </c>
    </row>
    <row r="2208" spans="1:17">
      <c r="A2208" s="150"/>
      <c r="B2208" s="153"/>
      <c r="C2208" s="116" t="s">
        <v>86</v>
      </c>
      <c r="D2208" s="91">
        <f t="shared" ref="D2208:O2208" si="368">D2206*D2207</f>
        <v>0</v>
      </c>
      <c r="E2208" s="91">
        <f t="shared" si="368"/>
        <v>0</v>
      </c>
      <c r="F2208" s="91">
        <f t="shared" si="368"/>
        <v>0</v>
      </c>
      <c r="G2208" s="91">
        <f t="shared" si="368"/>
        <v>0</v>
      </c>
      <c r="H2208" s="91">
        <f t="shared" si="368"/>
        <v>0</v>
      </c>
      <c r="I2208" s="91">
        <f t="shared" si="368"/>
        <v>0</v>
      </c>
      <c r="J2208" s="91">
        <f t="shared" si="368"/>
        <v>0</v>
      </c>
      <c r="K2208" s="91">
        <f t="shared" si="368"/>
        <v>0</v>
      </c>
      <c r="L2208" s="91">
        <f t="shared" si="368"/>
        <v>0</v>
      </c>
      <c r="M2208" s="91">
        <f t="shared" si="368"/>
        <v>0</v>
      </c>
      <c r="N2208" s="91">
        <f t="shared" si="368"/>
        <v>0</v>
      </c>
      <c r="O2208" s="91">
        <f t="shared" si="368"/>
        <v>0</v>
      </c>
      <c r="P2208" s="32"/>
      <c r="Q2208" s="132">
        <f t="shared" si="367"/>
        <v>0</v>
      </c>
    </row>
    <row r="2209" spans="1:17">
      <c r="A2209" s="150"/>
      <c r="B2209" s="153"/>
      <c r="C2209" s="117" t="s">
        <v>9</v>
      </c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32"/>
      <c r="Q2209" s="132">
        <f t="shared" si="367"/>
        <v>0</v>
      </c>
    </row>
    <row r="2210" spans="1:17">
      <c r="A2210" s="150"/>
      <c r="B2210" s="153"/>
      <c r="C2210" s="117" t="s">
        <v>38</v>
      </c>
      <c r="D2210" s="89"/>
      <c r="E2210" s="89"/>
      <c r="F2210" s="89"/>
      <c r="G2210" s="89"/>
      <c r="H2210" s="89"/>
      <c r="I2210" s="89"/>
      <c r="J2210" s="89"/>
      <c r="K2210" s="89"/>
      <c r="L2210" s="89"/>
      <c r="M2210" s="89"/>
      <c r="N2210" s="89"/>
      <c r="O2210" s="89"/>
      <c r="P2210" s="28"/>
      <c r="Q2210" s="132">
        <f t="shared" si="367"/>
        <v>0</v>
      </c>
    </row>
    <row r="2211" spans="1:17">
      <c r="A2211" s="150"/>
      <c r="B2211" s="153"/>
      <c r="C2211" s="62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32"/>
      <c r="Q2211" s="132">
        <f t="shared" si="367"/>
        <v>0</v>
      </c>
    </row>
    <row r="2212" spans="1:17">
      <c r="A2212" s="150"/>
      <c r="B2212" s="154"/>
      <c r="C2212" s="6" t="s">
        <v>42</v>
      </c>
      <c r="D2212" s="92"/>
      <c r="E2212" s="92"/>
      <c r="F2212" s="92"/>
      <c r="G2212" s="92"/>
      <c r="H2212" s="92"/>
      <c r="I2212" s="92"/>
      <c r="J2212" s="92"/>
      <c r="K2212" s="92"/>
      <c r="L2212" s="92"/>
      <c r="M2212" s="92"/>
      <c r="N2212" s="92"/>
      <c r="O2212" s="92"/>
      <c r="P2212" s="33"/>
      <c r="Q2212" s="135">
        <f t="shared" si="367"/>
        <v>0</v>
      </c>
    </row>
    <row r="2213" spans="1:17">
      <c r="A2213" s="150"/>
      <c r="B2213" s="155" t="s">
        <v>11</v>
      </c>
      <c r="C2213" s="5" t="s">
        <v>7</v>
      </c>
      <c r="D2213" s="94"/>
      <c r="E2213" s="94"/>
      <c r="F2213" s="94"/>
      <c r="G2213" s="94"/>
      <c r="H2213" s="94"/>
      <c r="I2213" s="94"/>
      <c r="J2213" s="94"/>
      <c r="K2213" s="94"/>
      <c r="L2213" s="94"/>
      <c r="M2213" s="94"/>
      <c r="N2213" s="94"/>
      <c r="O2213" s="94"/>
      <c r="P2213" s="27"/>
      <c r="Q2213" s="136">
        <f t="shared" si="367"/>
        <v>0</v>
      </c>
    </row>
    <row r="2214" spans="1:17">
      <c r="A2214" s="150"/>
      <c r="B2214" s="153"/>
      <c r="C2214" s="6" t="s">
        <v>4</v>
      </c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32"/>
      <c r="Q2214" s="132">
        <f t="shared" si="367"/>
        <v>0</v>
      </c>
    </row>
    <row r="2215" spans="1:17">
      <c r="A2215" s="150"/>
      <c r="B2215" s="153"/>
      <c r="C2215" s="6" t="s">
        <v>17</v>
      </c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32"/>
      <c r="Q2215" s="132">
        <f t="shared" si="367"/>
        <v>0</v>
      </c>
    </row>
    <row r="2216" spans="1:17">
      <c r="A2216" s="150"/>
      <c r="B2216" s="153"/>
      <c r="C2216" s="6" t="s">
        <v>18</v>
      </c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32"/>
      <c r="Q2216" s="132">
        <f t="shared" si="367"/>
        <v>0</v>
      </c>
    </row>
    <row r="2217" spans="1:17">
      <c r="A2217" s="150"/>
      <c r="B2217" s="153"/>
      <c r="C2217" s="6" t="s">
        <v>60</v>
      </c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32"/>
      <c r="Q2217" s="135">
        <f t="shared" si="367"/>
        <v>0</v>
      </c>
    </row>
    <row r="2218" spans="1:17">
      <c r="A2218" s="150"/>
      <c r="B2218" s="155" t="s">
        <v>13</v>
      </c>
      <c r="C2218" s="5" t="s">
        <v>10</v>
      </c>
      <c r="D2218" s="94"/>
      <c r="E2218" s="94"/>
      <c r="F2218" s="94"/>
      <c r="G2218" s="94"/>
      <c r="H2218" s="94"/>
      <c r="I2218" s="94"/>
      <c r="J2218" s="94"/>
      <c r="K2218" s="94"/>
      <c r="L2218" s="94"/>
      <c r="M2218" s="94"/>
      <c r="N2218" s="94"/>
      <c r="O2218" s="94"/>
      <c r="P2218" s="27"/>
      <c r="Q2218" s="131">
        <f t="shared" si="367"/>
        <v>0</v>
      </c>
    </row>
    <row r="2219" spans="1:17">
      <c r="A2219" s="150"/>
      <c r="B2219" s="153"/>
      <c r="C2219" s="116" t="s">
        <v>55</v>
      </c>
      <c r="D2219" s="89"/>
      <c r="E2219" s="89"/>
      <c r="F2219" s="89"/>
      <c r="G2219" s="89"/>
      <c r="H2219" s="89"/>
      <c r="I2219" s="89"/>
      <c r="J2219" s="89"/>
      <c r="K2219" s="89"/>
      <c r="L2219" s="89"/>
      <c r="M2219" s="89"/>
      <c r="N2219" s="89"/>
      <c r="O2219" s="89"/>
      <c r="P2219" s="28"/>
      <c r="Q2219" s="132">
        <f t="shared" si="367"/>
        <v>0</v>
      </c>
    </row>
    <row r="2220" spans="1:17">
      <c r="A2220" s="150"/>
      <c r="B2220" s="153"/>
      <c r="C2220" s="8" t="s">
        <v>56</v>
      </c>
      <c r="D2220" s="89"/>
      <c r="E2220" s="89"/>
      <c r="F2220" s="89"/>
      <c r="G2220" s="89"/>
      <c r="H2220" s="89"/>
      <c r="I2220" s="89"/>
      <c r="J2220" s="89"/>
      <c r="K2220" s="89"/>
      <c r="L2220" s="89"/>
      <c r="M2220" s="89"/>
      <c r="N2220" s="89"/>
      <c r="O2220" s="89"/>
      <c r="P2220" s="28"/>
      <c r="Q2220" s="132">
        <f t="shared" si="367"/>
        <v>0</v>
      </c>
    </row>
    <row r="2221" spans="1:17" ht="14.25" thickBot="1">
      <c r="A2221" s="150"/>
      <c r="B2221" s="154"/>
      <c r="C2221" s="4" t="s">
        <v>61</v>
      </c>
      <c r="D2221" s="92"/>
      <c r="E2221" s="92"/>
      <c r="F2221" s="92"/>
      <c r="G2221" s="92"/>
      <c r="H2221" s="92"/>
      <c r="I2221" s="92"/>
      <c r="J2221" s="92"/>
      <c r="K2221" s="92"/>
      <c r="L2221" s="92"/>
      <c r="M2221" s="92"/>
      <c r="N2221" s="92"/>
      <c r="O2221" s="92"/>
      <c r="P2221" s="33"/>
      <c r="Q2221" s="133">
        <f t="shared" si="367"/>
        <v>0</v>
      </c>
    </row>
    <row r="2222" spans="1:17" ht="14.25" thickBot="1">
      <c r="A2222" s="150"/>
      <c r="B2222" s="156" t="s">
        <v>54</v>
      </c>
      <c r="C2222" s="157"/>
      <c r="D2222" s="56">
        <f>SUM(D2208:D2212)-SUM(D2216:D2217)</f>
        <v>0</v>
      </c>
      <c r="E2222" s="56">
        <f t="shared" ref="E2222:O2222" si="369">SUM(E2208:E2212)-SUM(E2216:E2217)</f>
        <v>0</v>
      </c>
      <c r="F2222" s="56">
        <f t="shared" si="369"/>
        <v>0</v>
      </c>
      <c r="G2222" s="56">
        <f t="shared" si="369"/>
        <v>0</v>
      </c>
      <c r="H2222" s="56">
        <f t="shared" si="369"/>
        <v>0</v>
      </c>
      <c r="I2222" s="56">
        <f t="shared" si="369"/>
        <v>0</v>
      </c>
      <c r="J2222" s="56">
        <f t="shared" si="369"/>
        <v>0</v>
      </c>
      <c r="K2222" s="56">
        <f t="shared" si="369"/>
        <v>0</v>
      </c>
      <c r="L2222" s="56">
        <f t="shared" si="369"/>
        <v>0</v>
      </c>
      <c r="M2222" s="56">
        <f t="shared" si="369"/>
        <v>0</v>
      </c>
      <c r="N2222" s="56">
        <f t="shared" si="369"/>
        <v>0</v>
      </c>
      <c r="O2222" s="56">
        <f t="shared" si="369"/>
        <v>0</v>
      </c>
      <c r="P2222" s="58">
        <f>SUM(P2206:P2212)-SUM(P2216:P2217)</f>
        <v>0</v>
      </c>
      <c r="Q2222" s="130">
        <f t="shared" si="367"/>
        <v>0</v>
      </c>
    </row>
    <row r="2223" spans="1:17" ht="14.25" thickBot="1">
      <c r="A2223" s="151"/>
      <c r="B2223" s="147" t="s">
        <v>5</v>
      </c>
      <c r="C2223" s="148"/>
      <c r="D2223" s="42">
        <f>SUM(D2208:D2212)-SUM(D2213:D2217)+SUM(D2218:D2221)</f>
        <v>0</v>
      </c>
      <c r="E2223" s="42">
        <f t="shared" ref="E2223:O2223" si="370">SUM(E2208:E2212)-SUM(E2213:E2217)+SUM(E2218:E2221)</f>
        <v>0</v>
      </c>
      <c r="F2223" s="42">
        <f t="shared" si="370"/>
        <v>0</v>
      </c>
      <c r="G2223" s="42">
        <f t="shared" si="370"/>
        <v>0</v>
      </c>
      <c r="H2223" s="42">
        <f t="shared" si="370"/>
        <v>0</v>
      </c>
      <c r="I2223" s="42">
        <f t="shared" si="370"/>
        <v>0</v>
      </c>
      <c r="J2223" s="42">
        <f t="shared" si="370"/>
        <v>0</v>
      </c>
      <c r="K2223" s="42">
        <f t="shared" si="370"/>
        <v>0</v>
      </c>
      <c r="L2223" s="42">
        <f t="shared" si="370"/>
        <v>0</v>
      </c>
      <c r="M2223" s="42">
        <f t="shared" si="370"/>
        <v>0</v>
      </c>
      <c r="N2223" s="42">
        <f t="shared" si="370"/>
        <v>0</v>
      </c>
      <c r="O2223" s="42">
        <f t="shared" si="370"/>
        <v>0</v>
      </c>
      <c r="P2223" s="44">
        <f>SUM(P2206:P2212)-SUM(P2213:P2217)+SUM(P2218:P2221)</f>
        <v>0</v>
      </c>
      <c r="Q2223" s="46">
        <f>SUM(D2223:P2223)</f>
        <v>0</v>
      </c>
    </row>
    <row r="2224" spans="1:17">
      <c r="A2224" s="149"/>
      <c r="B2224" s="152" t="s">
        <v>12</v>
      </c>
      <c r="C2224" s="114" t="s">
        <v>84</v>
      </c>
      <c r="D2224" s="87"/>
      <c r="E2224" s="87"/>
      <c r="F2224" s="87"/>
      <c r="G2224" s="87"/>
      <c r="H2224" s="87"/>
      <c r="I2224" s="87"/>
      <c r="J2224" s="87"/>
      <c r="K2224" s="87"/>
      <c r="L2224" s="87"/>
      <c r="M2224" s="87"/>
      <c r="N2224" s="87"/>
      <c r="O2224" s="87"/>
      <c r="P2224" s="30"/>
      <c r="Q2224" s="134">
        <f>SUM(D2224:P2224)</f>
        <v>0</v>
      </c>
    </row>
    <row r="2225" spans="1:17">
      <c r="A2225" s="150"/>
      <c r="B2225" s="153"/>
      <c r="C2225" s="115" t="s">
        <v>85</v>
      </c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28"/>
      <c r="Q2225" s="132">
        <f t="shared" ref="Q2225:Q2240" si="371">SUM(D2225:P2225)</f>
        <v>0</v>
      </c>
    </row>
    <row r="2226" spans="1:17">
      <c r="A2226" s="150"/>
      <c r="B2226" s="153"/>
      <c r="C2226" s="116" t="s">
        <v>86</v>
      </c>
      <c r="D2226" s="91">
        <f t="shared" ref="D2226:O2226" si="372">D2224*D2225</f>
        <v>0</v>
      </c>
      <c r="E2226" s="91">
        <f t="shared" si="372"/>
        <v>0</v>
      </c>
      <c r="F2226" s="91">
        <f t="shared" si="372"/>
        <v>0</v>
      </c>
      <c r="G2226" s="91">
        <f t="shared" si="372"/>
        <v>0</v>
      </c>
      <c r="H2226" s="91">
        <f t="shared" si="372"/>
        <v>0</v>
      </c>
      <c r="I2226" s="91">
        <f t="shared" si="372"/>
        <v>0</v>
      </c>
      <c r="J2226" s="91">
        <f t="shared" si="372"/>
        <v>0</v>
      </c>
      <c r="K2226" s="91">
        <f t="shared" si="372"/>
        <v>0</v>
      </c>
      <c r="L2226" s="91">
        <f t="shared" si="372"/>
        <v>0</v>
      </c>
      <c r="M2226" s="91">
        <f t="shared" si="372"/>
        <v>0</v>
      </c>
      <c r="N2226" s="91">
        <f t="shared" si="372"/>
        <v>0</v>
      </c>
      <c r="O2226" s="91">
        <f t="shared" si="372"/>
        <v>0</v>
      </c>
      <c r="P2226" s="32"/>
      <c r="Q2226" s="132">
        <f t="shared" si="371"/>
        <v>0</v>
      </c>
    </row>
    <row r="2227" spans="1:17">
      <c r="A2227" s="150"/>
      <c r="B2227" s="153"/>
      <c r="C2227" s="117" t="s">
        <v>9</v>
      </c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1"/>
      <c r="O2227" s="91"/>
      <c r="P2227" s="32"/>
      <c r="Q2227" s="132">
        <f t="shared" si="371"/>
        <v>0</v>
      </c>
    </row>
    <row r="2228" spans="1:17">
      <c r="A2228" s="150"/>
      <c r="B2228" s="153"/>
      <c r="C2228" s="117" t="s">
        <v>38</v>
      </c>
      <c r="D2228" s="89"/>
      <c r="E2228" s="89"/>
      <c r="F2228" s="89"/>
      <c r="G2228" s="89"/>
      <c r="H2228" s="89"/>
      <c r="I2228" s="89"/>
      <c r="J2228" s="89"/>
      <c r="K2228" s="89"/>
      <c r="L2228" s="89"/>
      <c r="M2228" s="89"/>
      <c r="N2228" s="89"/>
      <c r="O2228" s="89"/>
      <c r="P2228" s="28"/>
      <c r="Q2228" s="132">
        <f t="shared" si="371"/>
        <v>0</v>
      </c>
    </row>
    <row r="2229" spans="1:17">
      <c r="A2229" s="150"/>
      <c r="B2229" s="153"/>
      <c r="C2229" s="62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1"/>
      <c r="O2229" s="91"/>
      <c r="P2229" s="32"/>
      <c r="Q2229" s="132">
        <f t="shared" si="371"/>
        <v>0</v>
      </c>
    </row>
    <row r="2230" spans="1:17">
      <c r="A2230" s="150"/>
      <c r="B2230" s="154"/>
      <c r="C2230" s="6" t="s">
        <v>42</v>
      </c>
      <c r="D2230" s="92"/>
      <c r="E2230" s="92"/>
      <c r="F2230" s="92"/>
      <c r="G2230" s="92"/>
      <c r="H2230" s="92"/>
      <c r="I2230" s="92"/>
      <c r="J2230" s="92"/>
      <c r="K2230" s="92"/>
      <c r="L2230" s="92"/>
      <c r="M2230" s="92"/>
      <c r="N2230" s="92"/>
      <c r="O2230" s="92"/>
      <c r="P2230" s="33"/>
      <c r="Q2230" s="135">
        <f t="shared" si="371"/>
        <v>0</v>
      </c>
    </row>
    <row r="2231" spans="1:17">
      <c r="A2231" s="150"/>
      <c r="B2231" s="155" t="s">
        <v>11</v>
      </c>
      <c r="C2231" s="5" t="s">
        <v>7</v>
      </c>
      <c r="D2231" s="94"/>
      <c r="E2231" s="94"/>
      <c r="F2231" s="94"/>
      <c r="G2231" s="94"/>
      <c r="H2231" s="94"/>
      <c r="I2231" s="94"/>
      <c r="J2231" s="94"/>
      <c r="K2231" s="94"/>
      <c r="L2231" s="94"/>
      <c r="M2231" s="94"/>
      <c r="N2231" s="94"/>
      <c r="O2231" s="94"/>
      <c r="P2231" s="27"/>
      <c r="Q2231" s="136">
        <f t="shared" si="371"/>
        <v>0</v>
      </c>
    </row>
    <row r="2232" spans="1:17">
      <c r="A2232" s="150"/>
      <c r="B2232" s="153"/>
      <c r="C2232" s="6" t="s">
        <v>4</v>
      </c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32"/>
      <c r="Q2232" s="132">
        <f t="shared" si="371"/>
        <v>0</v>
      </c>
    </row>
    <row r="2233" spans="1:17">
      <c r="A2233" s="150"/>
      <c r="B2233" s="153"/>
      <c r="C2233" s="6" t="s">
        <v>17</v>
      </c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1"/>
      <c r="O2233" s="91"/>
      <c r="P2233" s="32"/>
      <c r="Q2233" s="132">
        <f t="shared" si="371"/>
        <v>0</v>
      </c>
    </row>
    <row r="2234" spans="1:17">
      <c r="A2234" s="150"/>
      <c r="B2234" s="153"/>
      <c r="C2234" s="6" t="s">
        <v>18</v>
      </c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32"/>
      <c r="Q2234" s="132">
        <f t="shared" si="371"/>
        <v>0</v>
      </c>
    </row>
    <row r="2235" spans="1:17">
      <c r="A2235" s="150"/>
      <c r="B2235" s="153"/>
      <c r="C2235" s="6" t="s">
        <v>60</v>
      </c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1"/>
      <c r="O2235" s="91"/>
      <c r="P2235" s="32"/>
      <c r="Q2235" s="135">
        <f t="shared" si="371"/>
        <v>0</v>
      </c>
    </row>
    <row r="2236" spans="1:17">
      <c r="A2236" s="150"/>
      <c r="B2236" s="155" t="s">
        <v>13</v>
      </c>
      <c r="C2236" s="5" t="s">
        <v>10</v>
      </c>
      <c r="D2236" s="94"/>
      <c r="E2236" s="94"/>
      <c r="F2236" s="94"/>
      <c r="G2236" s="94"/>
      <c r="H2236" s="94"/>
      <c r="I2236" s="94"/>
      <c r="J2236" s="94"/>
      <c r="K2236" s="94"/>
      <c r="L2236" s="94"/>
      <c r="M2236" s="94"/>
      <c r="N2236" s="94"/>
      <c r="O2236" s="94"/>
      <c r="P2236" s="27"/>
      <c r="Q2236" s="131">
        <f t="shared" si="371"/>
        <v>0</v>
      </c>
    </row>
    <row r="2237" spans="1:17">
      <c r="A2237" s="150"/>
      <c r="B2237" s="153"/>
      <c r="C2237" s="116" t="s">
        <v>55</v>
      </c>
      <c r="D2237" s="89"/>
      <c r="E2237" s="89"/>
      <c r="F2237" s="89"/>
      <c r="G2237" s="89"/>
      <c r="H2237" s="89"/>
      <c r="I2237" s="89"/>
      <c r="J2237" s="89"/>
      <c r="K2237" s="89"/>
      <c r="L2237" s="89"/>
      <c r="M2237" s="89"/>
      <c r="N2237" s="89"/>
      <c r="O2237" s="89"/>
      <c r="P2237" s="28"/>
      <c r="Q2237" s="132">
        <f t="shared" si="371"/>
        <v>0</v>
      </c>
    </row>
    <row r="2238" spans="1:17">
      <c r="A2238" s="150"/>
      <c r="B2238" s="153"/>
      <c r="C2238" s="8" t="s">
        <v>56</v>
      </c>
      <c r="D2238" s="89"/>
      <c r="E2238" s="89"/>
      <c r="F2238" s="89"/>
      <c r="G2238" s="89"/>
      <c r="H2238" s="89"/>
      <c r="I2238" s="89"/>
      <c r="J2238" s="89"/>
      <c r="K2238" s="89"/>
      <c r="L2238" s="89"/>
      <c r="M2238" s="89"/>
      <c r="N2238" s="89"/>
      <c r="O2238" s="89"/>
      <c r="P2238" s="28"/>
      <c r="Q2238" s="132">
        <f t="shared" si="371"/>
        <v>0</v>
      </c>
    </row>
    <row r="2239" spans="1:17" ht="14.25" thickBot="1">
      <c r="A2239" s="150"/>
      <c r="B2239" s="154"/>
      <c r="C2239" s="4" t="s">
        <v>61</v>
      </c>
      <c r="D2239" s="92"/>
      <c r="E2239" s="92"/>
      <c r="F2239" s="92"/>
      <c r="G2239" s="92"/>
      <c r="H2239" s="92"/>
      <c r="I2239" s="92"/>
      <c r="J2239" s="92"/>
      <c r="K2239" s="92"/>
      <c r="L2239" s="92"/>
      <c r="M2239" s="92"/>
      <c r="N2239" s="92"/>
      <c r="O2239" s="92"/>
      <c r="P2239" s="33"/>
      <c r="Q2239" s="133">
        <f t="shared" si="371"/>
        <v>0</v>
      </c>
    </row>
    <row r="2240" spans="1:17" ht="14.25" thickBot="1">
      <c r="A2240" s="150"/>
      <c r="B2240" s="156" t="s">
        <v>54</v>
      </c>
      <c r="C2240" s="157"/>
      <c r="D2240" s="56">
        <f>SUM(D2226:D2230)-SUM(D2234:D2235)</f>
        <v>0</v>
      </c>
      <c r="E2240" s="56">
        <f t="shared" ref="E2240:O2240" si="373">SUM(E2226:E2230)-SUM(E2234:E2235)</f>
        <v>0</v>
      </c>
      <c r="F2240" s="56">
        <f t="shared" si="373"/>
        <v>0</v>
      </c>
      <c r="G2240" s="56">
        <f t="shared" si="373"/>
        <v>0</v>
      </c>
      <c r="H2240" s="56">
        <f t="shared" si="373"/>
        <v>0</v>
      </c>
      <c r="I2240" s="56">
        <f t="shared" si="373"/>
        <v>0</v>
      </c>
      <c r="J2240" s="56">
        <f t="shared" si="373"/>
        <v>0</v>
      </c>
      <c r="K2240" s="56">
        <f t="shared" si="373"/>
        <v>0</v>
      </c>
      <c r="L2240" s="56">
        <f t="shared" si="373"/>
        <v>0</v>
      </c>
      <c r="M2240" s="56">
        <f t="shared" si="373"/>
        <v>0</v>
      </c>
      <c r="N2240" s="56">
        <f t="shared" si="373"/>
        <v>0</v>
      </c>
      <c r="O2240" s="56">
        <f t="shared" si="373"/>
        <v>0</v>
      </c>
      <c r="P2240" s="58">
        <f>SUM(P2224:P2230)-SUM(P2234:P2235)</f>
        <v>0</v>
      </c>
      <c r="Q2240" s="130">
        <f t="shared" si="371"/>
        <v>0</v>
      </c>
    </row>
    <row r="2241" spans="1:17" ht="14.25" thickBot="1">
      <c r="A2241" s="151"/>
      <c r="B2241" s="147" t="s">
        <v>5</v>
      </c>
      <c r="C2241" s="148"/>
      <c r="D2241" s="42">
        <f>SUM(D2226:D2230)-SUM(D2231:D2235)+SUM(D2236:D2239)</f>
        <v>0</v>
      </c>
      <c r="E2241" s="42">
        <f t="shared" ref="E2241:O2241" si="374">SUM(E2226:E2230)-SUM(E2231:E2235)+SUM(E2236:E2239)</f>
        <v>0</v>
      </c>
      <c r="F2241" s="42">
        <f t="shared" si="374"/>
        <v>0</v>
      </c>
      <c r="G2241" s="42">
        <f t="shared" si="374"/>
        <v>0</v>
      </c>
      <c r="H2241" s="42">
        <f t="shared" si="374"/>
        <v>0</v>
      </c>
      <c r="I2241" s="42">
        <f t="shared" si="374"/>
        <v>0</v>
      </c>
      <c r="J2241" s="42">
        <f t="shared" si="374"/>
        <v>0</v>
      </c>
      <c r="K2241" s="42">
        <f t="shared" si="374"/>
        <v>0</v>
      </c>
      <c r="L2241" s="42">
        <f t="shared" si="374"/>
        <v>0</v>
      </c>
      <c r="M2241" s="42">
        <f t="shared" si="374"/>
        <v>0</v>
      </c>
      <c r="N2241" s="42">
        <f t="shared" si="374"/>
        <v>0</v>
      </c>
      <c r="O2241" s="42">
        <f t="shared" si="374"/>
        <v>0</v>
      </c>
      <c r="P2241" s="44">
        <f>SUM(P2224:P2230)-SUM(P2231:P2235)+SUM(P2236:P2239)</f>
        <v>0</v>
      </c>
      <c r="Q2241" s="46">
        <f>SUM(D2241:P2241)</f>
        <v>0</v>
      </c>
    </row>
    <row r="2242" spans="1:17">
      <c r="A2242" s="149"/>
      <c r="B2242" s="152" t="s">
        <v>12</v>
      </c>
      <c r="C2242" s="114" t="s">
        <v>84</v>
      </c>
      <c r="D2242" s="87"/>
      <c r="E2242" s="87"/>
      <c r="F2242" s="87"/>
      <c r="G2242" s="87"/>
      <c r="H2242" s="87"/>
      <c r="I2242" s="87"/>
      <c r="J2242" s="87"/>
      <c r="K2242" s="87"/>
      <c r="L2242" s="87"/>
      <c r="M2242" s="87"/>
      <c r="N2242" s="87"/>
      <c r="O2242" s="87"/>
      <c r="P2242" s="30"/>
      <c r="Q2242" s="134">
        <f>SUM(D2242:P2242)</f>
        <v>0</v>
      </c>
    </row>
    <row r="2243" spans="1:17">
      <c r="A2243" s="150"/>
      <c r="B2243" s="153"/>
      <c r="C2243" s="115" t="s">
        <v>85</v>
      </c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28"/>
      <c r="Q2243" s="132">
        <f t="shared" ref="Q2243:Q2258" si="375">SUM(D2243:P2243)</f>
        <v>0</v>
      </c>
    </row>
    <row r="2244" spans="1:17">
      <c r="A2244" s="150"/>
      <c r="B2244" s="153"/>
      <c r="C2244" s="116" t="s">
        <v>86</v>
      </c>
      <c r="D2244" s="91">
        <f t="shared" ref="D2244:O2244" si="376">D2242*D2243</f>
        <v>0</v>
      </c>
      <c r="E2244" s="91">
        <f t="shared" si="376"/>
        <v>0</v>
      </c>
      <c r="F2244" s="91">
        <f t="shared" si="376"/>
        <v>0</v>
      </c>
      <c r="G2244" s="91">
        <f t="shared" si="376"/>
        <v>0</v>
      </c>
      <c r="H2244" s="91">
        <f t="shared" si="376"/>
        <v>0</v>
      </c>
      <c r="I2244" s="91">
        <f t="shared" si="376"/>
        <v>0</v>
      </c>
      <c r="J2244" s="91">
        <f t="shared" si="376"/>
        <v>0</v>
      </c>
      <c r="K2244" s="91">
        <f t="shared" si="376"/>
        <v>0</v>
      </c>
      <c r="L2244" s="91">
        <f t="shared" si="376"/>
        <v>0</v>
      </c>
      <c r="M2244" s="91">
        <f t="shared" si="376"/>
        <v>0</v>
      </c>
      <c r="N2244" s="91">
        <f t="shared" si="376"/>
        <v>0</v>
      </c>
      <c r="O2244" s="91">
        <f t="shared" si="376"/>
        <v>0</v>
      </c>
      <c r="P2244" s="32"/>
      <c r="Q2244" s="132">
        <f t="shared" si="375"/>
        <v>0</v>
      </c>
    </row>
    <row r="2245" spans="1:17">
      <c r="A2245" s="150"/>
      <c r="B2245" s="153"/>
      <c r="C2245" s="117" t="s">
        <v>9</v>
      </c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32"/>
      <c r="Q2245" s="132">
        <f t="shared" si="375"/>
        <v>0</v>
      </c>
    </row>
    <row r="2246" spans="1:17">
      <c r="A2246" s="150"/>
      <c r="B2246" s="153"/>
      <c r="C2246" s="117" t="s">
        <v>38</v>
      </c>
      <c r="D2246" s="89"/>
      <c r="E2246" s="89"/>
      <c r="F2246" s="89"/>
      <c r="G2246" s="89"/>
      <c r="H2246" s="89"/>
      <c r="I2246" s="89"/>
      <c r="J2246" s="89"/>
      <c r="K2246" s="89"/>
      <c r="L2246" s="89"/>
      <c r="M2246" s="89"/>
      <c r="N2246" s="89"/>
      <c r="O2246" s="89"/>
      <c r="P2246" s="28"/>
      <c r="Q2246" s="132">
        <f t="shared" si="375"/>
        <v>0</v>
      </c>
    </row>
    <row r="2247" spans="1:17">
      <c r="A2247" s="150"/>
      <c r="B2247" s="153"/>
      <c r="C2247" s="62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32"/>
      <c r="Q2247" s="132">
        <f t="shared" si="375"/>
        <v>0</v>
      </c>
    </row>
    <row r="2248" spans="1:17">
      <c r="A2248" s="150"/>
      <c r="B2248" s="154"/>
      <c r="C2248" s="6" t="s">
        <v>42</v>
      </c>
      <c r="D2248" s="92"/>
      <c r="E2248" s="92"/>
      <c r="F2248" s="92"/>
      <c r="G2248" s="92"/>
      <c r="H2248" s="92"/>
      <c r="I2248" s="92"/>
      <c r="J2248" s="92"/>
      <c r="K2248" s="92"/>
      <c r="L2248" s="92"/>
      <c r="M2248" s="92"/>
      <c r="N2248" s="92"/>
      <c r="O2248" s="92"/>
      <c r="P2248" s="33"/>
      <c r="Q2248" s="135">
        <f t="shared" si="375"/>
        <v>0</v>
      </c>
    </row>
    <row r="2249" spans="1:17">
      <c r="A2249" s="150"/>
      <c r="B2249" s="155" t="s">
        <v>11</v>
      </c>
      <c r="C2249" s="5" t="s">
        <v>7</v>
      </c>
      <c r="D2249" s="94"/>
      <c r="E2249" s="94"/>
      <c r="F2249" s="94"/>
      <c r="G2249" s="94"/>
      <c r="H2249" s="94"/>
      <c r="I2249" s="94"/>
      <c r="J2249" s="94"/>
      <c r="K2249" s="94"/>
      <c r="L2249" s="94"/>
      <c r="M2249" s="94"/>
      <c r="N2249" s="94"/>
      <c r="O2249" s="94"/>
      <c r="P2249" s="27"/>
      <c r="Q2249" s="136">
        <f t="shared" si="375"/>
        <v>0</v>
      </c>
    </row>
    <row r="2250" spans="1:17">
      <c r="A2250" s="150"/>
      <c r="B2250" s="153"/>
      <c r="C2250" s="6" t="s">
        <v>4</v>
      </c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32"/>
      <c r="Q2250" s="132">
        <f t="shared" si="375"/>
        <v>0</v>
      </c>
    </row>
    <row r="2251" spans="1:17">
      <c r="A2251" s="150"/>
      <c r="B2251" s="153"/>
      <c r="C2251" s="6" t="s">
        <v>17</v>
      </c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32"/>
      <c r="Q2251" s="132">
        <f t="shared" si="375"/>
        <v>0</v>
      </c>
    </row>
    <row r="2252" spans="1:17">
      <c r="A2252" s="150"/>
      <c r="B2252" s="153"/>
      <c r="C2252" s="6" t="s">
        <v>18</v>
      </c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32"/>
      <c r="Q2252" s="132">
        <f t="shared" si="375"/>
        <v>0</v>
      </c>
    </row>
    <row r="2253" spans="1:17">
      <c r="A2253" s="150"/>
      <c r="B2253" s="153"/>
      <c r="C2253" s="6" t="s">
        <v>60</v>
      </c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1"/>
      <c r="O2253" s="91"/>
      <c r="P2253" s="32"/>
      <c r="Q2253" s="135">
        <f t="shared" si="375"/>
        <v>0</v>
      </c>
    </row>
    <row r="2254" spans="1:17">
      <c r="A2254" s="150"/>
      <c r="B2254" s="155" t="s">
        <v>13</v>
      </c>
      <c r="C2254" s="5" t="s">
        <v>10</v>
      </c>
      <c r="D2254" s="94"/>
      <c r="E2254" s="94"/>
      <c r="F2254" s="94"/>
      <c r="G2254" s="94"/>
      <c r="H2254" s="94"/>
      <c r="I2254" s="94"/>
      <c r="J2254" s="94"/>
      <c r="K2254" s="94"/>
      <c r="L2254" s="94"/>
      <c r="M2254" s="94"/>
      <c r="N2254" s="94"/>
      <c r="O2254" s="94"/>
      <c r="P2254" s="27"/>
      <c r="Q2254" s="131">
        <f t="shared" si="375"/>
        <v>0</v>
      </c>
    </row>
    <row r="2255" spans="1:17">
      <c r="A2255" s="150"/>
      <c r="B2255" s="153"/>
      <c r="C2255" s="116" t="s">
        <v>55</v>
      </c>
      <c r="D2255" s="89"/>
      <c r="E2255" s="89"/>
      <c r="F2255" s="89"/>
      <c r="G2255" s="89"/>
      <c r="H2255" s="89"/>
      <c r="I2255" s="89"/>
      <c r="J2255" s="89"/>
      <c r="K2255" s="89"/>
      <c r="L2255" s="89"/>
      <c r="M2255" s="89"/>
      <c r="N2255" s="89"/>
      <c r="O2255" s="89"/>
      <c r="P2255" s="28"/>
      <c r="Q2255" s="132">
        <f t="shared" si="375"/>
        <v>0</v>
      </c>
    </row>
    <row r="2256" spans="1:17">
      <c r="A2256" s="150"/>
      <c r="B2256" s="153"/>
      <c r="C2256" s="8" t="s">
        <v>56</v>
      </c>
      <c r="D2256" s="89"/>
      <c r="E2256" s="89"/>
      <c r="F2256" s="89"/>
      <c r="G2256" s="89"/>
      <c r="H2256" s="89"/>
      <c r="I2256" s="89"/>
      <c r="J2256" s="89"/>
      <c r="K2256" s="89"/>
      <c r="L2256" s="89"/>
      <c r="M2256" s="89"/>
      <c r="N2256" s="89"/>
      <c r="O2256" s="89"/>
      <c r="P2256" s="28"/>
      <c r="Q2256" s="132">
        <f t="shared" si="375"/>
        <v>0</v>
      </c>
    </row>
    <row r="2257" spans="1:17" ht="14.25" thickBot="1">
      <c r="A2257" s="150"/>
      <c r="B2257" s="154"/>
      <c r="C2257" s="4" t="s">
        <v>61</v>
      </c>
      <c r="D2257" s="92"/>
      <c r="E2257" s="92"/>
      <c r="F2257" s="92"/>
      <c r="G2257" s="92"/>
      <c r="H2257" s="92"/>
      <c r="I2257" s="92"/>
      <c r="J2257" s="92"/>
      <c r="K2257" s="92"/>
      <c r="L2257" s="92"/>
      <c r="M2257" s="92"/>
      <c r="N2257" s="92"/>
      <c r="O2257" s="92"/>
      <c r="P2257" s="33"/>
      <c r="Q2257" s="133">
        <f t="shared" si="375"/>
        <v>0</v>
      </c>
    </row>
    <row r="2258" spans="1:17" ht="14.25" thickBot="1">
      <c r="A2258" s="150"/>
      <c r="B2258" s="156" t="s">
        <v>54</v>
      </c>
      <c r="C2258" s="157"/>
      <c r="D2258" s="56">
        <f>SUM(D2244:D2248)-SUM(D2252:D2253)</f>
        <v>0</v>
      </c>
      <c r="E2258" s="56">
        <f t="shared" ref="E2258:O2258" si="377">SUM(E2244:E2248)-SUM(E2252:E2253)</f>
        <v>0</v>
      </c>
      <c r="F2258" s="56">
        <f t="shared" si="377"/>
        <v>0</v>
      </c>
      <c r="G2258" s="56">
        <f t="shared" si="377"/>
        <v>0</v>
      </c>
      <c r="H2258" s="56">
        <f t="shared" si="377"/>
        <v>0</v>
      </c>
      <c r="I2258" s="56">
        <f t="shared" si="377"/>
        <v>0</v>
      </c>
      <c r="J2258" s="56">
        <f t="shared" si="377"/>
        <v>0</v>
      </c>
      <c r="K2258" s="56">
        <f t="shared" si="377"/>
        <v>0</v>
      </c>
      <c r="L2258" s="56">
        <f t="shared" si="377"/>
        <v>0</v>
      </c>
      <c r="M2258" s="56">
        <f t="shared" si="377"/>
        <v>0</v>
      </c>
      <c r="N2258" s="56">
        <f t="shared" si="377"/>
        <v>0</v>
      </c>
      <c r="O2258" s="56">
        <f t="shared" si="377"/>
        <v>0</v>
      </c>
      <c r="P2258" s="58">
        <f>SUM(P2242:P2248)-SUM(P2252:P2253)</f>
        <v>0</v>
      </c>
      <c r="Q2258" s="130">
        <f t="shared" si="375"/>
        <v>0</v>
      </c>
    </row>
    <row r="2259" spans="1:17" ht="14.25" thickBot="1">
      <c r="A2259" s="151"/>
      <c r="B2259" s="147" t="s">
        <v>5</v>
      </c>
      <c r="C2259" s="148"/>
      <c r="D2259" s="42">
        <f>SUM(D2244:D2248)-SUM(D2249:D2253)+SUM(D2254:D2257)</f>
        <v>0</v>
      </c>
      <c r="E2259" s="42">
        <f t="shared" ref="E2259:O2259" si="378">SUM(E2244:E2248)-SUM(E2249:E2253)+SUM(E2254:E2257)</f>
        <v>0</v>
      </c>
      <c r="F2259" s="42">
        <f t="shared" si="378"/>
        <v>0</v>
      </c>
      <c r="G2259" s="42">
        <f t="shared" si="378"/>
        <v>0</v>
      </c>
      <c r="H2259" s="42">
        <f t="shared" si="378"/>
        <v>0</v>
      </c>
      <c r="I2259" s="42">
        <f t="shared" si="378"/>
        <v>0</v>
      </c>
      <c r="J2259" s="42">
        <f t="shared" si="378"/>
        <v>0</v>
      </c>
      <c r="K2259" s="42">
        <f t="shared" si="378"/>
        <v>0</v>
      </c>
      <c r="L2259" s="42">
        <f t="shared" si="378"/>
        <v>0</v>
      </c>
      <c r="M2259" s="42">
        <f t="shared" si="378"/>
        <v>0</v>
      </c>
      <c r="N2259" s="42">
        <f t="shared" si="378"/>
        <v>0</v>
      </c>
      <c r="O2259" s="42">
        <f t="shared" si="378"/>
        <v>0</v>
      </c>
      <c r="P2259" s="44">
        <f>SUM(P2242:P2248)-SUM(P2249:P2253)+SUM(P2254:P2257)</f>
        <v>0</v>
      </c>
      <c r="Q2259" s="46">
        <f>SUM(D2259:P2259)</f>
        <v>0</v>
      </c>
    </row>
    <row r="2260" spans="1:17">
      <c r="A2260" s="149"/>
      <c r="B2260" s="152" t="s">
        <v>12</v>
      </c>
      <c r="C2260" s="114" t="s">
        <v>84</v>
      </c>
      <c r="D2260" s="87"/>
      <c r="E2260" s="87"/>
      <c r="F2260" s="87"/>
      <c r="G2260" s="87"/>
      <c r="H2260" s="87"/>
      <c r="I2260" s="87"/>
      <c r="J2260" s="87"/>
      <c r="K2260" s="87"/>
      <c r="L2260" s="87"/>
      <c r="M2260" s="87"/>
      <c r="N2260" s="87"/>
      <c r="O2260" s="87"/>
      <c r="P2260" s="30"/>
      <c r="Q2260" s="134">
        <f>SUM(D2260:P2260)</f>
        <v>0</v>
      </c>
    </row>
    <row r="2261" spans="1:17">
      <c r="A2261" s="150"/>
      <c r="B2261" s="153"/>
      <c r="C2261" s="115" t="s">
        <v>85</v>
      </c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28"/>
      <c r="Q2261" s="132">
        <f t="shared" ref="Q2261:Q2276" si="379">SUM(D2261:P2261)</f>
        <v>0</v>
      </c>
    </row>
    <row r="2262" spans="1:17">
      <c r="A2262" s="150"/>
      <c r="B2262" s="153"/>
      <c r="C2262" s="116" t="s">
        <v>86</v>
      </c>
      <c r="D2262" s="91">
        <f t="shared" ref="D2262:O2262" si="380">D2260*D2261</f>
        <v>0</v>
      </c>
      <c r="E2262" s="91">
        <f t="shared" si="380"/>
        <v>0</v>
      </c>
      <c r="F2262" s="91">
        <f t="shared" si="380"/>
        <v>0</v>
      </c>
      <c r="G2262" s="91">
        <f t="shared" si="380"/>
        <v>0</v>
      </c>
      <c r="H2262" s="91">
        <f t="shared" si="380"/>
        <v>0</v>
      </c>
      <c r="I2262" s="91">
        <f t="shared" si="380"/>
        <v>0</v>
      </c>
      <c r="J2262" s="91">
        <f t="shared" si="380"/>
        <v>0</v>
      </c>
      <c r="K2262" s="91">
        <f t="shared" si="380"/>
        <v>0</v>
      </c>
      <c r="L2262" s="91">
        <f t="shared" si="380"/>
        <v>0</v>
      </c>
      <c r="M2262" s="91">
        <f t="shared" si="380"/>
        <v>0</v>
      </c>
      <c r="N2262" s="91">
        <f t="shared" si="380"/>
        <v>0</v>
      </c>
      <c r="O2262" s="91">
        <f t="shared" si="380"/>
        <v>0</v>
      </c>
      <c r="P2262" s="32"/>
      <c r="Q2262" s="132">
        <f t="shared" si="379"/>
        <v>0</v>
      </c>
    </row>
    <row r="2263" spans="1:17">
      <c r="A2263" s="150"/>
      <c r="B2263" s="153"/>
      <c r="C2263" s="117" t="s">
        <v>9</v>
      </c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1"/>
      <c r="O2263" s="91"/>
      <c r="P2263" s="32"/>
      <c r="Q2263" s="132">
        <f t="shared" si="379"/>
        <v>0</v>
      </c>
    </row>
    <row r="2264" spans="1:17">
      <c r="A2264" s="150"/>
      <c r="B2264" s="153"/>
      <c r="C2264" s="117" t="s">
        <v>38</v>
      </c>
      <c r="D2264" s="89"/>
      <c r="E2264" s="89"/>
      <c r="F2264" s="89"/>
      <c r="G2264" s="89"/>
      <c r="H2264" s="89"/>
      <c r="I2264" s="89"/>
      <c r="J2264" s="89"/>
      <c r="K2264" s="89"/>
      <c r="L2264" s="89"/>
      <c r="M2264" s="89"/>
      <c r="N2264" s="89"/>
      <c r="O2264" s="89"/>
      <c r="P2264" s="28"/>
      <c r="Q2264" s="132">
        <f t="shared" si="379"/>
        <v>0</v>
      </c>
    </row>
    <row r="2265" spans="1:17">
      <c r="A2265" s="150"/>
      <c r="B2265" s="153"/>
      <c r="C2265" s="62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1"/>
      <c r="O2265" s="91"/>
      <c r="P2265" s="32"/>
      <c r="Q2265" s="132">
        <f t="shared" si="379"/>
        <v>0</v>
      </c>
    </row>
    <row r="2266" spans="1:17">
      <c r="A2266" s="150"/>
      <c r="B2266" s="154"/>
      <c r="C2266" s="6" t="s">
        <v>42</v>
      </c>
      <c r="D2266" s="92"/>
      <c r="E2266" s="92"/>
      <c r="F2266" s="92"/>
      <c r="G2266" s="92"/>
      <c r="H2266" s="92"/>
      <c r="I2266" s="92"/>
      <c r="J2266" s="92"/>
      <c r="K2266" s="92"/>
      <c r="L2266" s="92"/>
      <c r="M2266" s="92"/>
      <c r="N2266" s="92"/>
      <c r="O2266" s="92"/>
      <c r="P2266" s="33"/>
      <c r="Q2266" s="135">
        <f t="shared" si="379"/>
        <v>0</v>
      </c>
    </row>
    <row r="2267" spans="1:17">
      <c r="A2267" s="150"/>
      <c r="B2267" s="155" t="s">
        <v>11</v>
      </c>
      <c r="C2267" s="5" t="s">
        <v>7</v>
      </c>
      <c r="D2267" s="94"/>
      <c r="E2267" s="94"/>
      <c r="F2267" s="94"/>
      <c r="G2267" s="94"/>
      <c r="H2267" s="94"/>
      <c r="I2267" s="94"/>
      <c r="J2267" s="94"/>
      <c r="K2267" s="94"/>
      <c r="L2267" s="94"/>
      <c r="M2267" s="94"/>
      <c r="N2267" s="94"/>
      <c r="O2267" s="94"/>
      <c r="P2267" s="27"/>
      <c r="Q2267" s="136">
        <f t="shared" si="379"/>
        <v>0</v>
      </c>
    </row>
    <row r="2268" spans="1:17">
      <c r="A2268" s="150"/>
      <c r="B2268" s="153"/>
      <c r="C2268" s="6" t="s">
        <v>4</v>
      </c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32"/>
      <c r="Q2268" s="132">
        <f t="shared" si="379"/>
        <v>0</v>
      </c>
    </row>
    <row r="2269" spans="1:17">
      <c r="A2269" s="150"/>
      <c r="B2269" s="153"/>
      <c r="C2269" s="6" t="s">
        <v>17</v>
      </c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32"/>
      <c r="Q2269" s="132">
        <f t="shared" si="379"/>
        <v>0</v>
      </c>
    </row>
    <row r="2270" spans="1:17">
      <c r="A2270" s="150"/>
      <c r="B2270" s="153"/>
      <c r="C2270" s="6" t="s">
        <v>18</v>
      </c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32"/>
      <c r="Q2270" s="132">
        <f t="shared" si="379"/>
        <v>0</v>
      </c>
    </row>
    <row r="2271" spans="1:17">
      <c r="A2271" s="150"/>
      <c r="B2271" s="153"/>
      <c r="C2271" s="6" t="s">
        <v>60</v>
      </c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32"/>
      <c r="Q2271" s="135">
        <f t="shared" si="379"/>
        <v>0</v>
      </c>
    </row>
    <row r="2272" spans="1:17">
      <c r="A2272" s="150"/>
      <c r="B2272" s="155" t="s">
        <v>13</v>
      </c>
      <c r="C2272" s="5" t="s">
        <v>10</v>
      </c>
      <c r="D2272" s="94"/>
      <c r="E2272" s="94"/>
      <c r="F2272" s="94"/>
      <c r="G2272" s="94"/>
      <c r="H2272" s="94"/>
      <c r="I2272" s="94"/>
      <c r="J2272" s="94"/>
      <c r="K2272" s="94"/>
      <c r="L2272" s="94"/>
      <c r="M2272" s="94"/>
      <c r="N2272" s="94"/>
      <c r="O2272" s="94"/>
      <c r="P2272" s="27"/>
      <c r="Q2272" s="131">
        <f t="shared" si="379"/>
        <v>0</v>
      </c>
    </row>
    <row r="2273" spans="1:17">
      <c r="A2273" s="150"/>
      <c r="B2273" s="153"/>
      <c r="C2273" s="116" t="s">
        <v>55</v>
      </c>
      <c r="D2273" s="89"/>
      <c r="E2273" s="89"/>
      <c r="F2273" s="89"/>
      <c r="G2273" s="89"/>
      <c r="H2273" s="89"/>
      <c r="I2273" s="89"/>
      <c r="J2273" s="89"/>
      <c r="K2273" s="89"/>
      <c r="L2273" s="89"/>
      <c r="M2273" s="89"/>
      <c r="N2273" s="89"/>
      <c r="O2273" s="89"/>
      <c r="P2273" s="28"/>
      <c r="Q2273" s="132">
        <f t="shared" si="379"/>
        <v>0</v>
      </c>
    </row>
    <row r="2274" spans="1:17">
      <c r="A2274" s="150"/>
      <c r="B2274" s="153"/>
      <c r="C2274" s="8" t="s">
        <v>56</v>
      </c>
      <c r="D2274" s="89"/>
      <c r="E2274" s="89"/>
      <c r="F2274" s="89"/>
      <c r="G2274" s="89"/>
      <c r="H2274" s="89"/>
      <c r="I2274" s="89"/>
      <c r="J2274" s="89"/>
      <c r="K2274" s="89"/>
      <c r="L2274" s="89"/>
      <c r="M2274" s="89"/>
      <c r="N2274" s="89"/>
      <c r="O2274" s="89"/>
      <c r="P2274" s="28"/>
      <c r="Q2274" s="132">
        <f t="shared" si="379"/>
        <v>0</v>
      </c>
    </row>
    <row r="2275" spans="1:17" ht="14.25" thickBot="1">
      <c r="A2275" s="150"/>
      <c r="B2275" s="154"/>
      <c r="C2275" s="4" t="s">
        <v>61</v>
      </c>
      <c r="D2275" s="92"/>
      <c r="E2275" s="92"/>
      <c r="F2275" s="92"/>
      <c r="G2275" s="92"/>
      <c r="H2275" s="92"/>
      <c r="I2275" s="92"/>
      <c r="J2275" s="92"/>
      <c r="K2275" s="92"/>
      <c r="L2275" s="92"/>
      <c r="M2275" s="92"/>
      <c r="N2275" s="92"/>
      <c r="O2275" s="92"/>
      <c r="P2275" s="33"/>
      <c r="Q2275" s="133">
        <f t="shared" si="379"/>
        <v>0</v>
      </c>
    </row>
    <row r="2276" spans="1:17" ht="14.25" thickBot="1">
      <c r="A2276" s="150"/>
      <c r="B2276" s="156" t="s">
        <v>54</v>
      </c>
      <c r="C2276" s="157"/>
      <c r="D2276" s="56">
        <f>SUM(D2262:D2266)-SUM(D2270:D2271)</f>
        <v>0</v>
      </c>
      <c r="E2276" s="56">
        <f t="shared" ref="E2276:O2276" si="381">SUM(E2262:E2266)-SUM(E2270:E2271)</f>
        <v>0</v>
      </c>
      <c r="F2276" s="56">
        <f t="shared" si="381"/>
        <v>0</v>
      </c>
      <c r="G2276" s="56">
        <f t="shared" si="381"/>
        <v>0</v>
      </c>
      <c r="H2276" s="56">
        <f t="shared" si="381"/>
        <v>0</v>
      </c>
      <c r="I2276" s="56">
        <f t="shared" si="381"/>
        <v>0</v>
      </c>
      <c r="J2276" s="56">
        <f t="shared" si="381"/>
        <v>0</v>
      </c>
      <c r="K2276" s="56">
        <f t="shared" si="381"/>
        <v>0</v>
      </c>
      <c r="L2276" s="56">
        <f t="shared" si="381"/>
        <v>0</v>
      </c>
      <c r="M2276" s="56">
        <f t="shared" si="381"/>
        <v>0</v>
      </c>
      <c r="N2276" s="56">
        <f t="shared" si="381"/>
        <v>0</v>
      </c>
      <c r="O2276" s="56">
        <f t="shared" si="381"/>
        <v>0</v>
      </c>
      <c r="P2276" s="58">
        <f>SUM(P2260:P2266)-SUM(P2270:P2271)</f>
        <v>0</v>
      </c>
      <c r="Q2276" s="130">
        <f t="shared" si="379"/>
        <v>0</v>
      </c>
    </row>
    <row r="2277" spans="1:17" ht="14.25" thickBot="1">
      <c r="A2277" s="151"/>
      <c r="B2277" s="147" t="s">
        <v>5</v>
      </c>
      <c r="C2277" s="148"/>
      <c r="D2277" s="42">
        <f>SUM(D2262:D2266)-SUM(D2267:D2271)+SUM(D2272:D2275)</f>
        <v>0</v>
      </c>
      <c r="E2277" s="42">
        <f t="shared" ref="E2277:O2277" si="382">SUM(E2262:E2266)-SUM(E2267:E2271)+SUM(E2272:E2275)</f>
        <v>0</v>
      </c>
      <c r="F2277" s="42">
        <f t="shared" si="382"/>
        <v>0</v>
      </c>
      <c r="G2277" s="42">
        <f t="shared" si="382"/>
        <v>0</v>
      </c>
      <c r="H2277" s="42">
        <f t="shared" si="382"/>
        <v>0</v>
      </c>
      <c r="I2277" s="42">
        <f t="shared" si="382"/>
        <v>0</v>
      </c>
      <c r="J2277" s="42">
        <f t="shared" si="382"/>
        <v>0</v>
      </c>
      <c r="K2277" s="42">
        <f t="shared" si="382"/>
        <v>0</v>
      </c>
      <c r="L2277" s="42">
        <f t="shared" si="382"/>
        <v>0</v>
      </c>
      <c r="M2277" s="42">
        <f t="shared" si="382"/>
        <v>0</v>
      </c>
      <c r="N2277" s="42">
        <f t="shared" si="382"/>
        <v>0</v>
      </c>
      <c r="O2277" s="42">
        <f t="shared" si="382"/>
        <v>0</v>
      </c>
      <c r="P2277" s="44">
        <f>SUM(P2260:P2266)-SUM(P2267:P2271)+SUM(P2272:P2275)</f>
        <v>0</v>
      </c>
      <c r="Q2277" s="46">
        <f>SUM(D2277:P2277)</f>
        <v>0</v>
      </c>
    </row>
    <row r="2278" spans="1:17">
      <c r="A2278" s="149"/>
      <c r="B2278" s="152" t="s">
        <v>12</v>
      </c>
      <c r="C2278" s="114" t="s">
        <v>84</v>
      </c>
      <c r="D2278" s="87"/>
      <c r="E2278" s="87"/>
      <c r="F2278" s="87"/>
      <c r="G2278" s="87"/>
      <c r="H2278" s="87"/>
      <c r="I2278" s="87"/>
      <c r="J2278" s="87"/>
      <c r="K2278" s="87"/>
      <c r="L2278" s="87"/>
      <c r="M2278" s="87"/>
      <c r="N2278" s="87"/>
      <c r="O2278" s="87"/>
      <c r="P2278" s="30"/>
      <c r="Q2278" s="134">
        <f>SUM(D2278:P2278)</f>
        <v>0</v>
      </c>
    </row>
    <row r="2279" spans="1:17">
      <c r="A2279" s="150"/>
      <c r="B2279" s="153"/>
      <c r="C2279" s="115" t="s">
        <v>85</v>
      </c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28"/>
      <c r="Q2279" s="132">
        <f t="shared" ref="Q2279:Q2294" si="383">SUM(D2279:P2279)</f>
        <v>0</v>
      </c>
    </row>
    <row r="2280" spans="1:17">
      <c r="A2280" s="150"/>
      <c r="B2280" s="153"/>
      <c r="C2280" s="116" t="s">
        <v>86</v>
      </c>
      <c r="D2280" s="91">
        <f t="shared" ref="D2280:O2280" si="384">D2278*D2279</f>
        <v>0</v>
      </c>
      <c r="E2280" s="91">
        <f t="shared" si="384"/>
        <v>0</v>
      </c>
      <c r="F2280" s="91">
        <f t="shared" si="384"/>
        <v>0</v>
      </c>
      <c r="G2280" s="91">
        <f t="shared" si="384"/>
        <v>0</v>
      </c>
      <c r="H2280" s="91">
        <f t="shared" si="384"/>
        <v>0</v>
      </c>
      <c r="I2280" s="91">
        <f t="shared" si="384"/>
        <v>0</v>
      </c>
      <c r="J2280" s="91">
        <f t="shared" si="384"/>
        <v>0</v>
      </c>
      <c r="K2280" s="91">
        <f t="shared" si="384"/>
        <v>0</v>
      </c>
      <c r="L2280" s="91">
        <f t="shared" si="384"/>
        <v>0</v>
      </c>
      <c r="M2280" s="91">
        <f t="shared" si="384"/>
        <v>0</v>
      </c>
      <c r="N2280" s="91">
        <f t="shared" si="384"/>
        <v>0</v>
      </c>
      <c r="O2280" s="91">
        <f t="shared" si="384"/>
        <v>0</v>
      </c>
      <c r="P2280" s="32"/>
      <c r="Q2280" s="132">
        <f t="shared" si="383"/>
        <v>0</v>
      </c>
    </row>
    <row r="2281" spans="1:17">
      <c r="A2281" s="150"/>
      <c r="B2281" s="153"/>
      <c r="C2281" s="117" t="s">
        <v>9</v>
      </c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32"/>
      <c r="Q2281" s="132">
        <f t="shared" si="383"/>
        <v>0</v>
      </c>
    </row>
    <row r="2282" spans="1:17">
      <c r="A2282" s="150"/>
      <c r="B2282" s="153"/>
      <c r="C2282" s="117" t="s">
        <v>38</v>
      </c>
      <c r="D2282" s="89"/>
      <c r="E2282" s="89"/>
      <c r="F2282" s="89"/>
      <c r="G2282" s="89"/>
      <c r="H2282" s="89"/>
      <c r="I2282" s="89"/>
      <c r="J2282" s="89"/>
      <c r="K2282" s="89"/>
      <c r="L2282" s="89"/>
      <c r="M2282" s="89"/>
      <c r="N2282" s="89"/>
      <c r="O2282" s="89"/>
      <c r="P2282" s="28"/>
      <c r="Q2282" s="132">
        <f t="shared" si="383"/>
        <v>0</v>
      </c>
    </row>
    <row r="2283" spans="1:17">
      <c r="A2283" s="150"/>
      <c r="B2283" s="153"/>
      <c r="C2283" s="62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1"/>
      <c r="O2283" s="91"/>
      <c r="P2283" s="32"/>
      <c r="Q2283" s="132">
        <f t="shared" si="383"/>
        <v>0</v>
      </c>
    </row>
    <row r="2284" spans="1:17">
      <c r="A2284" s="150"/>
      <c r="B2284" s="154"/>
      <c r="C2284" s="6" t="s">
        <v>42</v>
      </c>
      <c r="D2284" s="92"/>
      <c r="E2284" s="92"/>
      <c r="F2284" s="92"/>
      <c r="G2284" s="92"/>
      <c r="H2284" s="92"/>
      <c r="I2284" s="92"/>
      <c r="J2284" s="92"/>
      <c r="K2284" s="92"/>
      <c r="L2284" s="92"/>
      <c r="M2284" s="92"/>
      <c r="N2284" s="92"/>
      <c r="O2284" s="92"/>
      <c r="P2284" s="33"/>
      <c r="Q2284" s="135">
        <f t="shared" si="383"/>
        <v>0</v>
      </c>
    </row>
    <row r="2285" spans="1:17">
      <c r="A2285" s="150"/>
      <c r="B2285" s="155" t="s">
        <v>11</v>
      </c>
      <c r="C2285" s="5" t="s">
        <v>7</v>
      </c>
      <c r="D2285" s="94"/>
      <c r="E2285" s="94"/>
      <c r="F2285" s="94"/>
      <c r="G2285" s="94"/>
      <c r="H2285" s="94"/>
      <c r="I2285" s="94"/>
      <c r="J2285" s="94"/>
      <c r="K2285" s="94"/>
      <c r="L2285" s="94"/>
      <c r="M2285" s="94"/>
      <c r="N2285" s="94"/>
      <c r="O2285" s="94"/>
      <c r="P2285" s="27"/>
      <c r="Q2285" s="136">
        <f t="shared" si="383"/>
        <v>0</v>
      </c>
    </row>
    <row r="2286" spans="1:17">
      <c r="A2286" s="150"/>
      <c r="B2286" s="153"/>
      <c r="C2286" s="6" t="s">
        <v>4</v>
      </c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32"/>
      <c r="Q2286" s="132">
        <f t="shared" si="383"/>
        <v>0</v>
      </c>
    </row>
    <row r="2287" spans="1:17">
      <c r="A2287" s="150"/>
      <c r="B2287" s="153"/>
      <c r="C2287" s="6" t="s">
        <v>17</v>
      </c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1"/>
      <c r="O2287" s="91"/>
      <c r="P2287" s="32"/>
      <c r="Q2287" s="132">
        <f t="shared" si="383"/>
        <v>0</v>
      </c>
    </row>
    <row r="2288" spans="1:17">
      <c r="A2288" s="150"/>
      <c r="B2288" s="153"/>
      <c r="C2288" s="6" t="s">
        <v>18</v>
      </c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32"/>
      <c r="Q2288" s="132">
        <f t="shared" si="383"/>
        <v>0</v>
      </c>
    </row>
    <row r="2289" spans="1:17">
      <c r="A2289" s="150"/>
      <c r="B2289" s="153"/>
      <c r="C2289" s="6" t="s">
        <v>60</v>
      </c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1"/>
      <c r="O2289" s="91"/>
      <c r="P2289" s="32"/>
      <c r="Q2289" s="135">
        <f t="shared" si="383"/>
        <v>0</v>
      </c>
    </row>
    <row r="2290" spans="1:17">
      <c r="A2290" s="150"/>
      <c r="B2290" s="155" t="s">
        <v>13</v>
      </c>
      <c r="C2290" s="5" t="s">
        <v>10</v>
      </c>
      <c r="D2290" s="94"/>
      <c r="E2290" s="94"/>
      <c r="F2290" s="94"/>
      <c r="G2290" s="94"/>
      <c r="H2290" s="94"/>
      <c r="I2290" s="94"/>
      <c r="J2290" s="94"/>
      <c r="K2290" s="94"/>
      <c r="L2290" s="94"/>
      <c r="M2290" s="94"/>
      <c r="N2290" s="94"/>
      <c r="O2290" s="94"/>
      <c r="P2290" s="27"/>
      <c r="Q2290" s="131">
        <f t="shared" si="383"/>
        <v>0</v>
      </c>
    </row>
    <row r="2291" spans="1:17">
      <c r="A2291" s="150"/>
      <c r="B2291" s="153"/>
      <c r="C2291" s="116" t="s">
        <v>55</v>
      </c>
      <c r="D2291" s="89"/>
      <c r="E2291" s="89"/>
      <c r="F2291" s="89"/>
      <c r="G2291" s="89"/>
      <c r="H2291" s="89"/>
      <c r="I2291" s="89"/>
      <c r="J2291" s="89"/>
      <c r="K2291" s="89"/>
      <c r="L2291" s="89"/>
      <c r="M2291" s="89"/>
      <c r="N2291" s="89"/>
      <c r="O2291" s="89"/>
      <c r="P2291" s="28"/>
      <c r="Q2291" s="132">
        <f t="shared" si="383"/>
        <v>0</v>
      </c>
    </row>
    <row r="2292" spans="1:17">
      <c r="A2292" s="150"/>
      <c r="B2292" s="153"/>
      <c r="C2292" s="8" t="s">
        <v>56</v>
      </c>
      <c r="D2292" s="89"/>
      <c r="E2292" s="89"/>
      <c r="F2292" s="89"/>
      <c r="G2292" s="89"/>
      <c r="H2292" s="89"/>
      <c r="I2292" s="89"/>
      <c r="J2292" s="89"/>
      <c r="K2292" s="89"/>
      <c r="L2292" s="89"/>
      <c r="M2292" s="89"/>
      <c r="N2292" s="89"/>
      <c r="O2292" s="89"/>
      <c r="P2292" s="28"/>
      <c r="Q2292" s="132">
        <f t="shared" si="383"/>
        <v>0</v>
      </c>
    </row>
    <row r="2293" spans="1:17" ht="14.25" thickBot="1">
      <c r="A2293" s="150"/>
      <c r="B2293" s="154"/>
      <c r="C2293" s="4" t="s">
        <v>61</v>
      </c>
      <c r="D2293" s="92"/>
      <c r="E2293" s="92"/>
      <c r="F2293" s="92"/>
      <c r="G2293" s="92"/>
      <c r="H2293" s="92"/>
      <c r="I2293" s="92"/>
      <c r="J2293" s="92"/>
      <c r="K2293" s="92"/>
      <c r="L2293" s="92"/>
      <c r="M2293" s="92"/>
      <c r="N2293" s="92"/>
      <c r="O2293" s="92"/>
      <c r="P2293" s="33"/>
      <c r="Q2293" s="133">
        <f t="shared" si="383"/>
        <v>0</v>
      </c>
    </row>
    <row r="2294" spans="1:17" ht="14.25" thickBot="1">
      <c r="A2294" s="150"/>
      <c r="B2294" s="156" t="s">
        <v>54</v>
      </c>
      <c r="C2294" s="157"/>
      <c r="D2294" s="56">
        <f>SUM(D2280:D2284)-SUM(D2288:D2289)</f>
        <v>0</v>
      </c>
      <c r="E2294" s="56">
        <f t="shared" ref="E2294:O2294" si="385">SUM(E2280:E2284)-SUM(E2288:E2289)</f>
        <v>0</v>
      </c>
      <c r="F2294" s="56">
        <f t="shared" si="385"/>
        <v>0</v>
      </c>
      <c r="G2294" s="56">
        <f t="shared" si="385"/>
        <v>0</v>
      </c>
      <c r="H2294" s="56">
        <f t="shared" si="385"/>
        <v>0</v>
      </c>
      <c r="I2294" s="56">
        <f t="shared" si="385"/>
        <v>0</v>
      </c>
      <c r="J2294" s="56">
        <f t="shared" si="385"/>
        <v>0</v>
      </c>
      <c r="K2294" s="56">
        <f t="shared" si="385"/>
        <v>0</v>
      </c>
      <c r="L2294" s="56">
        <f t="shared" si="385"/>
        <v>0</v>
      </c>
      <c r="M2294" s="56">
        <f t="shared" si="385"/>
        <v>0</v>
      </c>
      <c r="N2294" s="56">
        <f t="shared" si="385"/>
        <v>0</v>
      </c>
      <c r="O2294" s="56">
        <f t="shared" si="385"/>
        <v>0</v>
      </c>
      <c r="P2294" s="58">
        <f>SUM(P2278:P2284)-SUM(P2288:P2289)</f>
        <v>0</v>
      </c>
      <c r="Q2294" s="130">
        <f t="shared" si="383"/>
        <v>0</v>
      </c>
    </row>
    <row r="2295" spans="1:17" ht="14.25" thickBot="1">
      <c r="A2295" s="151"/>
      <c r="B2295" s="147" t="s">
        <v>5</v>
      </c>
      <c r="C2295" s="148"/>
      <c r="D2295" s="42">
        <f>SUM(D2280:D2284)-SUM(D2285:D2289)+SUM(D2290:D2293)</f>
        <v>0</v>
      </c>
      <c r="E2295" s="42">
        <f t="shared" ref="E2295:O2295" si="386">SUM(E2280:E2284)-SUM(E2285:E2289)+SUM(E2290:E2293)</f>
        <v>0</v>
      </c>
      <c r="F2295" s="42">
        <f t="shared" si="386"/>
        <v>0</v>
      </c>
      <c r="G2295" s="42">
        <f t="shared" si="386"/>
        <v>0</v>
      </c>
      <c r="H2295" s="42">
        <f t="shared" si="386"/>
        <v>0</v>
      </c>
      <c r="I2295" s="42">
        <f t="shared" si="386"/>
        <v>0</v>
      </c>
      <c r="J2295" s="42">
        <f t="shared" si="386"/>
        <v>0</v>
      </c>
      <c r="K2295" s="42">
        <f t="shared" si="386"/>
        <v>0</v>
      </c>
      <c r="L2295" s="42">
        <f t="shared" si="386"/>
        <v>0</v>
      </c>
      <c r="M2295" s="42">
        <f t="shared" si="386"/>
        <v>0</v>
      </c>
      <c r="N2295" s="42">
        <f t="shared" si="386"/>
        <v>0</v>
      </c>
      <c r="O2295" s="42">
        <f t="shared" si="386"/>
        <v>0</v>
      </c>
      <c r="P2295" s="44">
        <f>SUM(P2278:P2284)-SUM(P2285:P2289)+SUM(P2290:P2293)</f>
        <v>0</v>
      </c>
      <c r="Q2295" s="46">
        <f>SUM(D2295:P2295)</f>
        <v>0</v>
      </c>
    </row>
    <row r="2296" spans="1:17">
      <c r="A2296" s="149"/>
      <c r="B2296" s="152" t="s">
        <v>12</v>
      </c>
      <c r="C2296" s="114" t="s">
        <v>84</v>
      </c>
      <c r="D2296" s="87"/>
      <c r="E2296" s="87"/>
      <c r="F2296" s="87"/>
      <c r="G2296" s="87"/>
      <c r="H2296" s="87"/>
      <c r="I2296" s="87"/>
      <c r="J2296" s="87"/>
      <c r="K2296" s="87"/>
      <c r="L2296" s="87"/>
      <c r="M2296" s="87"/>
      <c r="N2296" s="87"/>
      <c r="O2296" s="87"/>
      <c r="P2296" s="30"/>
      <c r="Q2296" s="134">
        <f>SUM(D2296:P2296)</f>
        <v>0</v>
      </c>
    </row>
    <row r="2297" spans="1:17">
      <c r="A2297" s="150"/>
      <c r="B2297" s="153"/>
      <c r="C2297" s="115" t="s">
        <v>85</v>
      </c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28"/>
      <c r="Q2297" s="132">
        <f t="shared" ref="Q2297:Q2312" si="387">SUM(D2297:P2297)</f>
        <v>0</v>
      </c>
    </row>
    <row r="2298" spans="1:17">
      <c r="A2298" s="150"/>
      <c r="B2298" s="153"/>
      <c r="C2298" s="116" t="s">
        <v>86</v>
      </c>
      <c r="D2298" s="91">
        <f t="shared" ref="D2298:O2298" si="388">D2296*D2297</f>
        <v>0</v>
      </c>
      <c r="E2298" s="91">
        <f t="shared" si="388"/>
        <v>0</v>
      </c>
      <c r="F2298" s="91">
        <f t="shared" si="388"/>
        <v>0</v>
      </c>
      <c r="G2298" s="91">
        <f t="shared" si="388"/>
        <v>0</v>
      </c>
      <c r="H2298" s="91">
        <f t="shared" si="388"/>
        <v>0</v>
      </c>
      <c r="I2298" s="91">
        <f t="shared" si="388"/>
        <v>0</v>
      </c>
      <c r="J2298" s="91">
        <f t="shared" si="388"/>
        <v>0</v>
      </c>
      <c r="K2298" s="91">
        <f t="shared" si="388"/>
        <v>0</v>
      </c>
      <c r="L2298" s="91">
        <f t="shared" si="388"/>
        <v>0</v>
      </c>
      <c r="M2298" s="91">
        <f t="shared" si="388"/>
        <v>0</v>
      </c>
      <c r="N2298" s="91">
        <f t="shared" si="388"/>
        <v>0</v>
      </c>
      <c r="O2298" s="91">
        <f t="shared" si="388"/>
        <v>0</v>
      </c>
      <c r="P2298" s="32"/>
      <c r="Q2298" s="132">
        <f t="shared" si="387"/>
        <v>0</v>
      </c>
    </row>
    <row r="2299" spans="1:17">
      <c r="A2299" s="150"/>
      <c r="B2299" s="153"/>
      <c r="C2299" s="117" t="s">
        <v>9</v>
      </c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32"/>
      <c r="Q2299" s="132">
        <f t="shared" si="387"/>
        <v>0</v>
      </c>
    </row>
    <row r="2300" spans="1:17">
      <c r="A2300" s="150"/>
      <c r="B2300" s="153"/>
      <c r="C2300" s="117" t="s">
        <v>38</v>
      </c>
      <c r="D2300" s="89"/>
      <c r="E2300" s="89"/>
      <c r="F2300" s="89"/>
      <c r="G2300" s="89"/>
      <c r="H2300" s="89"/>
      <c r="I2300" s="89"/>
      <c r="J2300" s="89"/>
      <c r="K2300" s="89"/>
      <c r="L2300" s="89"/>
      <c r="M2300" s="89"/>
      <c r="N2300" s="89"/>
      <c r="O2300" s="89"/>
      <c r="P2300" s="28"/>
      <c r="Q2300" s="132">
        <f t="shared" si="387"/>
        <v>0</v>
      </c>
    </row>
    <row r="2301" spans="1:17">
      <c r="A2301" s="150"/>
      <c r="B2301" s="153"/>
      <c r="C2301" s="62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32"/>
      <c r="Q2301" s="132">
        <f t="shared" si="387"/>
        <v>0</v>
      </c>
    </row>
    <row r="2302" spans="1:17">
      <c r="A2302" s="150"/>
      <c r="B2302" s="154"/>
      <c r="C2302" s="6" t="s">
        <v>42</v>
      </c>
      <c r="D2302" s="92"/>
      <c r="E2302" s="92"/>
      <c r="F2302" s="92"/>
      <c r="G2302" s="92"/>
      <c r="H2302" s="92"/>
      <c r="I2302" s="92"/>
      <c r="J2302" s="92"/>
      <c r="K2302" s="92"/>
      <c r="L2302" s="92"/>
      <c r="M2302" s="92"/>
      <c r="N2302" s="92"/>
      <c r="O2302" s="92"/>
      <c r="P2302" s="33"/>
      <c r="Q2302" s="135">
        <f t="shared" si="387"/>
        <v>0</v>
      </c>
    </row>
    <row r="2303" spans="1:17">
      <c r="A2303" s="150"/>
      <c r="B2303" s="155" t="s">
        <v>11</v>
      </c>
      <c r="C2303" s="5" t="s">
        <v>7</v>
      </c>
      <c r="D2303" s="94"/>
      <c r="E2303" s="94"/>
      <c r="F2303" s="94"/>
      <c r="G2303" s="94"/>
      <c r="H2303" s="94"/>
      <c r="I2303" s="94"/>
      <c r="J2303" s="94"/>
      <c r="K2303" s="94"/>
      <c r="L2303" s="94"/>
      <c r="M2303" s="94"/>
      <c r="N2303" s="94"/>
      <c r="O2303" s="94"/>
      <c r="P2303" s="27"/>
      <c r="Q2303" s="136">
        <f t="shared" si="387"/>
        <v>0</v>
      </c>
    </row>
    <row r="2304" spans="1:17">
      <c r="A2304" s="150"/>
      <c r="B2304" s="153"/>
      <c r="C2304" s="6" t="s">
        <v>4</v>
      </c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32"/>
      <c r="Q2304" s="132">
        <f t="shared" si="387"/>
        <v>0</v>
      </c>
    </row>
    <row r="2305" spans="1:17">
      <c r="A2305" s="150"/>
      <c r="B2305" s="153"/>
      <c r="C2305" s="6" t="s">
        <v>17</v>
      </c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32"/>
      <c r="Q2305" s="132">
        <f t="shared" si="387"/>
        <v>0</v>
      </c>
    </row>
    <row r="2306" spans="1:17">
      <c r="A2306" s="150"/>
      <c r="B2306" s="153"/>
      <c r="C2306" s="6" t="s">
        <v>18</v>
      </c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32"/>
      <c r="Q2306" s="132">
        <f t="shared" si="387"/>
        <v>0</v>
      </c>
    </row>
    <row r="2307" spans="1:17">
      <c r="A2307" s="150"/>
      <c r="B2307" s="153"/>
      <c r="C2307" s="6" t="s">
        <v>60</v>
      </c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32"/>
      <c r="Q2307" s="135">
        <f t="shared" si="387"/>
        <v>0</v>
      </c>
    </row>
    <row r="2308" spans="1:17">
      <c r="A2308" s="150"/>
      <c r="B2308" s="155" t="s">
        <v>13</v>
      </c>
      <c r="C2308" s="5" t="s">
        <v>10</v>
      </c>
      <c r="D2308" s="94"/>
      <c r="E2308" s="94"/>
      <c r="F2308" s="94"/>
      <c r="G2308" s="94"/>
      <c r="H2308" s="94"/>
      <c r="I2308" s="94"/>
      <c r="J2308" s="94"/>
      <c r="K2308" s="94"/>
      <c r="L2308" s="94"/>
      <c r="M2308" s="94"/>
      <c r="N2308" s="94"/>
      <c r="O2308" s="94"/>
      <c r="P2308" s="27"/>
      <c r="Q2308" s="131">
        <f t="shared" si="387"/>
        <v>0</v>
      </c>
    </row>
    <row r="2309" spans="1:17">
      <c r="A2309" s="150"/>
      <c r="B2309" s="153"/>
      <c r="C2309" s="116" t="s">
        <v>55</v>
      </c>
      <c r="D2309" s="89"/>
      <c r="E2309" s="89"/>
      <c r="F2309" s="89"/>
      <c r="G2309" s="89"/>
      <c r="H2309" s="89"/>
      <c r="I2309" s="89"/>
      <c r="J2309" s="89"/>
      <c r="K2309" s="89"/>
      <c r="L2309" s="89"/>
      <c r="M2309" s="89"/>
      <c r="N2309" s="89"/>
      <c r="O2309" s="89"/>
      <c r="P2309" s="28"/>
      <c r="Q2309" s="132">
        <f t="shared" si="387"/>
        <v>0</v>
      </c>
    </row>
    <row r="2310" spans="1:17">
      <c r="A2310" s="150"/>
      <c r="B2310" s="153"/>
      <c r="C2310" s="8" t="s">
        <v>56</v>
      </c>
      <c r="D2310" s="89"/>
      <c r="E2310" s="89"/>
      <c r="F2310" s="89"/>
      <c r="G2310" s="89"/>
      <c r="H2310" s="89"/>
      <c r="I2310" s="89"/>
      <c r="J2310" s="89"/>
      <c r="K2310" s="89"/>
      <c r="L2310" s="89"/>
      <c r="M2310" s="89"/>
      <c r="N2310" s="89"/>
      <c r="O2310" s="89"/>
      <c r="P2310" s="28"/>
      <c r="Q2310" s="132">
        <f t="shared" si="387"/>
        <v>0</v>
      </c>
    </row>
    <row r="2311" spans="1:17" ht="14.25" thickBot="1">
      <c r="A2311" s="150"/>
      <c r="B2311" s="154"/>
      <c r="C2311" s="4" t="s">
        <v>61</v>
      </c>
      <c r="D2311" s="92"/>
      <c r="E2311" s="92"/>
      <c r="F2311" s="92"/>
      <c r="G2311" s="92"/>
      <c r="H2311" s="92"/>
      <c r="I2311" s="92"/>
      <c r="J2311" s="92"/>
      <c r="K2311" s="92"/>
      <c r="L2311" s="92"/>
      <c r="M2311" s="92"/>
      <c r="N2311" s="92"/>
      <c r="O2311" s="92"/>
      <c r="P2311" s="33"/>
      <c r="Q2311" s="133">
        <f t="shared" si="387"/>
        <v>0</v>
      </c>
    </row>
    <row r="2312" spans="1:17" ht="14.25" thickBot="1">
      <c r="A2312" s="150"/>
      <c r="B2312" s="156" t="s">
        <v>54</v>
      </c>
      <c r="C2312" s="157"/>
      <c r="D2312" s="56">
        <f>SUM(D2298:D2302)-SUM(D2306:D2307)</f>
        <v>0</v>
      </c>
      <c r="E2312" s="56">
        <f t="shared" ref="E2312:O2312" si="389">SUM(E2298:E2302)-SUM(E2306:E2307)</f>
        <v>0</v>
      </c>
      <c r="F2312" s="56">
        <f t="shared" si="389"/>
        <v>0</v>
      </c>
      <c r="G2312" s="56">
        <f t="shared" si="389"/>
        <v>0</v>
      </c>
      <c r="H2312" s="56">
        <f t="shared" si="389"/>
        <v>0</v>
      </c>
      <c r="I2312" s="56">
        <f t="shared" si="389"/>
        <v>0</v>
      </c>
      <c r="J2312" s="56">
        <f t="shared" si="389"/>
        <v>0</v>
      </c>
      <c r="K2312" s="56">
        <f t="shared" si="389"/>
        <v>0</v>
      </c>
      <c r="L2312" s="56">
        <f t="shared" si="389"/>
        <v>0</v>
      </c>
      <c r="M2312" s="56">
        <f t="shared" si="389"/>
        <v>0</v>
      </c>
      <c r="N2312" s="56">
        <f t="shared" si="389"/>
        <v>0</v>
      </c>
      <c r="O2312" s="56">
        <f t="shared" si="389"/>
        <v>0</v>
      </c>
      <c r="P2312" s="58">
        <f>SUM(P2296:P2302)-SUM(P2306:P2307)</f>
        <v>0</v>
      </c>
      <c r="Q2312" s="130">
        <f t="shared" si="387"/>
        <v>0</v>
      </c>
    </row>
    <row r="2313" spans="1:17" ht="14.25" thickBot="1">
      <c r="A2313" s="151"/>
      <c r="B2313" s="147" t="s">
        <v>5</v>
      </c>
      <c r="C2313" s="148"/>
      <c r="D2313" s="42">
        <f>SUM(D2298:D2302)-SUM(D2303:D2307)+SUM(D2308:D2311)</f>
        <v>0</v>
      </c>
      <c r="E2313" s="42">
        <f t="shared" ref="E2313:O2313" si="390">SUM(E2298:E2302)-SUM(E2303:E2307)+SUM(E2308:E2311)</f>
        <v>0</v>
      </c>
      <c r="F2313" s="42">
        <f t="shared" si="390"/>
        <v>0</v>
      </c>
      <c r="G2313" s="42">
        <f t="shared" si="390"/>
        <v>0</v>
      </c>
      <c r="H2313" s="42">
        <f t="shared" si="390"/>
        <v>0</v>
      </c>
      <c r="I2313" s="42">
        <f t="shared" si="390"/>
        <v>0</v>
      </c>
      <c r="J2313" s="42">
        <f t="shared" si="390"/>
        <v>0</v>
      </c>
      <c r="K2313" s="42">
        <f t="shared" si="390"/>
        <v>0</v>
      </c>
      <c r="L2313" s="42">
        <f t="shared" si="390"/>
        <v>0</v>
      </c>
      <c r="M2313" s="42">
        <f t="shared" si="390"/>
        <v>0</v>
      </c>
      <c r="N2313" s="42">
        <f t="shared" si="390"/>
        <v>0</v>
      </c>
      <c r="O2313" s="42">
        <f t="shared" si="390"/>
        <v>0</v>
      </c>
      <c r="P2313" s="44">
        <f>SUM(P2296:P2302)-SUM(P2303:P2307)+SUM(P2308:P2311)</f>
        <v>0</v>
      </c>
      <c r="Q2313" s="46">
        <f>SUM(D2313:P2313)</f>
        <v>0</v>
      </c>
    </row>
    <row r="2314" spans="1:17">
      <c r="A2314" s="149"/>
      <c r="B2314" s="152" t="s">
        <v>12</v>
      </c>
      <c r="C2314" s="114" t="s">
        <v>84</v>
      </c>
      <c r="D2314" s="87"/>
      <c r="E2314" s="87"/>
      <c r="F2314" s="87"/>
      <c r="G2314" s="87"/>
      <c r="H2314" s="87"/>
      <c r="I2314" s="87"/>
      <c r="J2314" s="87"/>
      <c r="K2314" s="87"/>
      <c r="L2314" s="87"/>
      <c r="M2314" s="87"/>
      <c r="N2314" s="87"/>
      <c r="O2314" s="87"/>
      <c r="P2314" s="30"/>
      <c r="Q2314" s="134">
        <f>SUM(D2314:P2314)</f>
        <v>0</v>
      </c>
    </row>
    <row r="2315" spans="1:17">
      <c r="A2315" s="150"/>
      <c r="B2315" s="153"/>
      <c r="C2315" s="115" t="s">
        <v>85</v>
      </c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28"/>
      <c r="Q2315" s="132">
        <f t="shared" ref="Q2315:Q2330" si="391">SUM(D2315:P2315)</f>
        <v>0</v>
      </c>
    </row>
    <row r="2316" spans="1:17">
      <c r="A2316" s="150"/>
      <c r="B2316" s="153"/>
      <c r="C2316" s="116" t="s">
        <v>86</v>
      </c>
      <c r="D2316" s="91">
        <f t="shared" ref="D2316:O2316" si="392">D2314*D2315</f>
        <v>0</v>
      </c>
      <c r="E2316" s="91">
        <f t="shared" si="392"/>
        <v>0</v>
      </c>
      <c r="F2316" s="91">
        <f t="shared" si="392"/>
        <v>0</v>
      </c>
      <c r="G2316" s="91">
        <f t="shared" si="392"/>
        <v>0</v>
      </c>
      <c r="H2316" s="91">
        <f t="shared" si="392"/>
        <v>0</v>
      </c>
      <c r="I2316" s="91">
        <f t="shared" si="392"/>
        <v>0</v>
      </c>
      <c r="J2316" s="91">
        <f t="shared" si="392"/>
        <v>0</v>
      </c>
      <c r="K2316" s="91">
        <f t="shared" si="392"/>
        <v>0</v>
      </c>
      <c r="L2316" s="91">
        <f t="shared" si="392"/>
        <v>0</v>
      </c>
      <c r="M2316" s="91">
        <f t="shared" si="392"/>
        <v>0</v>
      </c>
      <c r="N2316" s="91">
        <f t="shared" si="392"/>
        <v>0</v>
      </c>
      <c r="O2316" s="91">
        <f t="shared" si="392"/>
        <v>0</v>
      </c>
      <c r="P2316" s="32"/>
      <c r="Q2316" s="132">
        <f t="shared" si="391"/>
        <v>0</v>
      </c>
    </row>
    <row r="2317" spans="1:17">
      <c r="A2317" s="150"/>
      <c r="B2317" s="153"/>
      <c r="C2317" s="117" t="s">
        <v>9</v>
      </c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1"/>
      <c r="O2317" s="91"/>
      <c r="P2317" s="32"/>
      <c r="Q2317" s="132">
        <f t="shared" si="391"/>
        <v>0</v>
      </c>
    </row>
    <row r="2318" spans="1:17">
      <c r="A2318" s="150"/>
      <c r="B2318" s="153"/>
      <c r="C2318" s="117" t="s">
        <v>38</v>
      </c>
      <c r="D2318" s="89"/>
      <c r="E2318" s="89"/>
      <c r="F2318" s="89"/>
      <c r="G2318" s="89"/>
      <c r="H2318" s="89"/>
      <c r="I2318" s="89"/>
      <c r="J2318" s="89"/>
      <c r="K2318" s="89"/>
      <c r="L2318" s="89"/>
      <c r="M2318" s="89"/>
      <c r="N2318" s="89"/>
      <c r="O2318" s="89"/>
      <c r="P2318" s="28"/>
      <c r="Q2318" s="132">
        <f t="shared" si="391"/>
        <v>0</v>
      </c>
    </row>
    <row r="2319" spans="1:17">
      <c r="A2319" s="150"/>
      <c r="B2319" s="153"/>
      <c r="C2319" s="62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1"/>
      <c r="O2319" s="91"/>
      <c r="P2319" s="32"/>
      <c r="Q2319" s="132">
        <f t="shared" si="391"/>
        <v>0</v>
      </c>
    </row>
    <row r="2320" spans="1:17">
      <c r="A2320" s="150"/>
      <c r="B2320" s="154"/>
      <c r="C2320" s="6" t="s">
        <v>42</v>
      </c>
      <c r="D2320" s="92"/>
      <c r="E2320" s="92"/>
      <c r="F2320" s="92"/>
      <c r="G2320" s="92"/>
      <c r="H2320" s="92"/>
      <c r="I2320" s="92"/>
      <c r="J2320" s="92"/>
      <c r="K2320" s="92"/>
      <c r="L2320" s="92"/>
      <c r="M2320" s="92"/>
      <c r="N2320" s="92"/>
      <c r="O2320" s="92"/>
      <c r="P2320" s="33"/>
      <c r="Q2320" s="135">
        <f t="shared" si="391"/>
        <v>0</v>
      </c>
    </row>
    <row r="2321" spans="1:17">
      <c r="A2321" s="150"/>
      <c r="B2321" s="155" t="s">
        <v>11</v>
      </c>
      <c r="C2321" s="5" t="s">
        <v>7</v>
      </c>
      <c r="D2321" s="94"/>
      <c r="E2321" s="94"/>
      <c r="F2321" s="94"/>
      <c r="G2321" s="94"/>
      <c r="H2321" s="94"/>
      <c r="I2321" s="94"/>
      <c r="J2321" s="94"/>
      <c r="K2321" s="94"/>
      <c r="L2321" s="94"/>
      <c r="M2321" s="94"/>
      <c r="N2321" s="94"/>
      <c r="O2321" s="94"/>
      <c r="P2321" s="27"/>
      <c r="Q2321" s="136">
        <f t="shared" si="391"/>
        <v>0</v>
      </c>
    </row>
    <row r="2322" spans="1:17">
      <c r="A2322" s="150"/>
      <c r="B2322" s="153"/>
      <c r="C2322" s="6" t="s">
        <v>4</v>
      </c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32"/>
      <c r="Q2322" s="132">
        <f t="shared" si="391"/>
        <v>0</v>
      </c>
    </row>
    <row r="2323" spans="1:17">
      <c r="A2323" s="150"/>
      <c r="B2323" s="153"/>
      <c r="C2323" s="6" t="s">
        <v>17</v>
      </c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1"/>
      <c r="O2323" s="91"/>
      <c r="P2323" s="32"/>
      <c r="Q2323" s="132">
        <f t="shared" si="391"/>
        <v>0</v>
      </c>
    </row>
    <row r="2324" spans="1:17">
      <c r="A2324" s="150"/>
      <c r="B2324" s="153"/>
      <c r="C2324" s="6" t="s">
        <v>18</v>
      </c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32"/>
      <c r="Q2324" s="132">
        <f t="shared" si="391"/>
        <v>0</v>
      </c>
    </row>
    <row r="2325" spans="1:17">
      <c r="A2325" s="150"/>
      <c r="B2325" s="153"/>
      <c r="C2325" s="6" t="s">
        <v>60</v>
      </c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1"/>
      <c r="O2325" s="91"/>
      <c r="P2325" s="32"/>
      <c r="Q2325" s="135">
        <f t="shared" si="391"/>
        <v>0</v>
      </c>
    </row>
    <row r="2326" spans="1:17">
      <c r="A2326" s="150"/>
      <c r="B2326" s="155" t="s">
        <v>13</v>
      </c>
      <c r="C2326" s="5" t="s">
        <v>10</v>
      </c>
      <c r="D2326" s="94"/>
      <c r="E2326" s="94"/>
      <c r="F2326" s="94"/>
      <c r="G2326" s="94"/>
      <c r="H2326" s="94"/>
      <c r="I2326" s="94"/>
      <c r="J2326" s="94"/>
      <c r="K2326" s="94"/>
      <c r="L2326" s="94"/>
      <c r="M2326" s="94"/>
      <c r="N2326" s="94"/>
      <c r="O2326" s="94"/>
      <c r="P2326" s="27"/>
      <c r="Q2326" s="131">
        <f t="shared" si="391"/>
        <v>0</v>
      </c>
    </row>
    <row r="2327" spans="1:17">
      <c r="A2327" s="150"/>
      <c r="B2327" s="153"/>
      <c r="C2327" s="116" t="s">
        <v>55</v>
      </c>
      <c r="D2327" s="89"/>
      <c r="E2327" s="89"/>
      <c r="F2327" s="89"/>
      <c r="G2327" s="89"/>
      <c r="H2327" s="89"/>
      <c r="I2327" s="89"/>
      <c r="J2327" s="89"/>
      <c r="K2327" s="89"/>
      <c r="L2327" s="89"/>
      <c r="M2327" s="89"/>
      <c r="N2327" s="89"/>
      <c r="O2327" s="89"/>
      <c r="P2327" s="28"/>
      <c r="Q2327" s="132">
        <f t="shared" si="391"/>
        <v>0</v>
      </c>
    </row>
    <row r="2328" spans="1:17">
      <c r="A2328" s="150"/>
      <c r="B2328" s="153"/>
      <c r="C2328" s="8" t="s">
        <v>56</v>
      </c>
      <c r="D2328" s="89"/>
      <c r="E2328" s="89"/>
      <c r="F2328" s="89"/>
      <c r="G2328" s="89"/>
      <c r="H2328" s="89"/>
      <c r="I2328" s="89"/>
      <c r="J2328" s="89"/>
      <c r="K2328" s="89"/>
      <c r="L2328" s="89"/>
      <c r="M2328" s="89"/>
      <c r="N2328" s="89"/>
      <c r="O2328" s="89"/>
      <c r="P2328" s="28"/>
      <c r="Q2328" s="132">
        <f t="shared" si="391"/>
        <v>0</v>
      </c>
    </row>
    <row r="2329" spans="1:17" ht="14.25" thickBot="1">
      <c r="A2329" s="150"/>
      <c r="B2329" s="154"/>
      <c r="C2329" s="4" t="s">
        <v>61</v>
      </c>
      <c r="D2329" s="92"/>
      <c r="E2329" s="92"/>
      <c r="F2329" s="92"/>
      <c r="G2329" s="92"/>
      <c r="H2329" s="92"/>
      <c r="I2329" s="92"/>
      <c r="J2329" s="92"/>
      <c r="K2329" s="92"/>
      <c r="L2329" s="92"/>
      <c r="M2329" s="92"/>
      <c r="N2329" s="92"/>
      <c r="O2329" s="92"/>
      <c r="P2329" s="33"/>
      <c r="Q2329" s="133">
        <f t="shared" si="391"/>
        <v>0</v>
      </c>
    </row>
    <row r="2330" spans="1:17" ht="14.25" thickBot="1">
      <c r="A2330" s="150"/>
      <c r="B2330" s="156" t="s">
        <v>54</v>
      </c>
      <c r="C2330" s="157"/>
      <c r="D2330" s="56">
        <f>SUM(D2316:D2320)-SUM(D2324:D2325)</f>
        <v>0</v>
      </c>
      <c r="E2330" s="56">
        <f t="shared" ref="E2330:O2330" si="393">SUM(E2316:E2320)-SUM(E2324:E2325)</f>
        <v>0</v>
      </c>
      <c r="F2330" s="56">
        <f t="shared" si="393"/>
        <v>0</v>
      </c>
      <c r="G2330" s="56">
        <f t="shared" si="393"/>
        <v>0</v>
      </c>
      <c r="H2330" s="56">
        <f t="shared" si="393"/>
        <v>0</v>
      </c>
      <c r="I2330" s="56">
        <f t="shared" si="393"/>
        <v>0</v>
      </c>
      <c r="J2330" s="56">
        <f t="shared" si="393"/>
        <v>0</v>
      </c>
      <c r="K2330" s="56">
        <f t="shared" si="393"/>
        <v>0</v>
      </c>
      <c r="L2330" s="56">
        <f t="shared" si="393"/>
        <v>0</v>
      </c>
      <c r="M2330" s="56">
        <f t="shared" si="393"/>
        <v>0</v>
      </c>
      <c r="N2330" s="56">
        <f t="shared" si="393"/>
        <v>0</v>
      </c>
      <c r="O2330" s="56">
        <f t="shared" si="393"/>
        <v>0</v>
      </c>
      <c r="P2330" s="58">
        <f>SUM(P2314:P2320)-SUM(P2324:P2325)</f>
        <v>0</v>
      </c>
      <c r="Q2330" s="130">
        <f t="shared" si="391"/>
        <v>0</v>
      </c>
    </row>
    <row r="2331" spans="1:17" ht="14.25" thickBot="1">
      <c r="A2331" s="151"/>
      <c r="B2331" s="147" t="s">
        <v>5</v>
      </c>
      <c r="C2331" s="148"/>
      <c r="D2331" s="42">
        <f>SUM(D2316:D2320)-SUM(D2321:D2325)+SUM(D2326:D2329)</f>
        <v>0</v>
      </c>
      <c r="E2331" s="42">
        <f t="shared" ref="E2331:O2331" si="394">SUM(E2316:E2320)-SUM(E2321:E2325)+SUM(E2326:E2329)</f>
        <v>0</v>
      </c>
      <c r="F2331" s="42">
        <f t="shared" si="394"/>
        <v>0</v>
      </c>
      <c r="G2331" s="42">
        <f t="shared" si="394"/>
        <v>0</v>
      </c>
      <c r="H2331" s="42">
        <f t="shared" si="394"/>
        <v>0</v>
      </c>
      <c r="I2331" s="42">
        <f t="shared" si="394"/>
        <v>0</v>
      </c>
      <c r="J2331" s="42">
        <f t="shared" si="394"/>
        <v>0</v>
      </c>
      <c r="K2331" s="42">
        <f t="shared" si="394"/>
        <v>0</v>
      </c>
      <c r="L2331" s="42">
        <f t="shared" si="394"/>
        <v>0</v>
      </c>
      <c r="M2331" s="42">
        <f t="shared" si="394"/>
        <v>0</v>
      </c>
      <c r="N2331" s="42">
        <f t="shared" si="394"/>
        <v>0</v>
      </c>
      <c r="O2331" s="42">
        <f t="shared" si="394"/>
        <v>0</v>
      </c>
      <c r="P2331" s="44">
        <f>SUM(P2314:P2320)-SUM(P2321:P2325)+SUM(P2326:P2329)</f>
        <v>0</v>
      </c>
      <c r="Q2331" s="46">
        <f>SUM(D2331:P2331)</f>
        <v>0</v>
      </c>
    </row>
    <row r="2332" spans="1:17">
      <c r="A2332" s="149"/>
      <c r="B2332" s="152" t="s">
        <v>12</v>
      </c>
      <c r="C2332" s="114" t="s">
        <v>84</v>
      </c>
      <c r="D2332" s="87"/>
      <c r="E2332" s="87"/>
      <c r="F2332" s="87"/>
      <c r="G2332" s="87"/>
      <c r="H2332" s="87"/>
      <c r="I2332" s="87"/>
      <c r="J2332" s="87"/>
      <c r="K2332" s="87"/>
      <c r="L2332" s="87"/>
      <c r="M2332" s="87"/>
      <c r="N2332" s="87"/>
      <c r="O2332" s="87"/>
      <c r="P2332" s="30"/>
      <c r="Q2332" s="134">
        <f>SUM(D2332:P2332)</f>
        <v>0</v>
      </c>
    </row>
    <row r="2333" spans="1:17">
      <c r="A2333" s="150"/>
      <c r="B2333" s="153"/>
      <c r="C2333" s="115" t="s">
        <v>85</v>
      </c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28"/>
      <c r="Q2333" s="132">
        <f t="shared" ref="Q2333:Q2348" si="395">SUM(D2333:P2333)</f>
        <v>0</v>
      </c>
    </row>
    <row r="2334" spans="1:17">
      <c r="A2334" s="150"/>
      <c r="B2334" s="153"/>
      <c r="C2334" s="116" t="s">
        <v>86</v>
      </c>
      <c r="D2334" s="91">
        <f t="shared" ref="D2334:O2334" si="396">D2332*D2333</f>
        <v>0</v>
      </c>
      <c r="E2334" s="91">
        <f t="shared" si="396"/>
        <v>0</v>
      </c>
      <c r="F2334" s="91">
        <f t="shared" si="396"/>
        <v>0</v>
      </c>
      <c r="G2334" s="91">
        <f t="shared" si="396"/>
        <v>0</v>
      </c>
      <c r="H2334" s="91">
        <f t="shared" si="396"/>
        <v>0</v>
      </c>
      <c r="I2334" s="91">
        <f t="shared" si="396"/>
        <v>0</v>
      </c>
      <c r="J2334" s="91">
        <f t="shared" si="396"/>
        <v>0</v>
      </c>
      <c r="K2334" s="91">
        <f t="shared" si="396"/>
        <v>0</v>
      </c>
      <c r="L2334" s="91">
        <f t="shared" si="396"/>
        <v>0</v>
      </c>
      <c r="M2334" s="91">
        <f t="shared" si="396"/>
        <v>0</v>
      </c>
      <c r="N2334" s="91">
        <f t="shared" si="396"/>
        <v>0</v>
      </c>
      <c r="O2334" s="91">
        <f t="shared" si="396"/>
        <v>0</v>
      </c>
      <c r="P2334" s="32"/>
      <c r="Q2334" s="132">
        <f t="shared" si="395"/>
        <v>0</v>
      </c>
    </row>
    <row r="2335" spans="1:17">
      <c r="A2335" s="150"/>
      <c r="B2335" s="153"/>
      <c r="C2335" s="117" t="s">
        <v>9</v>
      </c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32"/>
      <c r="Q2335" s="132">
        <f t="shared" si="395"/>
        <v>0</v>
      </c>
    </row>
    <row r="2336" spans="1:17">
      <c r="A2336" s="150"/>
      <c r="B2336" s="153"/>
      <c r="C2336" s="117" t="s">
        <v>38</v>
      </c>
      <c r="D2336" s="89"/>
      <c r="E2336" s="89"/>
      <c r="F2336" s="89"/>
      <c r="G2336" s="89"/>
      <c r="H2336" s="89"/>
      <c r="I2336" s="89"/>
      <c r="J2336" s="89"/>
      <c r="K2336" s="89"/>
      <c r="L2336" s="89"/>
      <c r="M2336" s="89"/>
      <c r="N2336" s="89"/>
      <c r="O2336" s="89"/>
      <c r="P2336" s="28"/>
      <c r="Q2336" s="132">
        <f t="shared" si="395"/>
        <v>0</v>
      </c>
    </row>
    <row r="2337" spans="1:17">
      <c r="A2337" s="150"/>
      <c r="B2337" s="153"/>
      <c r="C2337" s="62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32"/>
      <c r="Q2337" s="132">
        <f t="shared" si="395"/>
        <v>0</v>
      </c>
    </row>
    <row r="2338" spans="1:17">
      <c r="A2338" s="150"/>
      <c r="B2338" s="154"/>
      <c r="C2338" s="6" t="s">
        <v>42</v>
      </c>
      <c r="D2338" s="92"/>
      <c r="E2338" s="92"/>
      <c r="F2338" s="92"/>
      <c r="G2338" s="92"/>
      <c r="H2338" s="92"/>
      <c r="I2338" s="92"/>
      <c r="J2338" s="92"/>
      <c r="K2338" s="92"/>
      <c r="L2338" s="92"/>
      <c r="M2338" s="92"/>
      <c r="N2338" s="92"/>
      <c r="O2338" s="92"/>
      <c r="P2338" s="33"/>
      <c r="Q2338" s="135">
        <f t="shared" si="395"/>
        <v>0</v>
      </c>
    </row>
    <row r="2339" spans="1:17">
      <c r="A2339" s="150"/>
      <c r="B2339" s="155" t="s">
        <v>11</v>
      </c>
      <c r="C2339" s="5" t="s">
        <v>7</v>
      </c>
      <c r="D2339" s="94"/>
      <c r="E2339" s="94"/>
      <c r="F2339" s="94"/>
      <c r="G2339" s="94"/>
      <c r="H2339" s="94"/>
      <c r="I2339" s="94"/>
      <c r="J2339" s="94"/>
      <c r="K2339" s="94"/>
      <c r="L2339" s="94"/>
      <c r="M2339" s="94"/>
      <c r="N2339" s="94"/>
      <c r="O2339" s="94"/>
      <c r="P2339" s="27"/>
      <c r="Q2339" s="136">
        <f t="shared" si="395"/>
        <v>0</v>
      </c>
    </row>
    <row r="2340" spans="1:17">
      <c r="A2340" s="150"/>
      <c r="B2340" s="153"/>
      <c r="C2340" s="6" t="s">
        <v>4</v>
      </c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32"/>
      <c r="Q2340" s="132">
        <f t="shared" si="395"/>
        <v>0</v>
      </c>
    </row>
    <row r="2341" spans="1:17">
      <c r="A2341" s="150"/>
      <c r="B2341" s="153"/>
      <c r="C2341" s="6" t="s">
        <v>17</v>
      </c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32"/>
      <c r="Q2341" s="132">
        <f t="shared" si="395"/>
        <v>0</v>
      </c>
    </row>
    <row r="2342" spans="1:17">
      <c r="A2342" s="150"/>
      <c r="B2342" s="153"/>
      <c r="C2342" s="6" t="s">
        <v>18</v>
      </c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32"/>
      <c r="Q2342" s="132">
        <f t="shared" si="395"/>
        <v>0</v>
      </c>
    </row>
    <row r="2343" spans="1:17">
      <c r="A2343" s="150"/>
      <c r="B2343" s="153"/>
      <c r="C2343" s="6" t="s">
        <v>60</v>
      </c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1"/>
      <c r="O2343" s="91"/>
      <c r="P2343" s="32"/>
      <c r="Q2343" s="135">
        <f t="shared" si="395"/>
        <v>0</v>
      </c>
    </row>
    <row r="2344" spans="1:17">
      <c r="A2344" s="150"/>
      <c r="B2344" s="155" t="s">
        <v>13</v>
      </c>
      <c r="C2344" s="5" t="s">
        <v>10</v>
      </c>
      <c r="D2344" s="94"/>
      <c r="E2344" s="94"/>
      <c r="F2344" s="94"/>
      <c r="G2344" s="94"/>
      <c r="H2344" s="94"/>
      <c r="I2344" s="94"/>
      <c r="J2344" s="94"/>
      <c r="K2344" s="94"/>
      <c r="L2344" s="94"/>
      <c r="M2344" s="94"/>
      <c r="N2344" s="94"/>
      <c r="O2344" s="94"/>
      <c r="P2344" s="27"/>
      <c r="Q2344" s="131">
        <f t="shared" si="395"/>
        <v>0</v>
      </c>
    </row>
    <row r="2345" spans="1:17">
      <c r="A2345" s="150"/>
      <c r="B2345" s="153"/>
      <c r="C2345" s="116" t="s">
        <v>55</v>
      </c>
      <c r="D2345" s="89"/>
      <c r="E2345" s="89"/>
      <c r="F2345" s="89"/>
      <c r="G2345" s="89"/>
      <c r="H2345" s="89"/>
      <c r="I2345" s="89"/>
      <c r="J2345" s="89"/>
      <c r="K2345" s="89"/>
      <c r="L2345" s="89"/>
      <c r="M2345" s="89"/>
      <c r="N2345" s="89"/>
      <c r="O2345" s="89"/>
      <c r="P2345" s="28"/>
      <c r="Q2345" s="132">
        <f t="shared" si="395"/>
        <v>0</v>
      </c>
    </row>
    <row r="2346" spans="1:17">
      <c r="A2346" s="150"/>
      <c r="B2346" s="153"/>
      <c r="C2346" s="8" t="s">
        <v>56</v>
      </c>
      <c r="D2346" s="89"/>
      <c r="E2346" s="89"/>
      <c r="F2346" s="89"/>
      <c r="G2346" s="89"/>
      <c r="H2346" s="89"/>
      <c r="I2346" s="89"/>
      <c r="J2346" s="89"/>
      <c r="K2346" s="89"/>
      <c r="L2346" s="89"/>
      <c r="M2346" s="89"/>
      <c r="N2346" s="89"/>
      <c r="O2346" s="89"/>
      <c r="P2346" s="28"/>
      <c r="Q2346" s="132">
        <f t="shared" si="395"/>
        <v>0</v>
      </c>
    </row>
    <row r="2347" spans="1:17" ht="14.25" thickBot="1">
      <c r="A2347" s="150"/>
      <c r="B2347" s="154"/>
      <c r="C2347" s="4" t="s">
        <v>61</v>
      </c>
      <c r="D2347" s="92"/>
      <c r="E2347" s="92"/>
      <c r="F2347" s="92"/>
      <c r="G2347" s="92"/>
      <c r="H2347" s="92"/>
      <c r="I2347" s="92"/>
      <c r="J2347" s="92"/>
      <c r="K2347" s="92"/>
      <c r="L2347" s="92"/>
      <c r="M2347" s="92"/>
      <c r="N2347" s="92"/>
      <c r="O2347" s="92"/>
      <c r="P2347" s="33"/>
      <c r="Q2347" s="133">
        <f t="shared" si="395"/>
        <v>0</v>
      </c>
    </row>
    <row r="2348" spans="1:17" ht="14.25" thickBot="1">
      <c r="A2348" s="150"/>
      <c r="B2348" s="156" t="s">
        <v>54</v>
      </c>
      <c r="C2348" s="157"/>
      <c r="D2348" s="56">
        <f>SUM(D2334:D2338)-SUM(D2342:D2343)</f>
        <v>0</v>
      </c>
      <c r="E2348" s="56">
        <f t="shared" ref="E2348:O2348" si="397">SUM(E2334:E2338)-SUM(E2342:E2343)</f>
        <v>0</v>
      </c>
      <c r="F2348" s="56">
        <f t="shared" si="397"/>
        <v>0</v>
      </c>
      <c r="G2348" s="56">
        <f t="shared" si="397"/>
        <v>0</v>
      </c>
      <c r="H2348" s="56">
        <f t="shared" si="397"/>
        <v>0</v>
      </c>
      <c r="I2348" s="56">
        <f t="shared" si="397"/>
        <v>0</v>
      </c>
      <c r="J2348" s="56">
        <f t="shared" si="397"/>
        <v>0</v>
      </c>
      <c r="K2348" s="56">
        <f t="shared" si="397"/>
        <v>0</v>
      </c>
      <c r="L2348" s="56">
        <f t="shared" si="397"/>
        <v>0</v>
      </c>
      <c r="M2348" s="56">
        <f t="shared" si="397"/>
        <v>0</v>
      </c>
      <c r="N2348" s="56">
        <f t="shared" si="397"/>
        <v>0</v>
      </c>
      <c r="O2348" s="56">
        <f t="shared" si="397"/>
        <v>0</v>
      </c>
      <c r="P2348" s="58">
        <f>SUM(P2332:P2338)-SUM(P2342:P2343)</f>
        <v>0</v>
      </c>
      <c r="Q2348" s="130">
        <f t="shared" si="395"/>
        <v>0</v>
      </c>
    </row>
    <row r="2349" spans="1:17" ht="14.25" thickBot="1">
      <c r="A2349" s="151"/>
      <c r="B2349" s="147" t="s">
        <v>5</v>
      </c>
      <c r="C2349" s="148"/>
      <c r="D2349" s="42">
        <f>SUM(D2334:D2338)-SUM(D2339:D2343)+SUM(D2344:D2347)</f>
        <v>0</v>
      </c>
      <c r="E2349" s="42">
        <f t="shared" ref="E2349:O2349" si="398">SUM(E2334:E2338)-SUM(E2339:E2343)+SUM(E2344:E2347)</f>
        <v>0</v>
      </c>
      <c r="F2349" s="42">
        <f t="shared" si="398"/>
        <v>0</v>
      </c>
      <c r="G2349" s="42">
        <f t="shared" si="398"/>
        <v>0</v>
      </c>
      <c r="H2349" s="42">
        <f t="shared" si="398"/>
        <v>0</v>
      </c>
      <c r="I2349" s="42">
        <f t="shared" si="398"/>
        <v>0</v>
      </c>
      <c r="J2349" s="42">
        <f t="shared" si="398"/>
        <v>0</v>
      </c>
      <c r="K2349" s="42">
        <f t="shared" si="398"/>
        <v>0</v>
      </c>
      <c r="L2349" s="42">
        <f t="shared" si="398"/>
        <v>0</v>
      </c>
      <c r="M2349" s="42">
        <f t="shared" si="398"/>
        <v>0</v>
      </c>
      <c r="N2349" s="42">
        <f t="shared" si="398"/>
        <v>0</v>
      </c>
      <c r="O2349" s="42">
        <f t="shared" si="398"/>
        <v>0</v>
      </c>
      <c r="P2349" s="44">
        <f>SUM(P2332:P2338)-SUM(P2339:P2343)+SUM(P2344:P2347)</f>
        <v>0</v>
      </c>
      <c r="Q2349" s="46">
        <f>SUM(D2349:P2349)</f>
        <v>0</v>
      </c>
    </row>
    <row r="2350" spans="1:17">
      <c r="A2350" s="149"/>
      <c r="B2350" s="152" t="s">
        <v>12</v>
      </c>
      <c r="C2350" s="114" t="s">
        <v>84</v>
      </c>
      <c r="D2350" s="87"/>
      <c r="E2350" s="87"/>
      <c r="F2350" s="87"/>
      <c r="G2350" s="87"/>
      <c r="H2350" s="87"/>
      <c r="I2350" s="87"/>
      <c r="J2350" s="87"/>
      <c r="K2350" s="87"/>
      <c r="L2350" s="87"/>
      <c r="M2350" s="87"/>
      <c r="N2350" s="87"/>
      <c r="O2350" s="87"/>
      <c r="P2350" s="30"/>
      <c r="Q2350" s="134">
        <f>SUM(D2350:P2350)</f>
        <v>0</v>
      </c>
    </row>
    <row r="2351" spans="1:17">
      <c r="A2351" s="150"/>
      <c r="B2351" s="153"/>
      <c r="C2351" s="115" t="s">
        <v>85</v>
      </c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28"/>
      <c r="Q2351" s="132">
        <f t="shared" ref="Q2351:Q2366" si="399">SUM(D2351:P2351)</f>
        <v>0</v>
      </c>
    </row>
    <row r="2352" spans="1:17">
      <c r="A2352" s="150"/>
      <c r="B2352" s="153"/>
      <c r="C2352" s="116" t="s">
        <v>86</v>
      </c>
      <c r="D2352" s="91">
        <f t="shared" ref="D2352:O2352" si="400">D2350*D2351</f>
        <v>0</v>
      </c>
      <c r="E2352" s="91">
        <f t="shared" si="400"/>
        <v>0</v>
      </c>
      <c r="F2352" s="91">
        <f t="shared" si="400"/>
        <v>0</v>
      </c>
      <c r="G2352" s="91">
        <f t="shared" si="400"/>
        <v>0</v>
      </c>
      <c r="H2352" s="91">
        <f t="shared" si="400"/>
        <v>0</v>
      </c>
      <c r="I2352" s="91">
        <f t="shared" si="400"/>
        <v>0</v>
      </c>
      <c r="J2352" s="91">
        <f t="shared" si="400"/>
        <v>0</v>
      </c>
      <c r="K2352" s="91">
        <f t="shared" si="400"/>
        <v>0</v>
      </c>
      <c r="L2352" s="91">
        <f t="shared" si="400"/>
        <v>0</v>
      </c>
      <c r="M2352" s="91">
        <f t="shared" si="400"/>
        <v>0</v>
      </c>
      <c r="N2352" s="91">
        <f t="shared" si="400"/>
        <v>0</v>
      </c>
      <c r="O2352" s="91">
        <f t="shared" si="400"/>
        <v>0</v>
      </c>
      <c r="P2352" s="32"/>
      <c r="Q2352" s="132">
        <f t="shared" si="399"/>
        <v>0</v>
      </c>
    </row>
    <row r="2353" spans="1:17">
      <c r="A2353" s="150"/>
      <c r="B2353" s="153"/>
      <c r="C2353" s="117" t="s">
        <v>9</v>
      </c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1"/>
      <c r="O2353" s="91"/>
      <c r="P2353" s="32"/>
      <c r="Q2353" s="132">
        <f t="shared" si="399"/>
        <v>0</v>
      </c>
    </row>
    <row r="2354" spans="1:17">
      <c r="A2354" s="150"/>
      <c r="B2354" s="153"/>
      <c r="C2354" s="117" t="s">
        <v>38</v>
      </c>
      <c r="D2354" s="89"/>
      <c r="E2354" s="89"/>
      <c r="F2354" s="89"/>
      <c r="G2354" s="89"/>
      <c r="H2354" s="89"/>
      <c r="I2354" s="89"/>
      <c r="J2354" s="89"/>
      <c r="K2354" s="89"/>
      <c r="L2354" s="89"/>
      <c r="M2354" s="89"/>
      <c r="N2354" s="89"/>
      <c r="O2354" s="89"/>
      <c r="P2354" s="28"/>
      <c r="Q2354" s="132">
        <f t="shared" si="399"/>
        <v>0</v>
      </c>
    </row>
    <row r="2355" spans="1:17">
      <c r="A2355" s="150"/>
      <c r="B2355" s="153"/>
      <c r="C2355" s="62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1"/>
      <c r="O2355" s="91"/>
      <c r="P2355" s="32"/>
      <c r="Q2355" s="132">
        <f t="shared" si="399"/>
        <v>0</v>
      </c>
    </row>
    <row r="2356" spans="1:17">
      <c r="A2356" s="150"/>
      <c r="B2356" s="154"/>
      <c r="C2356" s="6" t="s">
        <v>42</v>
      </c>
      <c r="D2356" s="92"/>
      <c r="E2356" s="92"/>
      <c r="F2356" s="92"/>
      <c r="G2356" s="92"/>
      <c r="H2356" s="92"/>
      <c r="I2356" s="92"/>
      <c r="J2356" s="92"/>
      <c r="K2356" s="92"/>
      <c r="L2356" s="92"/>
      <c r="M2356" s="92"/>
      <c r="N2356" s="92"/>
      <c r="O2356" s="92"/>
      <c r="P2356" s="33"/>
      <c r="Q2356" s="135">
        <f t="shared" si="399"/>
        <v>0</v>
      </c>
    </row>
    <row r="2357" spans="1:17">
      <c r="A2357" s="150"/>
      <c r="B2357" s="155" t="s">
        <v>11</v>
      </c>
      <c r="C2357" s="5" t="s">
        <v>7</v>
      </c>
      <c r="D2357" s="94"/>
      <c r="E2357" s="94"/>
      <c r="F2357" s="94"/>
      <c r="G2357" s="94"/>
      <c r="H2357" s="94"/>
      <c r="I2357" s="94"/>
      <c r="J2357" s="94"/>
      <c r="K2357" s="94"/>
      <c r="L2357" s="94"/>
      <c r="M2357" s="94"/>
      <c r="N2357" s="94"/>
      <c r="O2357" s="94"/>
      <c r="P2357" s="27"/>
      <c r="Q2357" s="136">
        <f t="shared" si="399"/>
        <v>0</v>
      </c>
    </row>
    <row r="2358" spans="1:17">
      <c r="A2358" s="150"/>
      <c r="B2358" s="153"/>
      <c r="C2358" s="6" t="s">
        <v>4</v>
      </c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32"/>
      <c r="Q2358" s="132">
        <f t="shared" si="399"/>
        <v>0</v>
      </c>
    </row>
    <row r="2359" spans="1:17">
      <c r="A2359" s="150"/>
      <c r="B2359" s="153"/>
      <c r="C2359" s="6" t="s">
        <v>17</v>
      </c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32"/>
      <c r="Q2359" s="132">
        <f t="shared" si="399"/>
        <v>0</v>
      </c>
    </row>
    <row r="2360" spans="1:17">
      <c r="A2360" s="150"/>
      <c r="B2360" s="153"/>
      <c r="C2360" s="6" t="s">
        <v>18</v>
      </c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32"/>
      <c r="Q2360" s="132">
        <f t="shared" si="399"/>
        <v>0</v>
      </c>
    </row>
    <row r="2361" spans="1:17">
      <c r="A2361" s="150"/>
      <c r="B2361" s="153"/>
      <c r="C2361" s="6" t="s">
        <v>60</v>
      </c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32"/>
      <c r="Q2361" s="135">
        <f t="shared" si="399"/>
        <v>0</v>
      </c>
    </row>
    <row r="2362" spans="1:17">
      <c r="A2362" s="150"/>
      <c r="B2362" s="155" t="s">
        <v>13</v>
      </c>
      <c r="C2362" s="5" t="s">
        <v>10</v>
      </c>
      <c r="D2362" s="94"/>
      <c r="E2362" s="94"/>
      <c r="F2362" s="94"/>
      <c r="G2362" s="94"/>
      <c r="H2362" s="94"/>
      <c r="I2362" s="94"/>
      <c r="J2362" s="94"/>
      <c r="K2362" s="94"/>
      <c r="L2362" s="94"/>
      <c r="M2362" s="94"/>
      <c r="N2362" s="94"/>
      <c r="O2362" s="94"/>
      <c r="P2362" s="27"/>
      <c r="Q2362" s="131">
        <f t="shared" si="399"/>
        <v>0</v>
      </c>
    </row>
    <row r="2363" spans="1:17">
      <c r="A2363" s="150"/>
      <c r="B2363" s="153"/>
      <c r="C2363" s="116" t="s">
        <v>55</v>
      </c>
      <c r="D2363" s="89"/>
      <c r="E2363" s="89"/>
      <c r="F2363" s="89"/>
      <c r="G2363" s="89"/>
      <c r="H2363" s="89"/>
      <c r="I2363" s="89"/>
      <c r="J2363" s="89"/>
      <c r="K2363" s="89"/>
      <c r="L2363" s="89"/>
      <c r="M2363" s="89"/>
      <c r="N2363" s="89"/>
      <c r="O2363" s="89"/>
      <c r="P2363" s="28"/>
      <c r="Q2363" s="132">
        <f t="shared" si="399"/>
        <v>0</v>
      </c>
    </row>
    <row r="2364" spans="1:17">
      <c r="A2364" s="150"/>
      <c r="B2364" s="153"/>
      <c r="C2364" s="8" t="s">
        <v>56</v>
      </c>
      <c r="D2364" s="89"/>
      <c r="E2364" s="89"/>
      <c r="F2364" s="89"/>
      <c r="G2364" s="89"/>
      <c r="H2364" s="89"/>
      <c r="I2364" s="89"/>
      <c r="J2364" s="89"/>
      <c r="K2364" s="89"/>
      <c r="L2364" s="89"/>
      <c r="M2364" s="89"/>
      <c r="N2364" s="89"/>
      <c r="O2364" s="89"/>
      <c r="P2364" s="28"/>
      <c r="Q2364" s="132">
        <f t="shared" si="399"/>
        <v>0</v>
      </c>
    </row>
    <row r="2365" spans="1:17" ht="14.25" thickBot="1">
      <c r="A2365" s="150"/>
      <c r="B2365" s="154"/>
      <c r="C2365" s="4" t="s">
        <v>61</v>
      </c>
      <c r="D2365" s="92"/>
      <c r="E2365" s="92"/>
      <c r="F2365" s="92"/>
      <c r="G2365" s="92"/>
      <c r="H2365" s="92"/>
      <c r="I2365" s="92"/>
      <c r="J2365" s="92"/>
      <c r="K2365" s="92"/>
      <c r="L2365" s="92"/>
      <c r="M2365" s="92"/>
      <c r="N2365" s="92"/>
      <c r="O2365" s="92"/>
      <c r="P2365" s="33"/>
      <c r="Q2365" s="133">
        <f t="shared" si="399"/>
        <v>0</v>
      </c>
    </row>
    <row r="2366" spans="1:17" ht="14.25" thickBot="1">
      <c r="A2366" s="150"/>
      <c r="B2366" s="156" t="s">
        <v>54</v>
      </c>
      <c r="C2366" s="157"/>
      <c r="D2366" s="56">
        <f>SUM(D2352:D2356)-SUM(D2360:D2361)</f>
        <v>0</v>
      </c>
      <c r="E2366" s="56">
        <f t="shared" ref="E2366:O2366" si="401">SUM(E2352:E2356)-SUM(E2360:E2361)</f>
        <v>0</v>
      </c>
      <c r="F2366" s="56">
        <f t="shared" si="401"/>
        <v>0</v>
      </c>
      <c r="G2366" s="56">
        <f t="shared" si="401"/>
        <v>0</v>
      </c>
      <c r="H2366" s="56">
        <f t="shared" si="401"/>
        <v>0</v>
      </c>
      <c r="I2366" s="56">
        <f t="shared" si="401"/>
        <v>0</v>
      </c>
      <c r="J2366" s="56">
        <f t="shared" si="401"/>
        <v>0</v>
      </c>
      <c r="K2366" s="56">
        <f t="shared" si="401"/>
        <v>0</v>
      </c>
      <c r="L2366" s="56">
        <f t="shared" si="401"/>
        <v>0</v>
      </c>
      <c r="M2366" s="56">
        <f t="shared" si="401"/>
        <v>0</v>
      </c>
      <c r="N2366" s="56">
        <f t="shared" si="401"/>
        <v>0</v>
      </c>
      <c r="O2366" s="56">
        <f t="shared" si="401"/>
        <v>0</v>
      </c>
      <c r="P2366" s="58">
        <f>SUM(P2350:P2356)-SUM(P2360:P2361)</f>
        <v>0</v>
      </c>
      <c r="Q2366" s="130">
        <f t="shared" si="399"/>
        <v>0</v>
      </c>
    </row>
    <row r="2367" spans="1:17" ht="14.25" thickBot="1">
      <c r="A2367" s="151"/>
      <c r="B2367" s="147" t="s">
        <v>5</v>
      </c>
      <c r="C2367" s="148"/>
      <c r="D2367" s="42">
        <f>SUM(D2352:D2356)-SUM(D2357:D2361)+SUM(D2362:D2365)</f>
        <v>0</v>
      </c>
      <c r="E2367" s="42">
        <f t="shared" ref="E2367:O2367" si="402">SUM(E2352:E2356)-SUM(E2357:E2361)+SUM(E2362:E2365)</f>
        <v>0</v>
      </c>
      <c r="F2367" s="42">
        <f t="shared" si="402"/>
        <v>0</v>
      </c>
      <c r="G2367" s="42">
        <f t="shared" si="402"/>
        <v>0</v>
      </c>
      <c r="H2367" s="42">
        <f t="shared" si="402"/>
        <v>0</v>
      </c>
      <c r="I2367" s="42">
        <f t="shared" si="402"/>
        <v>0</v>
      </c>
      <c r="J2367" s="42">
        <f t="shared" si="402"/>
        <v>0</v>
      </c>
      <c r="K2367" s="42">
        <f t="shared" si="402"/>
        <v>0</v>
      </c>
      <c r="L2367" s="42">
        <f t="shared" si="402"/>
        <v>0</v>
      </c>
      <c r="M2367" s="42">
        <f t="shared" si="402"/>
        <v>0</v>
      </c>
      <c r="N2367" s="42">
        <f t="shared" si="402"/>
        <v>0</v>
      </c>
      <c r="O2367" s="42">
        <f t="shared" si="402"/>
        <v>0</v>
      </c>
      <c r="P2367" s="44">
        <f>SUM(P2350:P2356)-SUM(P2357:P2361)+SUM(P2362:P2365)</f>
        <v>0</v>
      </c>
      <c r="Q2367" s="46">
        <f>SUM(D2367:P2367)</f>
        <v>0</v>
      </c>
    </row>
    <row r="2368" spans="1:17">
      <c r="A2368" s="149"/>
      <c r="B2368" s="152" t="s">
        <v>12</v>
      </c>
      <c r="C2368" s="114" t="s">
        <v>84</v>
      </c>
      <c r="D2368" s="87"/>
      <c r="E2368" s="87"/>
      <c r="F2368" s="87"/>
      <c r="G2368" s="87"/>
      <c r="H2368" s="87"/>
      <c r="I2368" s="87"/>
      <c r="J2368" s="87"/>
      <c r="K2368" s="87"/>
      <c r="L2368" s="87"/>
      <c r="M2368" s="87"/>
      <c r="N2368" s="87"/>
      <c r="O2368" s="87"/>
      <c r="P2368" s="30"/>
      <c r="Q2368" s="134">
        <f>SUM(D2368:P2368)</f>
        <v>0</v>
      </c>
    </row>
    <row r="2369" spans="1:17">
      <c r="A2369" s="150"/>
      <c r="B2369" s="153"/>
      <c r="C2369" s="115" t="s">
        <v>85</v>
      </c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28"/>
      <c r="Q2369" s="132">
        <f t="shared" ref="Q2369:Q2384" si="403">SUM(D2369:P2369)</f>
        <v>0</v>
      </c>
    </row>
    <row r="2370" spans="1:17">
      <c r="A2370" s="150"/>
      <c r="B2370" s="153"/>
      <c r="C2370" s="116" t="s">
        <v>86</v>
      </c>
      <c r="D2370" s="91">
        <f t="shared" ref="D2370:O2370" si="404">D2368*D2369</f>
        <v>0</v>
      </c>
      <c r="E2370" s="91">
        <f t="shared" si="404"/>
        <v>0</v>
      </c>
      <c r="F2370" s="91">
        <f t="shared" si="404"/>
        <v>0</v>
      </c>
      <c r="G2370" s="91">
        <f t="shared" si="404"/>
        <v>0</v>
      </c>
      <c r="H2370" s="91">
        <f t="shared" si="404"/>
        <v>0</v>
      </c>
      <c r="I2370" s="91">
        <f t="shared" si="404"/>
        <v>0</v>
      </c>
      <c r="J2370" s="91">
        <f t="shared" si="404"/>
        <v>0</v>
      </c>
      <c r="K2370" s="91">
        <f t="shared" si="404"/>
        <v>0</v>
      </c>
      <c r="L2370" s="91">
        <f t="shared" si="404"/>
        <v>0</v>
      </c>
      <c r="M2370" s="91">
        <f t="shared" si="404"/>
        <v>0</v>
      </c>
      <c r="N2370" s="91">
        <f t="shared" si="404"/>
        <v>0</v>
      </c>
      <c r="O2370" s="91">
        <f t="shared" si="404"/>
        <v>0</v>
      </c>
      <c r="P2370" s="32"/>
      <c r="Q2370" s="132">
        <f t="shared" si="403"/>
        <v>0</v>
      </c>
    </row>
    <row r="2371" spans="1:17">
      <c r="A2371" s="150"/>
      <c r="B2371" s="153"/>
      <c r="C2371" s="117" t="s">
        <v>9</v>
      </c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32"/>
      <c r="Q2371" s="132">
        <f t="shared" si="403"/>
        <v>0</v>
      </c>
    </row>
    <row r="2372" spans="1:17">
      <c r="A2372" s="150"/>
      <c r="B2372" s="153"/>
      <c r="C2372" s="117" t="s">
        <v>38</v>
      </c>
      <c r="D2372" s="89"/>
      <c r="E2372" s="89"/>
      <c r="F2372" s="89"/>
      <c r="G2372" s="89"/>
      <c r="H2372" s="89"/>
      <c r="I2372" s="89"/>
      <c r="J2372" s="89"/>
      <c r="K2372" s="89"/>
      <c r="L2372" s="89"/>
      <c r="M2372" s="89"/>
      <c r="N2372" s="89"/>
      <c r="O2372" s="89"/>
      <c r="P2372" s="28"/>
      <c r="Q2372" s="132">
        <f t="shared" si="403"/>
        <v>0</v>
      </c>
    </row>
    <row r="2373" spans="1:17">
      <c r="A2373" s="150"/>
      <c r="B2373" s="153"/>
      <c r="C2373" s="62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1"/>
      <c r="O2373" s="91"/>
      <c r="P2373" s="32"/>
      <c r="Q2373" s="132">
        <f t="shared" si="403"/>
        <v>0</v>
      </c>
    </row>
    <row r="2374" spans="1:17">
      <c r="A2374" s="150"/>
      <c r="B2374" s="154"/>
      <c r="C2374" s="6" t="s">
        <v>42</v>
      </c>
      <c r="D2374" s="92"/>
      <c r="E2374" s="92"/>
      <c r="F2374" s="92"/>
      <c r="G2374" s="92"/>
      <c r="H2374" s="92"/>
      <c r="I2374" s="92"/>
      <c r="J2374" s="92"/>
      <c r="K2374" s="92"/>
      <c r="L2374" s="92"/>
      <c r="M2374" s="92"/>
      <c r="N2374" s="92"/>
      <c r="O2374" s="92"/>
      <c r="P2374" s="33"/>
      <c r="Q2374" s="135">
        <f t="shared" si="403"/>
        <v>0</v>
      </c>
    </row>
    <row r="2375" spans="1:17">
      <c r="A2375" s="150"/>
      <c r="B2375" s="155" t="s">
        <v>11</v>
      </c>
      <c r="C2375" s="5" t="s">
        <v>7</v>
      </c>
      <c r="D2375" s="94"/>
      <c r="E2375" s="94"/>
      <c r="F2375" s="94"/>
      <c r="G2375" s="94"/>
      <c r="H2375" s="94"/>
      <c r="I2375" s="94"/>
      <c r="J2375" s="94"/>
      <c r="K2375" s="94"/>
      <c r="L2375" s="94"/>
      <c r="M2375" s="94"/>
      <c r="N2375" s="94"/>
      <c r="O2375" s="94"/>
      <c r="P2375" s="27"/>
      <c r="Q2375" s="136">
        <f t="shared" si="403"/>
        <v>0</v>
      </c>
    </row>
    <row r="2376" spans="1:17">
      <c r="A2376" s="150"/>
      <c r="B2376" s="153"/>
      <c r="C2376" s="6" t="s">
        <v>4</v>
      </c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32"/>
      <c r="Q2376" s="132">
        <f t="shared" si="403"/>
        <v>0</v>
      </c>
    </row>
    <row r="2377" spans="1:17">
      <c r="A2377" s="150"/>
      <c r="B2377" s="153"/>
      <c r="C2377" s="6" t="s">
        <v>17</v>
      </c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1"/>
      <c r="O2377" s="91"/>
      <c r="P2377" s="32"/>
      <c r="Q2377" s="132">
        <f t="shared" si="403"/>
        <v>0</v>
      </c>
    </row>
    <row r="2378" spans="1:17">
      <c r="A2378" s="150"/>
      <c r="B2378" s="153"/>
      <c r="C2378" s="6" t="s">
        <v>18</v>
      </c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32"/>
      <c r="Q2378" s="132">
        <f t="shared" si="403"/>
        <v>0</v>
      </c>
    </row>
    <row r="2379" spans="1:17">
      <c r="A2379" s="150"/>
      <c r="B2379" s="153"/>
      <c r="C2379" s="6" t="s">
        <v>60</v>
      </c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1"/>
      <c r="O2379" s="91"/>
      <c r="P2379" s="32"/>
      <c r="Q2379" s="135">
        <f t="shared" si="403"/>
        <v>0</v>
      </c>
    </row>
    <row r="2380" spans="1:17">
      <c r="A2380" s="150"/>
      <c r="B2380" s="155" t="s">
        <v>13</v>
      </c>
      <c r="C2380" s="5" t="s">
        <v>10</v>
      </c>
      <c r="D2380" s="94"/>
      <c r="E2380" s="94"/>
      <c r="F2380" s="94"/>
      <c r="G2380" s="94"/>
      <c r="H2380" s="94"/>
      <c r="I2380" s="94"/>
      <c r="J2380" s="94"/>
      <c r="K2380" s="94"/>
      <c r="L2380" s="94"/>
      <c r="M2380" s="94"/>
      <c r="N2380" s="94"/>
      <c r="O2380" s="94"/>
      <c r="P2380" s="27"/>
      <c r="Q2380" s="131">
        <f t="shared" si="403"/>
        <v>0</v>
      </c>
    </row>
    <row r="2381" spans="1:17">
      <c r="A2381" s="150"/>
      <c r="B2381" s="153"/>
      <c r="C2381" s="116" t="s">
        <v>55</v>
      </c>
      <c r="D2381" s="89"/>
      <c r="E2381" s="89"/>
      <c r="F2381" s="89"/>
      <c r="G2381" s="89"/>
      <c r="H2381" s="89"/>
      <c r="I2381" s="89"/>
      <c r="J2381" s="89"/>
      <c r="K2381" s="89"/>
      <c r="L2381" s="89"/>
      <c r="M2381" s="89"/>
      <c r="N2381" s="89"/>
      <c r="O2381" s="89"/>
      <c r="P2381" s="28"/>
      <c r="Q2381" s="132">
        <f t="shared" si="403"/>
        <v>0</v>
      </c>
    </row>
    <row r="2382" spans="1:17">
      <c r="A2382" s="150"/>
      <c r="B2382" s="153"/>
      <c r="C2382" s="8" t="s">
        <v>56</v>
      </c>
      <c r="D2382" s="89"/>
      <c r="E2382" s="89"/>
      <c r="F2382" s="89"/>
      <c r="G2382" s="89"/>
      <c r="H2382" s="89"/>
      <c r="I2382" s="89"/>
      <c r="J2382" s="89"/>
      <c r="K2382" s="89"/>
      <c r="L2382" s="89"/>
      <c r="M2382" s="89"/>
      <c r="N2382" s="89"/>
      <c r="O2382" s="89"/>
      <c r="P2382" s="28"/>
      <c r="Q2382" s="132">
        <f t="shared" si="403"/>
        <v>0</v>
      </c>
    </row>
    <row r="2383" spans="1:17" ht="14.25" thickBot="1">
      <c r="A2383" s="150"/>
      <c r="B2383" s="154"/>
      <c r="C2383" s="4" t="s">
        <v>61</v>
      </c>
      <c r="D2383" s="92"/>
      <c r="E2383" s="92"/>
      <c r="F2383" s="92"/>
      <c r="G2383" s="92"/>
      <c r="H2383" s="92"/>
      <c r="I2383" s="92"/>
      <c r="J2383" s="92"/>
      <c r="K2383" s="92"/>
      <c r="L2383" s="92"/>
      <c r="M2383" s="92"/>
      <c r="N2383" s="92"/>
      <c r="O2383" s="92"/>
      <c r="P2383" s="33"/>
      <c r="Q2383" s="133">
        <f t="shared" si="403"/>
        <v>0</v>
      </c>
    </row>
    <row r="2384" spans="1:17" ht="14.25" thickBot="1">
      <c r="A2384" s="150"/>
      <c r="B2384" s="156" t="s">
        <v>54</v>
      </c>
      <c r="C2384" s="157"/>
      <c r="D2384" s="56">
        <f>SUM(D2370:D2374)-SUM(D2378:D2379)</f>
        <v>0</v>
      </c>
      <c r="E2384" s="56">
        <f t="shared" ref="E2384:O2384" si="405">SUM(E2370:E2374)-SUM(E2378:E2379)</f>
        <v>0</v>
      </c>
      <c r="F2384" s="56">
        <f t="shared" si="405"/>
        <v>0</v>
      </c>
      <c r="G2384" s="56">
        <f t="shared" si="405"/>
        <v>0</v>
      </c>
      <c r="H2384" s="56">
        <f t="shared" si="405"/>
        <v>0</v>
      </c>
      <c r="I2384" s="56">
        <f t="shared" si="405"/>
        <v>0</v>
      </c>
      <c r="J2384" s="56">
        <f t="shared" si="405"/>
        <v>0</v>
      </c>
      <c r="K2384" s="56">
        <f t="shared" si="405"/>
        <v>0</v>
      </c>
      <c r="L2384" s="56">
        <f t="shared" si="405"/>
        <v>0</v>
      </c>
      <c r="M2384" s="56">
        <f t="shared" si="405"/>
        <v>0</v>
      </c>
      <c r="N2384" s="56">
        <f t="shared" si="405"/>
        <v>0</v>
      </c>
      <c r="O2384" s="56">
        <f t="shared" si="405"/>
        <v>0</v>
      </c>
      <c r="P2384" s="58">
        <f>SUM(P2368:P2374)-SUM(P2378:P2379)</f>
        <v>0</v>
      </c>
      <c r="Q2384" s="130">
        <f t="shared" si="403"/>
        <v>0</v>
      </c>
    </row>
    <row r="2385" spans="1:17" ht="14.25" thickBot="1">
      <c r="A2385" s="151"/>
      <c r="B2385" s="147" t="s">
        <v>5</v>
      </c>
      <c r="C2385" s="148"/>
      <c r="D2385" s="42">
        <f>SUM(D2370:D2374)-SUM(D2375:D2379)+SUM(D2380:D2383)</f>
        <v>0</v>
      </c>
      <c r="E2385" s="42">
        <f t="shared" ref="E2385:O2385" si="406">SUM(E2370:E2374)-SUM(E2375:E2379)+SUM(E2380:E2383)</f>
        <v>0</v>
      </c>
      <c r="F2385" s="42">
        <f t="shared" si="406"/>
        <v>0</v>
      </c>
      <c r="G2385" s="42">
        <f t="shared" si="406"/>
        <v>0</v>
      </c>
      <c r="H2385" s="42">
        <f t="shared" si="406"/>
        <v>0</v>
      </c>
      <c r="I2385" s="42">
        <f t="shared" si="406"/>
        <v>0</v>
      </c>
      <c r="J2385" s="42">
        <f t="shared" si="406"/>
        <v>0</v>
      </c>
      <c r="K2385" s="42">
        <f t="shared" si="406"/>
        <v>0</v>
      </c>
      <c r="L2385" s="42">
        <f t="shared" si="406"/>
        <v>0</v>
      </c>
      <c r="M2385" s="42">
        <f t="shared" si="406"/>
        <v>0</v>
      </c>
      <c r="N2385" s="42">
        <f t="shared" si="406"/>
        <v>0</v>
      </c>
      <c r="O2385" s="42">
        <f t="shared" si="406"/>
        <v>0</v>
      </c>
      <c r="P2385" s="44">
        <f>SUM(P2368:P2374)-SUM(P2375:P2379)+SUM(P2380:P2383)</f>
        <v>0</v>
      </c>
      <c r="Q2385" s="46">
        <f>SUM(D2385:P2385)</f>
        <v>0</v>
      </c>
    </row>
    <row r="2386" spans="1:17">
      <c r="A2386" s="149"/>
      <c r="B2386" s="152" t="s">
        <v>12</v>
      </c>
      <c r="C2386" s="114" t="s">
        <v>84</v>
      </c>
      <c r="D2386" s="87"/>
      <c r="E2386" s="87"/>
      <c r="F2386" s="87"/>
      <c r="G2386" s="87"/>
      <c r="H2386" s="87"/>
      <c r="I2386" s="87"/>
      <c r="J2386" s="87"/>
      <c r="K2386" s="87"/>
      <c r="L2386" s="87"/>
      <c r="M2386" s="87"/>
      <c r="N2386" s="87"/>
      <c r="O2386" s="87"/>
      <c r="P2386" s="30"/>
      <c r="Q2386" s="134">
        <f>SUM(D2386:P2386)</f>
        <v>0</v>
      </c>
    </row>
    <row r="2387" spans="1:17">
      <c r="A2387" s="150"/>
      <c r="B2387" s="153"/>
      <c r="C2387" s="115" t="s">
        <v>85</v>
      </c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28"/>
      <c r="Q2387" s="132">
        <f t="shared" ref="Q2387:Q2402" si="407">SUM(D2387:P2387)</f>
        <v>0</v>
      </c>
    </row>
    <row r="2388" spans="1:17">
      <c r="A2388" s="150"/>
      <c r="B2388" s="153"/>
      <c r="C2388" s="116" t="s">
        <v>86</v>
      </c>
      <c r="D2388" s="91">
        <f t="shared" ref="D2388:O2388" si="408">D2386*D2387</f>
        <v>0</v>
      </c>
      <c r="E2388" s="91">
        <f t="shared" si="408"/>
        <v>0</v>
      </c>
      <c r="F2388" s="91">
        <f t="shared" si="408"/>
        <v>0</v>
      </c>
      <c r="G2388" s="91">
        <f t="shared" si="408"/>
        <v>0</v>
      </c>
      <c r="H2388" s="91">
        <f t="shared" si="408"/>
        <v>0</v>
      </c>
      <c r="I2388" s="91">
        <f t="shared" si="408"/>
        <v>0</v>
      </c>
      <c r="J2388" s="91">
        <f t="shared" si="408"/>
        <v>0</v>
      </c>
      <c r="K2388" s="91">
        <f t="shared" si="408"/>
        <v>0</v>
      </c>
      <c r="L2388" s="91">
        <f t="shared" si="408"/>
        <v>0</v>
      </c>
      <c r="M2388" s="91">
        <f t="shared" si="408"/>
        <v>0</v>
      </c>
      <c r="N2388" s="91">
        <f t="shared" si="408"/>
        <v>0</v>
      </c>
      <c r="O2388" s="91">
        <f t="shared" si="408"/>
        <v>0</v>
      </c>
      <c r="P2388" s="32"/>
      <c r="Q2388" s="132">
        <f t="shared" si="407"/>
        <v>0</v>
      </c>
    </row>
    <row r="2389" spans="1:17">
      <c r="A2389" s="150"/>
      <c r="B2389" s="153"/>
      <c r="C2389" s="117" t="s">
        <v>9</v>
      </c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32"/>
      <c r="Q2389" s="132">
        <f t="shared" si="407"/>
        <v>0</v>
      </c>
    </row>
    <row r="2390" spans="1:17">
      <c r="A2390" s="150"/>
      <c r="B2390" s="153"/>
      <c r="C2390" s="117" t="s">
        <v>38</v>
      </c>
      <c r="D2390" s="89"/>
      <c r="E2390" s="89"/>
      <c r="F2390" s="89"/>
      <c r="G2390" s="89"/>
      <c r="H2390" s="89"/>
      <c r="I2390" s="89"/>
      <c r="J2390" s="89"/>
      <c r="K2390" s="89"/>
      <c r="L2390" s="89"/>
      <c r="M2390" s="89"/>
      <c r="N2390" s="89"/>
      <c r="O2390" s="89"/>
      <c r="P2390" s="28"/>
      <c r="Q2390" s="132">
        <f t="shared" si="407"/>
        <v>0</v>
      </c>
    </row>
    <row r="2391" spans="1:17">
      <c r="A2391" s="150"/>
      <c r="B2391" s="153"/>
      <c r="C2391" s="62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32"/>
      <c r="Q2391" s="132">
        <f t="shared" si="407"/>
        <v>0</v>
      </c>
    </row>
    <row r="2392" spans="1:17">
      <c r="A2392" s="150"/>
      <c r="B2392" s="154"/>
      <c r="C2392" s="6" t="s">
        <v>42</v>
      </c>
      <c r="D2392" s="92"/>
      <c r="E2392" s="92"/>
      <c r="F2392" s="92"/>
      <c r="G2392" s="92"/>
      <c r="H2392" s="92"/>
      <c r="I2392" s="92"/>
      <c r="J2392" s="92"/>
      <c r="K2392" s="92"/>
      <c r="L2392" s="92"/>
      <c r="M2392" s="92"/>
      <c r="N2392" s="92"/>
      <c r="O2392" s="92"/>
      <c r="P2392" s="33"/>
      <c r="Q2392" s="135">
        <f t="shared" si="407"/>
        <v>0</v>
      </c>
    </row>
    <row r="2393" spans="1:17">
      <c r="A2393" s="150"/>
      <c r="B2393" s="155" t="s">
        <v>11</v>
      </c>
      <c r="C2393" s="5" t="s">
        <v>7</v>
      </c>
      <c r="D2393" s="94"/>
      <c r="E2393" s="94"/>
      <c r="F2393" s="94"/>
      <c r="G2393" s="94"/>
      <c r="H2393" s="94"/>
      <c r="I2393" s="94"/>
      <c r="J2393" s="94"/>
      <c r="K2393" s="94"/>
      <c r="L2393" s="94"/>
      <c r="M2393" s="94"/>
      <c r="N2393" s="94"/>
      <c r="O2393" s="94"/>
      <c r="P2393" s="27"/>
      <c r="Q2393" s="136">
        <f t="shared" si="407"/>
        <v>0</v>
      </c>
    </row>
    <row r="2394" spans="1:17">
      <c r="A2394" s="150"/>
      <c r="B2394" s="153"/>
      <c r="C2394" s="6" t="s">
        <v>4</v>
      </c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32"/>
      <c r="Q2394" s="132">
        <f t="shared" si="407"/>
        <v>0</v>
      </c>
    </row>
    <row r="2395" spans="1:17">
      <c r="A2395" s="150"/>
      <c r="B2395" s="153"/>
      <c r="C2395" s="6" t="s">
        <v>17</v>
      </c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32"/>
      <c r="Q2395" s="132">
        <f t="shared" si="407"/>
        <v>0</v>
      </c>
    </row>
    <row r="2396" spans="1:17">
      <c r="A2396" s="150"/>
      <c r="B2396" s="153"/>
      <c r="C2396" s="6" t="s">
        <v>18</v>
      </c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32"/>
      <c r="Q2396" s="132">
        <f t="shared" si="407"/>
        <v>0</v>
      </c>
    </row>
    <row r="2397" spans="1:17">
      <c r="A2397" s="150"/>
      <c r="B2397" s="153"/>
      <c r="C2397" s="6" t="s">
        <v>60</v>
      </c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32"/>
      <c r="Q2397" s="135">
        <f t="shared" si="407"/>
        <v>0</v>
      </c>
    </row>
    <row r="2398" spans="1:17">
      <c r="A2398" s="150"/>
      <c r="B2398" s="155" t="s">
        <v>13</v>
      </c>
      <c r="C2398" s="5" t="s">
        <v>10</v>
      </c>
      <c r="D2398" s="94"/>
      <c r="E2398" s="94"/>
      <c r="F2398" s="94"/>
      <c r="G2398" s="94"/>
      <c r="H2398" s="94"/>
      <c r="I2398" s="94"/>
      <c r="J2398" s="94"/>
      <c r="K2398" s="94"/>
      <c r="L2398" s="94"/>
      <c r="M2398" s="94"/>
      <c r="N2398" s="94"/>
      <c r="O2398" s="94"/>
      <c r="P2398" s="27"/>
      <c r="Q2398" s="131">
        <f t="shared" si="407"/>
        <v>0</v>
      </c>
    </row>
    <row r="2399" spans="1:17">
      <c r="A2399" s="150"/>
      <c r="B2399" s="153"/>
      <c r="C2399" s="116" t="s">
        <v>55</v>
      </c>
      <c r="D2399" s="89"/>
      <c r="E2399" s="89"/>
      <c r="F2399" s="89"/>
      <c r="G2399" s="89"/>
      <c r="H2399" s="89"/>
      <c r="I2399" s="89"/>
      <c r="J2399" s="89"/>
      <c r="K2399" s="89"/>
      <c r="L2399" s="89"/>
      <c r="M2399" s="89"/>
      <c r="N2399" s="89"/>
      <c r="O2399" s="89"/>
      <c r="P2399" s="28"/>
      <c r="Q2399" s="132">
        <f t="shared" si="407"/>
        <v>0</v>
      </c>
    </row>
    <row r="2400" spans="1:17">
      <c r="A2400" s="150"/>
      <c r="B2400" s="153"/>
      <c r="C2400" s="8" t="s">
        <v>56</v>
      </c>
      <c r="D2400" s="89"/>
      <c r="E2400" s="89"/>
      <c r="F2400" s="89"/>
      <c r="G2400" s="89"/>
      <c r="H2400" s="89"/>
      <c r="I2400" s="89"/>
      <c r="J2400" s="89"/>
      <c r="K2400" s="89"/>
      <c r="L2400" s="89"/>
      <c r="M2400" s="89"/>
      <c r="N2400" s="89"/>
      <c r="O2400" s="89"/>
      <c r="P2400" s="28"/>
      <c r="Q2400" s="132">
        <f t="shared" si="407"/>
        <v>0</v>
      </c>
    </row>
    <row r="2401" spans="1:17" ht="14.25" thickBot="1">
      <c r="A2401" s="150"/>
      <c r="B2401" s="154"/>
      <c r="C2401" s="4" t="s">
        <v>61</v>
      </c>
      <c r="D2401" s="92"/>
      <c r="E2401" s="92"/>
      <c r="F2401" s="92"/>
      <c r="G2401" s="92"/>
      <c r="H2401" s="92"/>
      <c r="I2401" s="92"/>
      <c r="J2401" s="92"/>
      <c r="K2401" s="92"/>
      <c r="L2401" s="92"/>
      <c r="M2401" s="92"/>
      <c r="N2401" s="92"/>
      <c r="O2401" s="92"/>
      <c r="P2401" s="33"/>
      <c r="Q2401" s="133">
        <f t="shared" si="407"/>
        <v>0</v>
      </c>
    </row>
    <row r="2402" spans="1:17" ht="14.25" thickBot="1">
      <c r="A2402" s="150"/>
      <c r="B2402" s="156" t="s">
        <v>54</v>
      </c>
      <c r="C2402" s="157"/>
      <c r="D2402" s="56">
        <f>SUM(D2388:D2392)-SUM(D2396:D2397)</f>
        <v>0</v>
      </c>
      <c r="E2402" s="56">
        <f t="shared" ref="E2402:O2402" si="409">SUM(E2388:E2392)-SUM(E2396:E2397)</f>
        <v>0</v>
      </c>
      <c r="F2402" s="56">
        <f t="shared" si="409"/>
        <v>0</v>
      </c>
      <c r="G2402" s="56">
        <f t="shared" si="409"/>
        <v>0</v>
      </c>
      <c r="H2402" s="56">
        <f t="shared" si="409"/>
        <v>0</v>
      </c>
      <c r="I2402" s="56">
        <f t="shared" si="409"/>
        <v>0</v>
      </c>
      <c r="J2402" s="56">
        <f t="shared" si="409"/>
        <v>0</v>
      </c>
      <c r="K2402" s="56">
        <f t="shared" si="409"/>
        <v>0</v>
      </c>
      <c r="L2402" s="56">
        <f t="shared" si="409"/>
        <v>0</v>
      </c>
      <c r="M2402" s="56">
        <f t="shared" si="409"/>
        <v>0</v>
      </c>
      <c r="N2402" s="56">
        <f t="shared" si="409"/>
        <v>0</v>
      </c>
      <c r="O2402" s="56">
        <f t="shared" si="409"/>
        <v>0</v>
      </c>
      <c r="P2402" s="58">
        <f>SUM(P2386:P2392)-SUM(P2396:P2397)</f>
        <v>0</v>
      </c>
      <c r="Q2402" s="130">
        <f t="shared" si="407"/>
        <v>0</v>
      </c>
    </row>
    <row r="2403" spans="1:17" ht="14.25" thickBot="1">
      <c r="A2403" s="151"/>
      <c r="B2403" s="147" t="s">
        <v>5</v>
      </c>
      <c r="C2403" s="148"/>
      <c r="D2403" s="42">
        <f>SUM(D2388:D2392)-SUM(D2393:D2397)+SUM(D2398:D2401)</f>
        <v>0</v>
      </c>
      <c r="E2403" s="42">
        <f t="shared" ref="E2403:O2403" si="410">SUM(E2388:E2392)-SUM(E2393:E2397)+SUM(E2398:E2401)</f>
        <v>0</v>
      </c>
      <c r="F2403" s="42">
        <f t="shared" si="410"/>
        <v>0</v>
      </c>
      <c r="G2403" s="42">
        <f t="shared" si="410"/>
        <v>0</v>
      </c>
      <c r="H2403" s="42">
        <f t="shared" si="410"/>
        <v>0</v>
      </c>
      <c r="I2403" s="42">
        <f t="shared" si="410"/>
        <v>0</v>
      </c>
      <c r="J2403" s="42">
        <f t="shared" si="410"/>
        <v>0</v>
      </c>
      <c r="K2403" s="42">
        <f t="shared" si="410"/>
        <v>0</v>
      </c>
      <c r="L2403" s="42">
        <f t="shared" si="410"/>
        <v>0</v>
      </c>
      <c r="M2403" s="42">
        <f t="shared" si="410"/>
        <v>0</v>
      </c>
      <c r="N2403" s="42">
        <f t="shared" si="410"/>
        <v>0</v>
      </c>
      <c r="O2403" s="42">
        <f t="shared" si="410"/>
        <v>0</v>
      </c>
      <c r="P2403" s="44">
        <f>SUM(P2386:P2392)-SUM(P2393:P2397)+SUM(P2398:P2401)</f>
        <v>0</v>
      </c>
      <c r="Q2403" s="46">
        <f>SUM(D2403:P2403)</f>
        <v>0</v>
      </c>
    </row>
    <row r="2404" spans="1:17">
      <c r="A2404" s="149"/>
      <c r="B2404" s="152" t="s">
        <v>12</v>
      </c>
      <c r="C2404" s="114" t="s">
        <v>84</v>
      </c>
      <c r="D2404" s="87"/>
      <c r="E2404" s="87"/>
      <c r="F2404" s="87"/>
      <c r="G2404" s="87"/>
      <c r="H2404" s="87"/>
      <c r="I2404" s="87"/>
      <c r="J2404" s="87"/>
      <c r="K2404" s="87"/>
      <c r="L2404" s="87"/>
      <c r="M2404" s="87"/>
      <c r="N2404" s="87"/>
      <c r="O2404" s="87"/>
      <c r="P2404" s="30"/>
      <c r="Q2404" s="134">
        <f>SUM(D2404:P2404)</f>
        <v>0</v>
      </c>
    </row>
    <row r="2405" spans="1:17">
      <c r="A2405" s="150"/>
      <c r="B2405" s="153"/>
      <c r="C2405" s="115" t="s">
        <v>85</v>
      </c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28"/>
      <c r="Q2405" s="132">
        <f t="shared" ref="Q2405:Q2420" si="411">SUM(D2405:P2405)</f>
        <v>0</v>
      </c>
    </row>
    <row r="2406" spans="1:17">
      <c r="A2406" s="150"/>
      <c r="B2406" s="153"/>
      <c r="C2406" s="116" t="s">
        <v>86</v>
      </c>
      <c r="D2406" s="91">
        <f t="shared" ref="D2406:O2406" si="412">D2404*D2405</f>
        <v>0</v>
      </c>
      <c r="E2406" s="91">
        <f t="shared" si="412"/>
        <v>0</v>
      </c>
      <c r="F2406" s="91">
        <f t="shared" si="412"/>
        <v>0</v>
      </c>
      <c r="G2406" s="91">
        <f t="shared" si="412"/>
        <v>0</v>
      </c>
      <c r="H2406" s="91">
        <f t="shared" si="412"/>
        <v>0</v>
      </c>
      <c r="I2406" s="91">
        <f t="shared" si="412"/>
        <v>0</v>
      </c>
      <c r="J2406" s="91">
        <f t="shared" si="412"/>
        <v>0</v>
      </c>
      <c r="K2406" s="91">
        <f t="shared" si="412"/>
        <v>0</v>
      </c>
      <c r="L2406" s="91">
        <f t="shared" si="412"/>
        <v>0</v>
      </c>
      <c r="M2406" s="91">
        <f t="shared" si="412"/>
        <v>0</v>
      </c>
      <c r="N2406" s="91">
        <f t="shared" si="412"/>
        <v>0</v>
      </c>
      <c r="O2406" s="91">
        <f t="shared" si="412"/>
        <v>0</v>
      </c>
      <c r="P2406" s="32"/>
      <c r="Q2406" s="132">
        <f t="shared" si="411"/>
        <v>0</v>
      </c>
    </row>
    <row r="2407" spans="1:17">
      <c r="A2407" s="150"/>
      <c r="B2407" s="153"/>
      <c r="C2407" s="117" t="s">
        <v>9</v>
      </c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1"/>
      <c r="O2407" s="91"/>
      <c r="P2407" s="32"/>
      <c r="Q2407" s="132">
        <f t="shared" si="411"/>
        <v>0</v>
      </c>
    </row>
    <row r="2408" spans="1:17">
      <c r="A2408" s="150"/>
      <c r="B2408" s="153"/>
      <c r="C2408" s="117" t="s">
        <v>38</v>
      </c>
      <c r="D2408" s="89"/>
      <c r="E2408" s="89"/>
      <c r="F2408" s="89"/>
      <c r="G2408" s="89"/>
      <c r="H2408" s="89"/>
      <c r="I2408" s="89"/>
      <c r="J2408" s="89"/>
      <c r="K2408" s="89"/>
      <c r="L2408" s="89"/>
      <c r="M2408" s="89"/>
      <c r="N2408" s="89"/>
      <c r="O2408" s="89"/>
      <c r="P2408" s="28"/>
      <c r="Q2408" s="132">
        <f t="shared" si="411"/>
        <v>0</v>
      </c>
    </row>
    <row r="2409" spans="1:17">
      <c r="A2409" s="150"/>
      <c r="B2409" s="153"/>
      <c r="C2409" s="62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1"/>
      <c r="O2409" s="91"/>
      <c r="P2409" s="32"/>
      <c r="Q2409" s="132">
        <f t="shared" si="411"/>
        <v>0</v>
      </c>
    </row>
    <row r="2410" spans="1:17">
      <c r="A2410" s="150"/>
      <c r="B2410" s="154"/>
      <c r="C2410" s="6" t="s">
        <v>42</v>
      </c>
      <c r="D2410" s="92"/>
      <c r="E2410" s="92"/>
      <c r="F2410" s="92"/>
      <c r="G2410" s="92"/>
      <c r="H2410" s="92"/>
      <c r="I2410" s="92"/>
      <c r="J2410" s="92"/>
      <c r="K2410" s="92"/>
      <c r="L2410" s="92"/>
      <c r="M2410" s="92"/>
      <c r="N2410" s="92"/>
      <c r="O2410" s="92"/>
      <c r="P2410" s="33"/>
      <c r="Q2410" s="135">
        <f t="shared" si="411"/>
        <v>0</v>
      </c>
    </row>
    <row r="2411" spans="1:17">
      <c r="A2411" s="150"/>
      <c r="B2411" s="155" t="s">
        <v>11</v>
      </c>
      <c r="C2411" s="5" t="s">
        <v>7</v>
      </c>
      <c r="D2411" s="94"/>
      <c r="E2411" s="94"/>
      <c r="F2411" s="94"/>
      <c r="G2411" s="94"/>
      <c r="H2411" s="94"/>
      <c r="I2411" s="94"/>
      <c r="J2411" s="94"/>
      <c r="K2411" s="94"/>
      <c r="L2411" s="94"/>
      <c r="M2411" s="94"/>
      <c r="N2411" s="94"/>
      <c r="O2411" s="94"/>
      <c r="P2411" s="27"/>
      <c r="Q2411" s="136">
        <f t="shared" si="411"/>
        <v>0</v>
      </c>
    </row>
    <row r="2412" spans="1:17">
      <c r="A2412" s="150"/>
      <c r="B2412" s="153"/>
      <c r="C2412" s="6" t="s">
        <v>4</v>
      </c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32"/>
      <c r="Q2412" s="132">
        <f t="shared" si="411"/>
        <v>0</v>
      </c>
    </row>
    <row r="2413" spans="1:17">
      <c r="A2413" s="150"/>
      <c r="B2413" s="153"/>
      <c r="C2413" s="6" t="s">
        <v>17</v>
      </c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1"/>
      <c r="O2413" s="91"/>
      <c r="P2413" s="32"/>
      <c r="Q2413" s="132">
        <f t="shared" si="411"/>
        <v>0</v>
      </c>
    </row>
    <row r="2414" spans="1:17">
      <c r="A2414" s="150"/>
      <c r="B2414" s="153"/>
      <c r="C2414" s="6" t="s">
        <v>18</v>
      </c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32"/>
      <c r="Q2414" s="132">
        <f t="shared" si="411"/>
        <v>0</v>
      </c>
    </row>
    <row r="2415" spans="1:17">
      <c r="A2415" s="150"/>
      <c r="B2415" s="153"/>
      <c r="C2415" s="6" t="s">
        <v>60</v>
      </c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1"/>
      <c r="O2415" s="91"/>
      <c r="P2415" s="32"/>
      <c r="Q2415" s="135">
        <f t="shared" si="411"/>
        <v>0</v>
      </c>
    </row>
    <row r="2416" spans="1:17">
      <c r="A2416" s="150"/>
      <c r="B2416" s="155" t="s">
        <v>13</v>
      </c>
      <c r="C2416" s="5" t="s">
        <v>10</v>
      </c>
      <c r="D2416" s="94"/>
      <c r="E2416" s="94"/>
      <c r="F2416" s="94"/>
      <c r="G2416" s="94"/>
      <c r="H2416" s="94"/>
      <c r="I2416" s="94"/>
      <c r="J2416" s="94"/>
      <c r="K2416" s="94"/>
      <c r="L2416" s="94"/>
      <c r="M2416" s="94"/>
      <c r="N2416" s="94"/>
      <c r="O2416" s="94"/>
      <c r="P2416" s="27"/>
      <c r="Q2416" s="131">
        <f t="shared" si="411"/>
        <v>0</v>
      </c>
    </row>
    <row r="2417" spans="1:17">
      <c r="A2417" s="150"/>
      <c r="B2417" s="153"/>
      <c r="C2417" s="116" t="s">
        <v>55</v>
      </c>
      <c r="D2417" s="89"/>
      <c r="E2417" s="89"/>
      <c r="F2417" s="89"/>
      <c r="G2417" s="89"/>
      <c r="H2417" s="89"/>
      <c r="I2417" s="89"/>
      <c r="J2417" s="89"/>
      <c r="K2417" s="89"/>
      <c r="L2417" s="89"/>
      <c r="M2417" s="89"/>
      <c r="N2417" s="89"/>
      <c r="O2417" s="89"/>
      <c r="P2417" s="28"/>
      <c r="Q2417" s="132">
        <f t="shared" si="411"/>
        <v>0</v>
      </c>
    </row>
    <row r="2418" spans="1:17">
      <c r="A2418" s="150"/>
      <c r="B2418" s="153"/>
      <c r="C2418" s="8" t="s">
        <v>56</v>
      </c>
      <c r="D2418" s="89"/>
      <c r="E2418" s="89"/>
      <c r="F2418" s="89"/>
      <c r="G2418" s="89"/>
      <c r="H2418" s="89"/>
      <c r="I2418" s="89"/>
      <c r="J2418" s="89"/>
      <c r="K2418" s="89"/>
      <c r="L2418" s="89"/>
      <c r="M2418" s="89"/>
      <c r="N2418" s="89"/>
      <c r="O2418" s="89"/>
      <c r="P2418" s="28"/>
      <c r="Q2418" s="132">
        <f t="shared" si="411"/>
        <v>0</v>
      </c>
    </row>
    <row r="2419" spans="1:17" ht="14.25" thickBot="1">
      <c r="A2419" s="150"/>
      <c r="B2419" s="154"/>
      <c r="C2419" s="4" t="s">
        <v>61</v>
      </c>
      <c r="D2419" s="92"/>
      <c r="E2419" s="92"/>
      <c r="F2419" s="92"/>
      <c r="G2419" s="92"/>
      <c r="H2419" s="92"/>
      <c r="I2419" s="92"/>
      <c r="J2419" s="92"/>
      <c r="K2419" s="92"/>
      <c r="L2419" s="92"/>
      <c r="M2419" s="92"/>
      <c r="N2419" s="92"/>
      <c r="O2419" s="92"/>
      <c r="P2419" s="33"/>
      <c r="Q2419" s="133">
        <f t="shared" si="411"/>
        <v>0</v>
      </c>
    </row>
    <row r="2420" spans="1:17" ht="14.25" thickBot="1">
      <c r="A2420" s="150"/>
      <c r="B2420" s="156" t="s">
        <v>54</v>
      </c>
      <c r="C2420" s="157"/>
      <c r="D2420" s="56">
        <f>SUM(D2406:D2410)-SUM(D2414:D2415)</f>
        <v>0</v>
      </c>
      <c r="E2420" s="56">
        <f t="shared" ref="E2420:O2420" si="413">SUM(E2406:E2410)-SUM(E2414:E2415)</f>
        <v>0</v>
      </c>
      <c r="F2420" s="56">
        <f t="shared" si="413"/>
        <v>0</v>
      </c>
      <c r="G2420" s="56">
        <f t="shared" si="413"/>
        <v>0</v>
      </c>
      <c r="H2420" s="56">
        <f t="shared" si="413"/>
        <v>0</v>
      </c>
      <c r="I2420" s="56">
        <f t="shared" si="413"/>
        <v>0</v>
      </c>
      <c r="J2420" s="56">
        <f t="shared" si="413"/>
        <v>0</v>
      </c>
      <c r="K2420" s="56">
        <f t="shared" si="413"/>
        <v>0</v>
      </c>
      <c r="L2420" s="56">
        <f t="shared" si="413"/>
        <v>0</v>
      </c>
      <c r="M2420" s="56">
        <f t="shared" si="413"/>
        <v>0</v>
      </c>
      <c r="N2420" s="56">
        <f t="shared" si="413"/>
        <v>0</v>
      </c>
      <c r="O2420" s="56">
        <f t="shared" si="413"/>
        <v>0</v>
      </c>
      <c r="P2420" s="58">
        <f>SUM(P2404:P2410)-SUM(P2414:P2415)</f>
        <v>0</v>
      </c>
      <c r="Q2420" s="130">
        <f t="shared" si="411"/>
        <v>0</v>
      </c>
    </row>
    <row r="2421" spans="1:17" ht="14.25" thickBot="1">
      <c r="A2421" s="151"/>
      <c r="B2421" s="147" t="s">
        <v>5</v>
      </c>
      <c r="C2421" s="148"/>
      <c r="D2421" s="42">
        <f>SUM(D2406:D2410)-SUM(D2411:D2415)+SUM(D2416:D2419)</f>
        <v>0</v>
      </c>
      <c r="E2421" s="42">
        <f t="shared" ref="E2421:O2421" si="414">SUM(E2406:E2410)-SUM(E2411:E2415)+SUM(E2416:E2419)</f>
        <v>0</v>
      </c>
      <c r="F2421" s="42">
        <f t="shared" si="414"/>
        <v>0</v>
      </c>
      <c r="G2421" s="42">
        <f t="shared" si="414"/>
        <v>0</v>
      </c>
      <c r="H2421" s="42">
        <f t="shared" si="414"/>
        <v>0</v>
      </c>
      <c r="I2421" s="42">
        <f t="shared" si="414"/>
        <v>0</v>
      </c>
      <c r="J2421" s="42">
        <f t="shared" si="414"/>
        <v>0</v>
      </c>
      <c r="K2421" s="42">
        <f t="shared" si="414"/>
        <v>0</v>
      </c>
      <c r="L2421" s="42">
        <f t="shared" si="414"/>
        <v>0</v>
      </c>
      <c r="M2421" s="42">
        <f t="shared" si="414"/>
        <v>0</v>
      </c>
      <c r="N2421" s="42">
        <f t="shared" si="414"/>
        <v>0</v>
      </c>
      <c r="O2421" s="42">
        <f t="shared" si="414"/>
        <v>0</v>
      </c>
      <c r="P2421" s="44">
        <f>SUM(P2404:P2410)-SUM(P2411:P2415)+SUM(P2416:P2419)</f>
        <v>0</v>
      </c>
      <c r="Q2421" s="46">
        <f>SUM(D2421:P2421)</f>
        <v>0</v>
      </c>
    </row>
    <row r="2422" spans="1:17">
      <c r="A2422" s="149"/>
      <c r="B2422" s="152" t="s">
        <v>12</v>
      </c>
      <c r="C2422" s="114" t="s">
        <v>84</v>
      </c>
      <c r="D2422" s="87"/>
      <c r="E2422" s="87"/>
      <c r="F2422" s="87"/>
      <c r="G2422" s="87"/>
      <c r="H2422" s="87"/>
      <c r="I2422" s="87"/>
      <c r="J2422" s="87"/>
      <c r="K2422" s="87"/>
      <c r="L2422" s="87"/>
      <c r="M2422" s="87"/>
      <c r="N2422" s="87"/>
      <c r="O2422" s="87"/>
      <c r="P2422" s="30"/>
      <c r="Q2422" s="134">
        <f>SUM(D2422:P2422)</f>
        <v>0</v>
      </c>
    </row>
    <row r="2423" spans="1:17">
      <c r="A2423" s="150"/>
      <c r="B2423" s="153"/>
      <c r="C2423" s="115" t="s">
        <v>85</v>
      </c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28"/>
      <c r="Q2423" s="132">
        <f t="shared" ref="Q2423:Q2438" si="415">SUM(D2423:P2423)</f>
        <v>0</v>
      </c>
    </row>
    <row r="2424" spans="1:17">
      <c r="A2424" s="150"/>
      <c r="B2424" s="153"/>
      <c r="C2424" s="116" t="s">
        <v>86</v>
      </c>
      <c r="D2424" s="91">
        <f t="shared" ref="D2424:O2424" si="416">D2422*D2423</f>
        <v>0</v>
      </c>
      <c r="E2424" s="91">
        <f t="shared" si="416"/>
        <v>0</v>
      </c>
      <c r="F2424" s="91">
        <f t="shared" si="416"/>
        <v>0</v>
      </c>
      <c r="G2424" s="91">
        <f t="shared" si="416"/>
        <v>0</v>
      </c>
      <c r="H2424" s="91">
        <f t="shared" si="416"/>
        <v>0</v>
      </c>
      <c r="I2424" s="91">
        <f t="shared" si="416"/>
        <v>0</v>
      </c>
      <c r="J2424" s="91">
        <f t="shared" si="416"/>
        <v>0</v>
      </c>
      <c r="K2424" s="91">
        <f t="shared" si="416"/>
        <v>0</v>
      </c>
      <c r="L2424" s="91">
        <f t="shared" si="416"/>
        <v>0</v>
      </c>
      <c r="M2424" s="91">
        <f t="shared" si="416"/>
        <v>0</v>
      </c>
      <c r="N2424" s="91">
        <f t="shared" si="416"/>
        <v>0</v>
      </c>
      <c r="O2424" s="91">
        <f t="shared" si="416"/>
        <v>0</v>
      </c>
      <c r="P2424" s="32"/>
      <c r="Q2424" s="132">
        <f t="shared" si="415"/>
        <v>0</v>
      </c>
    </row>
    <row r="2425" spans="1:17">
      <c r="A2425" s="150"/>
      <c r="B2425" s="153"/>
      <c r="C2425" s="117" t="s">
        <v>9</v>
      </c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32"/>
      <c r="Q2425" s="132">
        <f t="shared" si="415"/>
        <v>0</v>
      </c>
    </row>
    <row r="2426" spans="1:17">
      <c r="A2426" s="150"/>
      <c r="B2426" s="153"/>
      <c r="C2426" s="117" t="s">
        <v>38</v>
      </c>
      <c r="D2426" s="89"/>
      <c r="E2426" s="89"/>
      <c r="F2426" s="89"/>
      <c r="G2426" s="89"/>
      <c r="H2426" s="89"/>
      <c r="I2426" s="89"/>
      <c r="J2426" s="89"/>
      <c r="K2426" s="89"/>
      <c r="L2426" s="89"/>
      <c r="M2426" s="89"/>
      <c r="N2426" s="89"/>
      <c r="O2426" s="89"/>
      <c r="P2426" s="28"/>
      <c r="Q2426" s="132">
        <f t="shared" si="415"/>
        <v>0</v>
      </c>
    </row>
    <row r="2427" spans="1:17">
      <c r="A2427" s="150"/>
      <c r="B2427" s="153"/>
      <c r="C2427" s="62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32"/>
      <c r="Q2427" s="132">
        <f t="shared" si="415"/>
        <v>0</v>
      </c>
    </row>
    <row r="2428" spans="1:17">
      <c r="A2428" s="150"/>
      <c r="B2428" s="154"/>
      <c r="C2428" s="6" t="s">
        <v>42</v>
      </c>
      <c r="D2428" s="92"/>
      <c r="E2428" s="92"/>
      <c r="F2428" s="92"/>
      <c r="G2428" s="92"/>
      <c r="H2428" s="92"/>
      <c r="I2428" s="92"/>
      <c r="J2428" s="92"/>
      <c r="K2428" s="92"/>
      <c r="L2428" s="92"/>
      <c r="M2428" s="92"/>
      <c r="N2428" s="92"/>
      <c r="O2428" s="92"/>
      <c r="P2428" s="33"/>
      <c r="Q2428" s="135">
        <f t="shared" si="415"/>
        <v>0</v>
      </c>
    </row>
    <row r="2429" spans="1:17">
      <c r="A2429" s="150"/>
      <c r="B2429" s="155" t="s">
        <v>11</v>
      </c>
      <c r="C2429" s="5" t="s">
        <v>7</v>
      </c>
      <c r="D2429" s="94"/>
      <c r="E2429" s="94"/>
      <c r="F2429" s="94"/>
      <c r="G2429" s="94"/>
      <c r="H2429" s="94"/>
      <c r="I2429" s="94"/>
      <c r="J2429" s="94"/>
      <c r="K2429" s="94"/>
      <c r="L2429" s="94"/>
      <c r="M2429" s="94"/>
      <c r="N2429" s="94"/>
      <c r="O2429" s="94"/>
      <c r="P2429" s="27"/>
      <c r="Q2429" s="136">
        <f t="shared" si="415"/>
        <v>0</v>
      </c>
    </row>
    <row r="2430" spans="1:17">
      <c r="A2430" s="150"/>
      <c r="B2430" s="153"/>
      <c r="C2430" s="6" t="s">
        <v>4</v>
      </c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32"/>
      <c r="Q2430" s="132">
        <f t="shared" si="415"/>
        <v>0</v>
      </c>
    </row>
    <row r="2431" spans="1:17">
      <c r="A2431" s="150"/>
      <c r="B2431" s="153"/>
      <c r="C2431" s="6" t="s">
        <v>17</v>
      </c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32"/>
      <c r="Q2431" s="132">
        <f t="shared" si="415"/>
        <v>0</v>
      </c>
    </row>
    <row r="2432" spans="1:17">
      <c r="A2432" s="150"/>
      <c r="B2432" s="153"/>
      <c r="C2432" s="6" t="s">
        <v>18</v>
      </c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32"/>
      <c r="Q2432" s="132">
        <f t="shared" si="415"/>
        <v>0</v>
      </c>
    </row>
    <row r="2433" spans="1:17">
      <c r="A2433" s="150"/>
      <c r="B2433" s="153"/>
      <c r="C2433" s="6" t="s">
        <v>60</v>
      </c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1"/>
      <c r="O2433" s="91"/>
      <c r="P2433" s="32"/>
      <c r="Q2433" s="135">
        <f t="shared" si="415"/>
        <v>0</v>
      </c>
    </row>
    <row r="2434" spans="1:17">
      <c r="A2434" s="150"/>
      <c r="B2434" s="155" t="s">
        <v>13</v>
      </c>
      <c r="C2434" s="5" t="s">
        <v>10</v>
      </c>
      <c r="D2434" s="94"/>
      <c r="E2434" s="94"/>
      <c r="F2434" s="94"/>
      <c r="G2434" s="94"/>
      <c r="H2434" s="94"/>
      <c r="I2434" s="94"/>
      <c r="J2434" s="94"/>
      <c r="K2434" s="94"/>
      <c r="L2434" s="94"/>
      <c r="M2434" s="94"/>
      <c r="N2434" s="94"/>
      <c r="O2434" s="94"/>
      <c r="P2434" s="27"/>
      <c r="Q2434" s="131">
        <f t="shared" si="415"/>
        <v>0</v>
      </c>
    </row>
    <row r="2435" spans="1:17">
      <c r="A2435" s="150"/>
      <c r="B2435" s="153"/>
      <c r="C2435" s="116" t="s">
        <v>55</v>
      </c>
      <c r="D2435" s="89"/>
      <c r="E2435" s="89"/>
      <c r="F2435" s="89"/>
      <c r="G2435" s="89"/>
      <c r="H2435" s="89"/>
      <c r="I2435" s="89"/>
      <c r="J2435" s="89"/>
      <c r="K2435" s="89"/>
      <c r="L2435" s="89"/>
      <c r="M2435" s="89"/>
      <c r="N2435" s="89"/>
      <c r="O2435" s="89"/>
      <c r="P2435" s="28"/>
      <c r="Q2435" s="132">
        <f t="shared" si="415"/>
        <v>0</v>
      </c>
    </row>
    <row r="2436" spans="1:17">
      <c r="A2436" s="150"/>
      <c r="B2436" s="153"/>
      <c r="C2436" s="8" t="s">
        <v>56</v>
      </c>
      <c r="D2436" s="89"/>
      <c r="E2436" s="89"/>
      <c r="F2436" s="89"/>
      <c r="G2436" s="89"/>
      <c r="H2436" s="89"/>
      <c r="I2436" s="89"/>
      <c r="J2436" s="89"/>
      <c r="K2436" s="89"/>
      <c r="L2436" s="89"/>
      <c r="M2436" s="89"/>
      <c r="N2436" s="89"/>
      <c r="O2436" s="89"/>
      <c r="P2436" s="28"/>
      <c r="Q2436" s="132">
        <f t="shared" si="415"/>
        <v>0</v>
      </c>
    </row>
    <row r="2437" spans="1:17" ht="14.25" thickBot="1">
      <c r="A2437" s="150"/>
      <c r="B2437" s="154"/>
      <c r="C2437" s="4" t="s">
        <v>61</v>
      </c>
      <c r="D2437" s="92"/>
      <c r="E2437" s="92"/>
      <c r="F2437" s="92"/>
      <c r="G2437" s="92"/>
      <c r="H2437" s="92"/>
      <c r="I2437" s="92"/>
      <c r="J2437" s="92"/>
      <c r="K2437" s="92"/>
      <c r="L2437" s="92"/>
      <c r="M2437" s="92"/>
      <c r="N2437" s="92"/>
      <c r="O2437" s="92"/>
      <c r="P2437" s="33"/>
      <c r="Q2437" s="133">
        <f t="shared" si="415"/>
        <v>0</v>
      </c>
    </row>
    <row r="2438" spans="1:17" ht="14.25" thickBot="1">
      <c r="A2438" s="150"/>
      <c r="B2438" s="156" t="s">
        <v>54</v>
      </c>
      <c r="C2438" s="157"/>
      <c r="D2438" s="56">
        <f>SUM(D2424:D2428)-SUM(D2432:D2433)</f>
        <v>0</v>
      </c>
      <c r="E2438" s="56">
        <f t="shared" ref="E2438:O2438" si="417">SUM(E2424:E2428)-SUM(E2432:E2433)</f>
        <v>0</v>
      </c>
      <c r="F2438" s="56">
        <f t="shared" si="417"/>
        <v>0</v>
      </c>
      <c r="G2438" s="56">
        <f t="shared" si="417"/>
        <v>0</v>
      </c>
      <c r="H2438" s="56">
        <f t="shared" si="417"/>
        <v>0</v>
      </c>
      <c r="I2438" s="56">
        <f t="shared" si="417"/>
        <v>0</v>
      </c>
      <c r="J2438" s="56">
        <f t="shared" si="417"/>
        <v>0</v>
      </c>
      <c r="K2438" s="56">
        <f t="shared" si="417"/>
        <v>0</v>
      </c>
      <c r="L2438" s="56">
        <f t="shared" si="417"/>
        <v>0</v>
      </c>
      <c r="M2438" s="56">
        <f t="shared" si="417"/>
        <v>0</v>
      </c>
      <c r="N2438" s="56">
        <f t="shared" si="417"/>
        <v>0</v>
      </c>
      <c r="O2438" s="56">
        <f t="shared" si="417"/>
        <v>0</v>
      </c>
      <c r="P2438" s="58">
        <f>SUM(P2422:P2428)-SUM(P2432:P2433)</f>
        <v>0</v>
      </c>
      <c r="Q2438" s="130">
        <f t="shared" si="415"/>
        <v>0</v>
      </c>
    </row>
    <row r="2439" spans="1:17" ht="14.25" thickBot="1">
      <c r="A2439" s="151"/>
      <c r="B2439" s="147" t="s">
        <v>5</v>
      </c>
      <c r="C2439" s="148"/>
      <c r="D2439" s="42">
        <f>SUM(D2424:D2428)-SUM(D2429:D2433)+SUM(D2434:D2437)</f>
        <v>0</v>
      </c>
      <c r="E2439" s="42">
        <f t="shared" ref="E2439:O2439" si="418">SUM(E2424:E2428)-SUM(E2429:E2433)+SUM(E2434:E2437)</f>
        <v>0</v>
      </c>
      <c r="F2439" s="42">
        <f t="shared" si="418"/>
        <v>0</v>
      </c>
      <c r="G2439" s="42">
        <f t="shared" si="418"/>
        <v>0</v>
      </c>
      <c r="H2439" s="42">
        <f t="shared" si="418"/>
        <v>0</v>
      </c>
      <c r="I2439" s="42">
        <f t="shared" si="418"/>
        <v>0</v>
      </c>
      <c r="J2439" s="42">
        <f t="shared" si="418"/>
        <v>0</v>
      </c>
      <c r="K2439" s="42">
        <f t="shared" si="418"/>
        <v>0</v>
      </c>
      <c r="L2439" s="42">
        <f t="shared" si="418"/>
        <v>0</v>
      </c>
      <c r="M2439" s="42">
        <f t="shared" si="418"/>
        <v>0</v>
      </c>
      <c r="N2439" s="42">
        <f t="shared" si="418"/>
        <v>0</v>
      </c>
      <c r="O2439" s="42">
        <f t="shared" si="418"/>
        <v>0</v>
      </c>
      <c r="P2439" s="44">
        <f>SUM(P2422:P2428)-SUM(P2429:P2433)+SUM(P2434:P2437)</f>
        <v>0</v>
      </c>
      <c r="Q2439" s="46">
        <f>SUM(D2439:P2439)</f>
        <v>0</v>
      </c>
    </row>
    <row r="2440" spans="1:17">
      <c r="A2440" s="149"/>
      <c r="B2440" s="152" t="s">
        <v>12</v>
      </c>
      <c r="C2440" s="114" t="s">
        <v>84</v>
      </c>
      <c r="D2440" s="87"/>
      <c r="E2440" s="87"/>
      <c r="F2440" s="87"/>
      <c r="G2440" s="87"/>
      <c r="H2440" s="87"/>
      <c r="I2440" s="87"/>
      <c r="J2440" s="87"/>
      <c r="K2440" s="87"/>
      <c r="L2440" s="87"/>
      <c r="M2440" s="87"/>
      <c r="N2440" s="87"/>
      <c r="O2440" s="87"/>
      <c r="P2440" s="30"/>
      <c r="Q2440" s="134">
        <f>SUM(D2440:P2440)</f>
        <v>0</v>
      </c>
    </row>
    <row r="2441" spans="1:17">
      <c r="A2441" s="150"/>
      <c r="B2441" s="153"/>
      <c r="C2441" s="115" t="s">
        <v>85</v>
      </c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28"/>
      <c r="Q2441" s="132">
        <f t="shared" ref="Q2441:Q2456" si="419">SUM(D2441:P2441)</f>
        <v>0</v>
      </c>
    </row>
    <row r="2442" spans="1:17">
      <c r="A2442" s="150"/>
      <c r="B2442" s="153"/>
      <c r="C2442" s="116" t="s">
        <v>86</v>
      </c>
      <c r="D2442" s="91">
        <f t="shared" ref="D2442:O2442" si="420">D2440*D2441</f>
        <v>0</v>
      </c>
      <c r="E2442" s="91">
        <f t="shared" si="420"/>
        <v>0</v>
      </c>
      <c r="F2442" s="91">
        <f t="shared" si="420"/>
        <v>0</v>
      </c>
      <c r="G2442" s="91">
        <f t="shared" si="420"/>
        <v>0</v>
      </c>
      <c r="H2442" s="91">
        <f t="shared" si="420"/>
        <v>0</v>
      </c>
      <c r="I2442" s="91">
        <f t="shared" si="420"/>
        <v>0</v>
      </c>
      <c r="J2442" s="91">
        <f t="shared" si="420"/>
        <v>0</v>
      </c>
      <c r="K2442" s="91">
        <f t="shared" si="420"/>
        <v>0</v>
      </c>
      <c r="L2442" s="91">
        <f t="shared" si="420"/>
        <v>0</v>
      </c>
      <c r="M2442" s="91">
        <f t="shared" si="420"/>
        <v>0</v>
      </c>
      <c r="N2442" s="91">
        <f t="shared" si="420"/>
        <v>0</v>
      </c>
      <c r="O2442" s="91">
        <f t="shared" si="420"/>
        <v>0</v>
      </c>
      <c r="P2442" s="32"/>
      <c r="Q2442" s="132">
        <f t="shared" si="419"/>
        <v>0</v>
      </c>
    </row>
    <row r="2443" spans="1:17">
      <c r="A2443" s="150"/>
      <c r="B2443" s="153"/>
      <c r="C2443" s="117" t="s">
        <v>9</v>
      </c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1"/>
      <c r="O2443" s="91"/>
      <c r="P2443" s="32"/>
      <c r="Q2443" s="132">
        <f t="shared" si="419"/>
        <v>0</v>
      </c>
    </row>
    <row r="2444" spans="1:17">
      <c r="A2444" s="150"/>
      <c r="B2444" s="153"/>
      <c r="C2444" s="117" t="s">
        <v>38</v>
      </c>
      <c r="D2444" s="89"/>
      <c r="E2444" s="89"/>
      <c r="F2444" s="89"/>
      <c r="G2444" s="89"/>
      <c r="H2444" s="89"/>
      <c r="I2444" s="89"/>
      <c r="J2444" s="89"/>
      <c r="K2444" s="89"/>
      <c r="L2444" s="89"/>
      <c r="M2444" s="89"/>
      <c r="N2444" s="89"/>
      <c r="O2444" s="89"/>
      <c r="P2444" s="28"/>
      <c r="Q2444" s="132">
        <f t="shared" si="419"/>
        <v>0</v>
      </c>
    </row>
    <row r="2445" spans="1:17">
      <c r="A2445" s="150"/>
      <c r="B2445" s="153"/>
      <c r="C2445" s="62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1"/>
      <c r="O2445" s="91"/>
      <c r="P2445" s="32"/>
      <c r="Q2445" s="132">
        <f t="shared" si="419"/>
        <v>0</v>
      </c>
    </row>
    <row r="2446" spans="1:17">
      <c r="A2446" s="150"/>
      <c r="B2446" s="154"/>
      <c r="C2446" s="6" t="s">
        <v>42</v>
      </c>
      <c r="D2446" s="92"/>
      <c r="E2446" s="92"/>
      <c r="F2446" s="92"/>
      <c r="G2446" s="92"/>
      <c r="H2446" s="92"/>
      <c r="I2446" s="92"/>
      <c r="J2446" s="92"/>
      <c r="K2446" s="92"/>
      <c r="L2446" s="92"/>
      <c r="M2446" s="92"/>
      <c r="N2446" s="92"/>
      <c r="O2446" s="92"/>
      <c r="P2446" s="33"/>
      <c r="Q2446" s="135">
        <f t="shared" si="419"/>
        <v>0</v>
      </c>
    </row>
    <row r="2447" spans="1:17">
      <c r="A2447" s="150"/>
      <c r="B2447" s="155" t="s">
        <v>11</v>
      </c>
      <c r="C2447" s="5" t="s">
        <v>7</v>
      </c>
      <c r="D2447" s="94"/>
      <c r="E2447" s="94"/>
      <c r="F2447" s="94"/>
      <c r="G2447" s="94"/>
      <c r="H2447" s="94"/>
      <c r="I2447" s="94"/>
      <c r="J2447" s="94"/>
      <c r="K2447" s="94"/>
      <c r="L2447" s="94"/>
      <c r="M2447" s="94"/>
      <c r="N2447" s="94"/>
      <c r="O2447" s="94"/>
      <c r="P2447" s="27"/>
      <c r="Q2447" s="136">
        <f t="shared" si="419"/>
        <v>0</v>
      </c>
    </row>
    <row r="2448" spans="1:17">
      <c r="A2448" s="150"/>
      <c r="B2448" s="153"/>
      <c r="C2448" s="6" t="s">
        <v>4</v>
      </c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32"/>
      <c r="Q2448" s="132">
        <f t="shared" si="419"/>
        <v>0</v>
      </c>
    </row>
    <row r="2449" spans="1:17">
      <c r="A2449" s="150"/>
      <c r="B2449" s="153"/>
      <c r="C2449" s="6" t="s">
        <v>17</v>
      </c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32"/>
      <c r="Q2449" s="132">
        <f t="shared" si="419"/>
        <v>0</v>
      </c>
    </row>
    <row r="2450" spans="1:17">
      <c r="A2450" s="150"/>
      <c r="B2450" s="153"/>
      <c r="C2450" s="6" t="s">
        <v>18</v>
      </c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32"/>
      <c r="Q2450" s="132">
        <f t="shared" si="419"/>
        <v>0</v>
      </c>
    </row>
    <row r="2451" spans="1:17">
      <c r="A2451" s="150"/>
      <c r="B2451" s="153"/>
      <c r="C2451" s="6" t="s">
        <v>60</v>
      </c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32"/>
      <c r="Q2451" s="135">
        <f t="shared" si="419"/>
        <v>0</v>
      </c>
    </row>
    <row r="2452" spans="1:17">
      <c r="A2452" s="150"/>
      <c r="B2452" s="155" t="s">
        <v>13</v>
      </c>
      <c r="C2452" s="5" t="s">
        <v>10</v>
      </c>
      <c r="D2452" s="94"/>
      <c r="E2452" s="94"/>
      <c r="F2452" s="94"/>
      <c r="G2452" s="94"/>
      <c r="H2452" s="94"/>
      <c r="I2452" s="94"/>
      <c r="J2452" s="94"/>
      <c r="K2452" s="94"/>
      <c r="L2452" s="94"/>
      <c r="M2452" s="94"/>
      <c r="N2452" s="94"/>
      <c r="O2452" s="94"/>
      <c r="P2452" s="27"/>
      <c r="Q2452" s="131">
        <f t="shared" si="419"/>
        <v>0</v>
      </c>
    </row>
    <row r="2453" spans="1:17">
      <c r="A2453" s="150"/>
      <c r="B2453" s="153"/>
      <c r="C2453" s="116" t="s">
        <v>55</v>
      </c>
      <c r="D2453" s="89"/>
      <c r="E2453" s="89"/>
      <c r="F2453" s="89"/>
      <c r="G2453" s="89"/>
      <c r="H2453" s="89"/>
      <c r="I2453" s="89"/>
      <c r="J2453" s="89"/>
      <c r="K2453" s="89"/>
      <c r="L2453" s="89"/>
      <c r="M2453" s="89"/>
      <c r="N2453" s="89"/>
      <c r="O2453" s="89"/>
      <c r="P2453" s="28"/>
      <c r="Q2453" s="132">
        <f t="shared" si="419"/>
        <v>0</v>
      </c>
    </row>
    <row r="2454" spans="1:17">
      <c r="A2454" s="150"/>
      <c r="B2454" s="153"/>
      <c r="C2454" s="8" t="s">
        <v>56</v>
      </c>
      <c r="D2454" s="89"/>
      <c r="E2454" s="89"/>
      <c r="F2454" s="89"/>
      <c r="G2454" s="89"/>
      <c r="H2454" s="89"/>
      <c r="I2454" s="89"/>
      <c r="J2454" s="89"/>
      <c r="K2454" s="89"/>
      <c r="L2454" s="89"/>
      <c r="M2454" s="89"/>
      <c r="N2454" s="89"/>
      <c r="O2454" s="89"/>
      <c r="P2454" s="28"/>
      <c r="Q2454" s="132">
        <f t="shared" si="419"/>
        <v>0</v>
      </c>
    </row>
    <row r="2455" spans="1:17" ht="14.25" thickBot="1">
      <c r="A2455" s="150"/>
      <c r="B2455" s="154"/>
      <c r="C2455" s="4" t="s">
        <v>61</v>
      </c>
      <c r="D2455" s="92"/>
      <c r="E2455" s="92"/>
      <c r="F2455" s="92"/>
      <c r="G2455" s="92"/>
      <c r="H2455" s="92"/>
      <c r="I2455" s="92"/>
      <c r="J2455" s="92"/>
      <c r="K2455" s="92"/>
      <c r="L2455" s="92"/>
      <c r="M2455" s="92"/>
      <c r="N2455" s="92"/>
      <c r="O2455" s="92"/>
      <c r="P2455" s="33"/>
      <c r="Q2455" s="133">
        <f t="shared" si="419"/>
        <v>0</v>
      </c>
    </row>
    <row r="2456" spans="1:17" ht="14.25" thickBot="1">
      <c r="A2456" s="150"/>
      <c r="B2456" s="156" t="s">
        <v>54</v>
      </c>
      <c r="C2456" s="157"/>
      <c r="D2456" s="56">
        <f>SUM(D2442:D2446)-SUM(D2450:D2451)</f>
        <v>0</v>
      </c>
      <c r="E2456" s="56">
        <f t="shared" ref="E2456:O2456" si="421">SUM(E2442:E2446)-SUM(E2450:E2451)</f>
        <v>0</v>
      </c>
      <c r="F2456" s="56">
        <f t="shared" si="421"/>
        <v>0</v>
      </c>
      <c r="G2456" s="56">
        <f t="shared" si="421"/>
        <v>0</v>
      </c>
      <c r="H2456" s="56">
        <f t="shared" si="421"/>
        <v>0</v>
      </c>
      <c r="I2456" s="56">
        <f t="shared" si="421"/>
        <v>0</v>
      </c>
      <c r="J2456" s="56">
        <f t="shared" si="421"/>
        <v>0</v>
      </c>
      <c r="K2456" s="56">
        <f t="shared" si="421"/>
        <v>0</v>
      </c>
      <c r="L2456" s="56">
        <f t="shared" si="421"/>
        <v>0</v>
      </c>
      <c r="M2456" s="56">
        <f t="shared" si="421"/>
        <v>0</v>
      </c>
      <c r="N2456" s="56">
        <f t="shared" si="421"/>
        <v>0</v>
      </c>
      <c r="O2456" s="56">
        <f t="shared" si="421"/>
        <v>0</v>
      </c>
      <c r="P2456" s="58">
        <f>SUM(P2440:P2446)-SUM(P2450:P2451)</f>
        <v>0</v>
      </c>
      <c r="Q2456" s="130">
        <f t="shared" si="419"/>
        <v>0</v>
      </c>
    </row>
    <row r="2457" spans="1:17" ht="14.25" thickBot="1">
      <c r="A2457" s="151"/>
      <c r="B2457" s="147" t="s">
        <v>5</v>
      </c>
      <c r="C2457" s="148"/>
      <c r="D2457" s="42">
        <f>SUM(D2442:D2446)-SUM(D2447:D2451)+SUM(D2452:D2455)</f>
        <v>0</v>
      </c>
      <c r="E2457" s="42">
        <f t="shared" ref="E2457:O2457" si="422">SUM(E2442:E2446)-SUM(E2447:E2451)+SUM(E2452:E2455)</f>
        <v>0</v>
      </c>
      <c r="F2457" s="42">
        <f t="shared" si="422"/>
        <v>0</v>
      </c>
      <c r="G2457" s="42">
        <f t="shared" si="422"/>
        <v>0</v>
      </c>
      <c r="H2457" s="42">
        <f t="shared" si="422"/>
        <v>0</v>
      </c>
      <c r="I2457" s="42">
        <f t="shared" si="422"/>
        <v>0</v>
      </c>
      <c r="J2457" s="42">
        <f t="shared" si="422"/>
        <v>0</v>
      </c>
      <c r="K2457" s="42">
        <f t="shared" si="422"/>
        <v>0</v>
      </c>
      <c r="L2457" s="42">
        <f t="shared" si="422"/>
        <v>0</v>
      </c>
      <c r="M2457" s="42">
        <f t="shared" si="422"/>
        <v>0</v>
      </c>
      <c r="N2457" s="42">
        <f t="shared" si="422"/>
        <v>0</v>
      </c>
      <c r="O2457" s="42">
        <f t="shared" si="422"/>
        <v>0</v>
      </c>
      <c r="P2457" s="44">
        <f>SUM(P2440:P2446)-SUM(P2447:P2451)+SUM(P2452:P2455)</f>
        <v>0</v>
      </c>
      <c r="Q2457" s="46">
        <f>SUM(D2457:P2457)</f>
        <v>0</v>
      </c>
    </row>
    <row r="2458" spans="1:17">
      <c r="A2458" s="149"/>
      <c r="B2458" s="152" t="s">
        <v>12</v>
      </c>
      <c r="C2458" s="114" t="s">
        <v>84</v>
      </c>
      <c r="D2458" s="87"/>
      <c r="E2458" s="87"/>
      <c r="F2458" s="87"/>
      <c r="G2458" s="87"/>
      <c r="H2458" s="87"/>
      <c r="I2458" s="87"/>
      <c r="J2458" s="87"/>
      <c r="K2458" s="87"/>
      <c r="L2458" s="87"/>
      <c r="M2458" s="87"/>
      <c r="N2458" s="87"/>
      <c r="O2458" s="87"/>
      <c r="P2458" s="30"/>
      <c r="Q2458" s="134">
        <f>SUM(D2458:P2458)</f>
        <v>0</v>
      </c>
    </row>
    <row r="2459" spans="1:17">
      <c r="A2459" s="150"/>
      <c r="B2459" s="153"/>
      <c r="C2459" s="115" t="s">
        <v>85</v>
      </c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28"/>
      <c r="Q2459" s="132">
        <f t="shared" ref="Q2459:Q2474" si="423">SUM(D2459:P2459)</f>
        <v>0</v>
      </c>
    </row>
    <row r="2460" spans="1:17">
      <c r="A2460" s="150"/>
      <c r="B2460" s="153"/>
      <c r="C2460" s="116" t="s">
        <v>86</v>
      </c>
      <c r="D2460" s="91">
        <f t="shared" ref="D2460:O2460" si="424">D2458*D2459</f>
        <v>0</v>
      </c>
      <c r="E2460" s="91">
        <f t="shared" si="424"/>
        <v>0</v>
      </c>
      <c r="F2460" s="91">
        <f t="shared" si="424"/>
        <v>0</v>
      </c>
      <c r="G2460" s="91">
        <f t="shared" si="424"/>
        <v>0</v>
      </c>
      <c r="H2460" s="91">
        <f t="shared" si="424"/>
        <v>0</v>
      </c>
      <c r="I2460" s="91">
        <f t="shared" si="424"/>
        <v>0</v>
      </c>
      <c r="J2460" s="91">
        <f t="shared" si="424"/>
        <v>0</v>
      </c>
      <c r="K2460" s="91">
        <f t="shared" si="424"/>
        <v>0</v>
      </c>
      <c r="L2460" s="91">
        <f t="shared" si="424"/>
        <v>0</v>
      </c>
      <c r="M2460" s="91">
        <f t="shared" si="424"/>
        <v>0</v>
      </c>
      <c r="N2460" s="91">
        <f t="shared" si="424"/>
        <v>0</v>
      </c>
      <c r="O2460" s="91">
        <f t="shared" si="424"/>
        <v>0</v>
      </c>
      <c r="P2460" s="32"/>
      <c r="Q2460" s="132">
        <f t="shared" si="423"/>
        <v>0</v>
      </c>
    </row>
    <row r="2461" spans="1:17">
      <c r="A2461" s="150"/>
      <c r="B2461" s="153"/>
      <c r="C2461" s="117" t="s">
        <v>9</v>
      </c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32"/>
      <c r="Q2461" s="132">
        <f t="shared" si="423"/>
        <v>0</v>
      </c>
    </row>
    <row r="2462" spans="1:17">
      <c r="A2462" s="150"/>
      <c r="B2462" s="153"/>
      <c r="C2462" s="117" t="s">
        <v>38</v>
      </c>
      <c r="D2462" s="89"/>
      <c r="E2462" s="89"/>
      <c r="F2462" s="89"/>
      <c r="G2462" s="89"/>
      <c r="H2462" s="89"/>
      <c r="I2462" s="89"/>
      <c r="J2462" s="89"/>
      <c r="K2462" s="89"/>
      <c r="L2462" s="89"/>
      <c r="M2462" s="89"/>
      <c r="N2462" s="89"/>
      <c r="O2462" s="89"/>
      <c r="P2462" s="28"/>
      <c r="Q2462" s="132">
        <f t="shared" si="423"/>
        <v>0</v>
      </c>
    </row>
    <row r="2463" spans="1:17">
      <c r="A2463" s="150"/>
      <c r="B2463" s="153"/>
      <c r="C2463" s="62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1"/>
      <c r="O2463" s="91"/>
      <c r="P2463" s="32"/>
      <c r="Q2463" s="132">
        <f t="shared" si="423"/>
        <v>0</v>
      </c>
    </row>
    <row r="2464" spans="1:17">
      <c r="A2464" s="150"/>
      <c r="B2464" s="154"/>
      <c r="C2464" s="6" t="s">
        <v>42</v>
      </c>
      <c r="D2464" s="92"/>
      <c r="E2464" s="92"/>
      <c r="F2464" s="92"/>
      <c r="G2464" s="92"/>
      <c r="H2464" s="92"/>
      <c r="I2464" s="92"/>
      <c r="J2464" s="92"/>
      <c r="K2464" s="92"/>
      <c r="L2464" s="92"/>
      <c r="M2464" s="92"/>
      <c r="N2464" s="92"/>
      <c r="O2464" s="92"/>
      <c r="P2464" s="33"/>
      <c r="Q2464" s="135">
        <f t="shared" si="423"/>
        <v>0</v>
      </c>
    </row>
    <row r="2465" spans="1:17">
      <c r="A2465" s="150"/>
      <c r="B2465" s="155" t="s">
        <v>11</v>
      </c>
      <c r="C2465" s="5" t="s">
        <v>7</v>
      </c>
      <c r="D2465" s="94"/>
      <c r="E2465" s="94"/>
      <c r="F2465" s="94"/>
      <c r="G2465" s="94"/>
      <c r="H2465" s="94"/>
      <c r="I2465" s="94"/>
      <c r="J2465" s="94"/>
      <c r="K2465" s="94"/>
      <c r="L2465" s="94"/>
      <c r="M2465" s="94"/>
      <c r="N2465" s="94"/>
      <c r="O2465" s="94"/>
      <c r="P2465" s="27"/>
      <c r="Q2465" s="136">
        <f t="shared" si="423"/>
        <v>0</v>
      </c>
    </row>
    <row r="2466" spans="1:17">
      <c r="A2466" s="150"/>
      <c r="B2466" s="153"/>
      <c r="C2466" s="6" t="s">
        <v>4</v>
      </c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32"/>
      <c r="Q2466" s="132">
        <f t="shared" si="423"/>
        <v>0</v>
      </c>
    </row>
    <row r="2467" spans="1:17">
      <c r="A2467" s="150"/>
      <c r="B2467" s="153"/>
      <c r="C2467" s="6" t="s">
        <v>17</v>
      </c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1"/>
      <c r="O2467" s="91"/>
      <c r="P2467" s="32"/>
      <c r="Q2467" s="132">
        <f t="shared" si="423"/>
        <v>0</v>
      </c>
    </row>
    <row r="2468" spans="1:17">
      <c r="A2468" s="150"/>
      <c r="B2468" s="153"/>
      <c r="C2468" s="6" t="s">
        <v>18</v>
      </c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32"/>
      <c r="Q2468" s="132">
        <f t="shared" si="423"/>
        <v>0</v>
      </c>
    </row>
    <row r="2469" spans="1:17">
      <c r="A2469" s="150"/>
      <c r="B2469" s="153"/>
      <c r="C2469" s="6" t="s">
        <v>60</v>
      </c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1"/>
      <c r="O2469" s="91"/>
      <c r="P2469" s="32"/>
      <c r="Q2469" s="135">
        <f t="shared" si="423"/>
        <v>0</v>
      </c>
    </row>
    <row r="2470" spans="1:17">
      <c r="A2470" s="150"/>
      <c r="B2470" s="155" t="s">
        <v>13</v>
      </c>
      <c r="C2470" s="5" t="s">
        <v>10</v>
      </c>
      <c r="D2470" s="94"/>
      <c r="E2470" s="94"/>
      <c r="F2470" s="94"/>
      <c r="G2470" s="94"/>
      <c r="H2470" s="94"/>
      <c r="I2470" s="94"/>
      <c r="J2470" s="94"/>
      <c r="K2470" s="94"/>
      <c r="L2470" s="94"/>
      <c r="M2470" s="94"/>
      <c r="N2470" s="94"/>
      <c r="O2470" s="94"/>
      <c r="P2470" s="27"/>
      <c r="Q2470" s="131">
        <f t="shared" si="423"/>
        <v>0</v>
      </c>
    </row>
    <row r="2471" spans="1:17">
      <c r="A2471" s="150"/>
      <c r="B2471" s="153"/>
      <c r="C2471" s="116" t="s">
        <v>55</v>
      </c>
      <c r="D2471" s="89"/>
      <c r="E2471" s="89"/>
      <c r="F2471" s="89"/>
      <c r="G2471" s="89"/>
      <c r="H2471" s="89"/>
      <c r="I2471" s="89"/>
      <c r="J2471" s="89"/>
      <c r="K2471" s="89"/>
      <c r="L2471" s="89"/>
      <c r="M2471" s="89"/>
      <c r="N2471" s="89"/>
      <c r="O2471" s="89"/>
      <c r="P2471" s="28"/>
      <c r="Q2471" s="132">
        <f t="shared" si="423"/>
        <v>0</v>
      </c>
    </row>
    <row r="2472" spans="1:17">
      <c r="A2472" s="150"/>
      <c r="B2472" s="153"/>
      <c r="C2472" s="8" t="s">
        <v>56</v>
      </c>
      <c r="D2472" s="89"/>
      <c r="E2472" s="89"/>
      <c r="F2472" s="89"/>
      <c r="G2472" s="89"/>
      <c r="H2472" s="89"/>
      <c r="I2472" s="89"/>
      <c r="J2472" s="89"/>
      <c r="K2472" s="89"/>
      <c r="L2472" s="89"/>
      <c r="M2472" s="89"/>
      <c r="N2472" s="89"/>
      <c r="O2472" s="89"/>
      <c r="P2472" s="28"/>
      <c r="Q2472" s="132">
        <f t="shared" si="423"/>
        <v>0</v>
      </c>
    </row>
    <row r="2473" spans="1:17" ht="14.25" thickBot="1">
      <c r="A2473" s="150"/>
      <c r="B2473" s="154"/>
      <c r="C2473" s="4" t="s">
        <v>61</v>
      </c>
      <c r="D2473" s="92"/>
      <c r="E2473" s="92"/>
      <c r="F2473" s="92"/>
      <c r="G2473" s="92"/>
      <c r="H2473" s="92"/>
      <c r="I2473" s="92"/>
      <c r="J2473" s="92"/>
      <c r="K2473" s="92"/>
      <c r="L2473" s="92"/>
      <c r="M2473" s="92"/>
      <c r="N2473" s="92"/>
      <c r="O2473" s="92"/>
      <c r="P2473" s="33"/>
      <c r="Q2473" s="133">
        <f t="shared" si="423"/>
        <v>0</v>
      </c>
    </row>
    <row r="2474" spans="1:17" ht="14.25" thickBot="1">
      <c r="A2474" s="150"/>
      <c r="B2474" s="156" t="s">
        <v>54</v>
      </c>
      <c r="C2474" s="157"/>
      <c r="D2474" s="56">
        <f>SUM(D2460:D2464)-SUM(D2468:D2469)</f>
        <v>0</v>
      </c>
      <c r="E2474" s="56">
        <f t="shared" ref="E2474:O2474" si="425">SUM(E2460:E2464)-SUM(E2468:E2469)</f>
        <v>0</v>
      </c>
      <c r="F2474" s="56">
        <f t="shared" si="425"/>
        <v>0</v>
      </c>
      <c r="G2474" s="56">
        <f t="shared" si="425"/>
        <v>0</v>
      </c>
      <c r="H2474" s="56">
        <f t="shared" si="425"/>
        <v>0</v>
      </c>
      <c r="I2474" s="56">
        <f t="shared" si="425"/>
        <v>0</v>
      </c>
      <c r="J2474" s="56">
        <f t="shared" si="425"/>
        <v>0</v>
      </c>
      <c r="K2474" s="56">
        <f t="shared" si="425"/>
        <v>0</v>
      </c>
      <c r="L2474" s="56">
        <f t="shared" si="425"/>
        <v>0</v>
      </c>
      <c r="M2474" s="56">
        <f t="shared" si="425"/>
        <v>0</v>
      </c>
      <c r="N2474" s="56">
        <f t="shared" si="425"/>
        <v>0</v>
      </c>
      <c r="O2474" s="56">
        <f t="shared" si="425"/>
        <v>0</v>
      </c>
      <c r="P2474" s="58">
        <f>SUM(P2458:P2464)-SUM(P2468:P2469)</f>
        <v>0</v>
      </c>
      <c r="Q2474" s="130">
        <f t="shared" si="423"/>
        <v>0</v>
      </c>
    </row>
    <row r="2475" spans="1:17" ht="14.25" thickBot="1">
      <c r="A2475" s="151"/>
      <c r="B2475" s="147" t="s">
        <v>5</v>
      </c>
      <c r="C2475" s="148"/>
      <c r="D2475" s="42">
        <f>SUM(D2460:D2464)-SUM(D2465:D2469)+SUM(D2470:D2473)</f>
        <v>0</v>
      </c>
      <c r="E2475" s="42">
        <f t="shared" ref="E2475:O2475" si="426">SUM(E2460:E2464)-SUM(E2465:E2469)+SUM(E2470:E2473)</f>
        <v>0</v>
      </c>
      <c r="F2475" s="42">
        <f t="shared" si="426"/>
        <v>0</v>
      </c>
      <c r="G2475" s="42">
        <f t="shared" si="426"/>
        <v>0</v>
      </c>
      <c r="H2475" s="42">
        <f t="shared" si="426"/>
        <v>0</v>
      </c>
      <c r="I2475" s="42">
        <f t="shared" si="426"/>
        <v>0</v>
      </c>
      <c r="J2475" s="42">
        <f t="shared" si="426"/>
        <v>0</v>
      </c>
      <c r="K2475" s="42">
        <f t="shared" si="426"/>
        <v>0</v>
      </c>
      <c r="L2475" s="42">
        <f t="shared" si="426"/>
        <v>0</v>
      </c>
      <c r="M2475" s="42">
        <f t="shared" si="426"/>
        <v>0</v>
      </c>
      <c r="N2475" s="42">
        <f t="shared" si="426"/>
        <v>0</v>
      </c>
      <c r="O2475" s="42">
        <f t="shared" si="426"/>
        <v>0</v>
      </c>
      <c r="P2475" s="44">
        <f>SUM(P2458:P2464)-SUM(P2465:P2469)+SUM(P2470:P2473)</f>
        <v>0</v>
      </c>
      <c r="Q2475" s="46">
        <f>SUM(D2475:P2475)</f>
        <v>0</v>
      </c>
    </row>
    <row r="2476" spans="1:17">
      <c r="A2476" s="149"/>
      <c r="B2476" s="152" t="s">
        <v>12</v>
      </c>
      <c r="C2476" s="114" t="s">
        <v>84</v>
      </c>
      <c r="D2476" s="87"/>
      <c r="E2476" s="87"/>
      <c r="F2476" s="87"/>
      <c r="G2476" s="87"/>
      <c r="H2476" s="87"/>
      <c r="I2476" s="87"/>
      <c r="J2476" s="87"/>
      <c r="K2476" s="87"/>
      <c r="L2476" s="87"/>
      <c r="M2476" s="87"/>
      <c r="N2476" s="87"/>
      <c r="O2476" s="87"/>
      <c r="P2476" s="30"/>
      <c r="Q2476" s="134">
        <f>SUM(D2476:P2476)</f>
        <v>0</v>
      </c>
    </row>
    <row r="2477" spans="1:17">
      <c r="A2477" s="150"/>
      <c r="B2477" s="153"/>
      <c r="C2477" s="115" t="s">
        <v>85</v>
      </c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28"/>
      <c r="Q2477" s="132">
        <f t="shared" ref="Q2477:Q2492" si="427">SUM(D2477:P2477)</f>
        <v>0</v>
      </c>
    </row>
    <row r="2478" spans="1:17">
      <c r="A2478" s="150"/>
      <c r="B2478" s="153"/>
      <c r="C2478" s="116" t="s">
        <v>86</v>
      </c>
      <c r="D2478" s="91">
        <f t="shared" ref="D2478:O2478" si="428">D2476*D2477</f>
        <v>0</v>
      </c>
      <c r="E2478" s="91">
        <f t="shared" si="428"/>
        <v>0</v>
      </c>
      <c r="F2478" s="91">
        <f t="shared" si="428"/>
        <v>0</v>
      </c>
      <c r="G2478" s="91">
        <f t="shared" si="428"/>
        <v>0</v>
      </c>
      <c r="H2478" s="91">
        <f t="shared" si="428"/>
        <v>0</v>
      </c>
      <c r="I2478" s="91">
        <f t="shared" si="428"/>
        <v>0</v>
      </c>
      <c r="J2478" s="91">
        <f t="shared" si="428"/>
        <v>0</v>
      </c>
      <c r="K2478" s="91">
        <f t="shared" si="428"/>
        <v>0</v>
      </c>
      <c r="L2478" s="91">
        <f t="shared" si="428"/>
        <v>0</v>
      </c>
      <c r="M2478" s="91">
        <f t="shared" si="428"/>
        <v>0</v>
      </c>
      <c r="N2478" s="91">
        <f t="shared" si="428"/>
        <v>0</v>
      </c>
      <c r="O2478" s="91">
        <f t="shared" si="428"/>
        <v>0</v>
      </c>
      <c r="P2478" s="32"/>
      <c r="Q2478" s="132">
        <f t="shared" si="427"/>
        <v>0</v>
      </c>
    </row>
    <row r="2479" spans="1:17">
      <c r="A2479" s="150"/>
      <c r="B2479" s="153"/>
      <c r="C2479" s="117" t="s">
        <v>9</v>
      </c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32"/>
      <c r="Q2479" s="132">
        <f t="shared" si="427"/>
        <v>0</v>
      </c>
    </row>
    <row r="2480" spans="1:17">
      <c r="A2480" s="150"/>
      <c r="B2480" s="153"/>
      <c r="C2480" s="117" t="s">
        <v>38</v>
      </c>
      <c r="D2480" s="89"/>
      <c r="E2480" s="89"/>
      <c r="F2480" s="89"/>
      <c r="G2480" s="89"/>
      <c r="H2480" s="89"/>
      <c r="I2480" s="89"/>
      <c r="J2480" s="89"/>
      <c r="K2480" s="89"/>
      <c r="L2480" s="89"/>
      <c r="M2480" s="89"/>
      <c r="N2480" s="89"/>
      <c r="O2480" s="89"/>
      <c r="P2480" s="28"/>
      <c r="Q2480" s="132">
        <f t="shared" si="427"/>
        <v>0</v>
      </c>
    </row>
    <row r="2481" spans="1:17">
      <c r="A2481" s="150"/>
      <c r="B2481" s="153"/>
      <c r="C2481" s="62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32"/>
      <c r="Q2481" s="132">
        <f t="shared" si="427"/>
        <v>0</v>
      </c>
    </row>
    <row r="2482" spans="1:17">
      <c r="A2482" s="150"/>
      <c r="B2482" s="154"/>
      <c r="C2482" s="6" t="s">
        <v>42</v>
      </c>
      <c r="D2482" s="92"/>
      <c r="E2482" s="92"/>
      <c r="F2482" s="92"/>
      <c r="G2482" s="92"/>
      <c r="H2482" s="92"/>
      <c r="I2482" s="92"/>
      <c r="J2482" s="92"/>
      <c r="K2482" s="92"/>
      <c r="L2482" s="92"/>
      <c r="M2482" s="92"/>
      <c r="N2482" s="92"/>
      <c r="O2482" s="92"/>
      <c r="P2482" s="33"/>
      <c r="Q2482" s="135">
        <f t="shared" si="427"/>
        <v>0</v>
      </c>
    </row>
    <row r="2483" spans="1:17">
      <c r="A2483" s="150"/>
      <c r="B2483" s="155" t="s">
        <v>11</v>
      </c>
      <c r="C2483" s="5" t="s">
        <v>7</v>
      </c>
      <c r="D2483" s="94"/>
      <c r="E2483" s="94"/>
      <c r="F2483" s="94"/>
      <c r="G2483" s="94"/>
      <c r="H2483" s="94"/>
      <c r="I2483" s="94"/>
      <c r="J2483" s="94"/>
      <c r="K2483" s="94"/>
      <c r="L2483" s="94"/>
      <c r="M2483" s="94"/>
      <c r="N2483" s="94"/>
      <c r="O2483" s="94"/>
      <c r="P2483" s="27"/>
      <c r="Q2483" s="136">
        <f t="shared" si="427"/>
        <v>0</v>
      </c>
    </row>
    <row r="2484" spans="1:17">
      <c r="A2484" s="150"/>
      <c r="B2484" s="153"/>
      <c r="C2484" s="6" t="s">
        <v>4</v>
      </c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32"/>
      <c r="Q2484" s="132">
        <f t="shared" si="427"/>
        <v>0</v>
      </c>
    </row>
    <row r="2485" spans="1:17">
      <c r="A2485" s="150"/>
      <c r="B2485" s="153"/>
      <c r="C2485" s="6" t="s">
        <v>17</v>
      </c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32"/>
      <c r="Q2485" s="132">
        <f t="shared" si="427"/>
        <v>0</v>
      </c>
    </row>
    <row r="2486" spans="1:17">
      <c r="A2486" s="150"/>
      <c r="B2486" s="153"/>
      <c r="C2486" s="6" t="s">
        <v>18</v>
      </c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32"/>
      <c r="Q2486" s="132">
        <f t="shared" si="427"/>
        <v>0</v>
      </c>
    </row>
    <row r="2487" spans="1:17">
      <c r="A2487" s="150"/>
      <c r="B2487" s="153"/>
      <c r="C2487" s="6" t="s">
        <v>60</v>
      </c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32"/>
      <c r="Q2487" s="135">
        <f t="shared" si="427"/>
        <v>0</v>
      </c>
    </row>
    <row r="2488" spans="1:17">
      <c r="A2488" s="150"/>
      <c r="B2488" s="155" t="s">
        <v>13</v>
      </c>
      <c r="C2488" s="5" t="s">
        <v>10</v>
      </c>
      <c r="D2488" s="94"/>
      <c r="E2488" s="94"/>
      <c r="F2488" s="94"/>
      <c r="G2488" s="94"/>
      <c r="H2488" s="94"/>
      <c r="I2488" s="94"/>
      <c r="J2488" s="94"/>
      <c r="K2488" s="94"/>
      <c r="L2488" s="94"/>
      <c r="M2488" s="94"/>
      <c r="N2488" s="94"/>
      <c r="O2488" s="94"/>
      <c r="P2488" s="27"/>
      <c r="Q2488" s="131">
        <f t="shared" si="427"/>
        <v>0</v>
      </c>
    </row>
    <row r="2489" spans="1:17">
      <c r="A2489" s="150"/>
      <c r="B2489" s="153"/>
      <c r="C2489" s="116" t="s">
        <v>55</v>
      </c>
      <c r="D2489" s="89"/>
      <c r="E2489" s="89"/>
      <c r="F2489" s="89"/>
      <c r="G2489" s="89"/>
      <c r="H2489" s="89"/>
      <c r="I2489" s="89"/>
      <c r="J2489" s="89"/>
      <c r="K2489" s="89"/>
      <c r="L2489" s="89"/>
      <c r="M2489" s="89"/>
      <c r="N2489" s="89"/>
      <c r="O2489" s="89"/>
      <c r="P2489" s="28"/>
      <c r="Q2489" s="132">
        <f t="shared" si="427"/>
        <v>0</v>
      </c>
    </row>
    <row r="2490" spans="1:17">
      <c r="A2490" s="150"/>
      <c r="B2490" s="153"/>
      <c r="C2490" s="8" t="s">
        <v>56</v>
      </c>
      <c r="D2490" s="89"/>
      <c r="E2490" s="89"/>
      <c r="F2490" s="89"/>
      <c r="G2490" s="89"/>
      <c r="H2490" s="89"/>
      <c r="I2490" s="89"/>
      <c r="J2490" s="89"/>
      <c r="K2490" s="89"/>
      <c r="L2490" s="89"/>
      <c r="M2490" s="89"/>
      <c r="N2490" s="89"/>
      <c r="O2490" s="89"/>
      <c r="P2490" s="28"/>
      <c r="Q2490" s="132">
        <f t="shared" si="427"/>
        <v>0</v>
      </c>
    </row>
    <row r="2491" spans="1:17" ht="14.25" thickBot="1">
      <c r="A2491" s="150"/>
      <c r="B2491" s="154"/>
      <c r="C2491" s="4" t="s">
        <v>61</v>
      </c>
      <c r="D2491" s="92"/>
      <c r="E2491" s="92"/>
      <c r="F2491" s="92"/>
      <c r="G2491" s="92"/>
      <c r="H2491" s="92"/>
      <c r="I2491" s="92"/>
      <c r="J2491" s="92"/>
      <c r="K2491" s="92"/>
      <c r="L2491" s="92"/>
      <c r="M2491" s="92"/>
      <c r="N2491" s="92"/>
      <c r="O2491" s="92"/>
      <c r="P2491" s="33"/>
      <c r="Q2491" s="133">
        <f t="shared" si="427"/>
        <v>0</v>
      </c>
    </row>
    <row r="2492" spans="1:17" ht="14.25" thickBot="1">
      <c r="A2492" s="150"/>
      <c r="B2492" s="156" t="s">
        <v>54</v>
      </c>
      <c r="C2492" s="157"/>
      <c r="D2492" s="56">
        <f>SUM(D2478:D2482)-SUM(D2486:D2487)</f>
        <v>0</v>
      </c>
      <c r="E2492" s="56">
        <f t="shared" ref="E2492:O2492" si="429">SUM(E2478:E2482)-SUM(E2486:E2487)</f>
        <v>0</v>
      </c>
      <c r="F2492" s="56">
        <f t="shared" si="429"/>
        <v>0</v>
      </c>
      <c r="G2492" s="56">
        <f t="shared" si="429"/>
        <v>0</v>
      </c>
      <c r="H2492" s="56">
        <f t="shared" si="429"/>
        <v>0</v>
      </c>
      <c r="I2492" s="56">
        <f t="shared" si="429"/>
        <v>0</v>
      </c>
      <c r="J2492" s="56">
        <f t="shared" si="429"/>
        <v>0</v>
      </c>
      <c r="K2492" s="56">
        <f t="shared" si="429"/>
        <v>0</v>
      </c>
      <c r="L2492" s="56">
        <f t="shared" si="429"/>
        <v>0</v>
      </c>
      <c r="M2492" s="56">
        <f t="shared" si="429"/>
        <v>0</v>
      </c>
      <c r="N2492" s="56">
        <f t="shared" si="429"/>
        <v>0</v>
      </c>
      <c r="O2492" s="56">
        <f t="shared" si="429"/>
        <v>0</v>
      </c>
      <c r="P2492" s="58">
        <f>SUM(P2476:P2482)-SUM(P2486:P2487)</f>
        <v>0</v>
      </c>
      <c r="Q2492" s="130">
        <f t="shared" si="427"/>
        <v>0</v>
      </c>
    </row>
    <row r="2493" spans="1:17" ht="14.25" thickBot="1">
      <c r="A2493" s="151"/>
      <c r="B2493" s="147" t="s">
        <v>5</v>
      </c>
      <c r="C2493" s="148"/>
      <c r="D2493" s="42">
        <f>SUM(D2478:D2482)-SUM(D2483:D2487)+SUM(D2488:D2491)</f>
        <v>0</v>
      </c>
      <c r="E2493" s="42">
        <f t="shared" ref="E2493:O2493" si="430">SUM(E2478:E2482)-SUM(E2483:E2487)+SUM(E2488:E2491)</f>
        <v>0</v>
      </c>
      <c r="F2493" s="42">
        <f t="shared" si="430"/>
        <v>0</v>
      </c>
      <c r="G2493" s="42">
        <f t="shared" si="430"/>
        <v>0</v>
      </c>
      <c r="H2493" s="42">
        <f t="shared" si="430"/>
        <v>0</v>
      </c>
      <c r="I2493" s="42">
        <f t="shared" si="430"/>
        <v>0</v>
      </c>
      <c r="J2493" s="42">
        <f t="shared" si="430"/>
        <v>0</v>
      </c>
      <c r="K2493" s="42">
        <f t="shared" si="430"/>
        <v>0</v>
      </c>
      <c r="L2493" s="42">
        <f t="shared" si="430"/>
        <v>0</v>
      </c>
      <c r="M2493" s="42">
        <f t="shared" si="430"/>
        <v>0</v>
      </c>
      <c r="N2493" s="42">
        <f t="shared" si="430"/>
        <v>0</v>
      </c>
      <c r="O2493" s="42">
        <f t="shared" si="430"/>
        <v>0</v>
      </c>
      <c r="P2493" s="44">
        <f>SUM(P2476:P2482)-SUM(P2483:P2487)+SUM(P2488:P2491)</f>
        <v>0</v>
      </c>
      <c r="Q2493" s="46">
        <f>SUM(D2493:P2493)</f>
        <v>0</v>
      </c>
    </row>
    <row r="2494" spans="1:17">
      <c r="A2494" s="149"/>
      <c r="B2494" s="152" t="s">
        <v>12</v>
      </c>
      <c r="C2494" s="114" t="s">
        <v>84</v>
      </c>
      <c r="D2494" s="87"/>
      <c r="E2494" s="87"/>
      <c r="F2494" s="87"/>
      <c r="G2494" s="87"/>
      <c r="H2494" s="87"/>
      <c r="I2494" s="87"/>
      <c r="J2494" s="87"/>
      <c r="K2494" s="87"/>
      <c r="L2494" s="87"/>
      <c r="M2494" s="87"/>
      <c r="N2494" s="87"/>
      <c r="O2494" s="87"/>
      <c r="P2494" s="30"/>
      <c r="Q2494" s="134">
        <f>SUM(D2494:P2494)</f>
        <v>0</v>
      </c>
    </row>
    <row r="2495" spans="1:17">
      <c r="A2495" s="150"/>
      <c r="B2495" s="153"/>
      <c r="C2495" s="115" t="s">
        <v>85</v>
      </c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28"/>
      <c r="Q2495" s="132">
        <f t="shared" ref="Q2495:Q2509" si="431">SUM(D2495:P2495)</f>
        <v>0</v>
      </c>
    </row>
    <row r="2496" spans="1:17">
      <c r="A2496" s="150"/>
      <c r="B2496" s="153"/>
      <c r="C2496" s="116" t="s">
        <v>86</v>
      </c>
      <c r="D2496" s="91">
        <f t="shared" ref="D2496:O2496" si="432">D2494*D2495</f>
        <v>0</v>
      </c>
      <c r="E2496" s="91">
        <f t="shared" si="432"/>
        <v>0</v>
      </c>
      <c r="F2496" s="91">
        <f t="shared" si="432"/>
        <v>0</v>
      </c>
      <c r="G2496" s="91">
        <f t="shared" si="432"/>
        <v>0</v>
      </c>
      <c r="H2496" s="91">
        <f t="shared" si="432"/>
        <v>0</v>
      </c>
      <c r="I2496" s="91">
        <f t="shared" si="432"/>
        <v>0</v>
      </c>
      <c r="J2496" s="91">
        <f t="shared" si="432"/>
        <v>0</v>
      </c>
      <c r="K2496" s="91">
        <f t="shared" si="432"/>
        <v>0</v>
      </c>
      <c r="L2496" s="91">
        <f t="shared" si="432"/>
        <v>0</v>
      </c>
      <c r="M2496" s="91">
        <f t="shared" si="432"/>
        <v>0</v>
      </c>
      <c r="N2496" s="91">
        <f t="shared" si="432"/>
        <v>0</v>
      </c>
      <c r="O2496" s="91">
        <f t="shared" si="432"/>
        <v>0</v>
      </c>
      <c r="P2496" s="32"/>
      <c r="Q2496" s="132">
        <f t="shared" si="431"/>
        <v>0</v>
      </c>
    </row>
    <row r="2497" spans="1:17">
      <c r="A2497" s="150"/>
      <c r="B2497" s="153"/>
      <c r="C2497" s="117" t="s">
        <v>9</v>
      </c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1"/>
      <c r="O2497" s="91"/>
      <c r="P2497" s="32"/>
      <c r="Q2497" s="132">
        <f t="shared" si="431"/>
        <v>0</v>
      </c>
    </row>
    <row r="2498" spans="1:17">
      <c r="A2498" s="150"/>
      <c r="B2498" s="153"/>
      <c r="C2498" s="117" t="s">
        <v>38</v>
      </c>
      <c r="D2498" s="89"/>
      <c r="E2498" s="89"/>
      <c r="F2498" s="89"/>
      <c r="G2498" s="89"/>
      <c r="H2498" s="89"/>
      <c r="I2498" s="89"/>
      <c r="J2498" s="89"/>
      <c r="K2498" s="89"/>
      <c r="L2498" s="89"/>
      <c r="M2498" s="89"/>
      <c r="N2498" s="89"/>
      <c r="O2498" s="89"/>
      <c r="P2498" s="28"/>
      <c r="Q2498" s="132">
        <f t="shared" si="431"/>
        <v>0</v>
      </c>
    </row>
    <row r="2499" spans="1:17">
      <c r="A2499" s="150"/>
      <c r="B2499" s="153"/>
      <c r="C2499" s="62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1"/>
      <c r="O2499" s="91"/>
      <c r="P2499" s="32"/>
      <c r="Q2499" s="132">
        <f t="shared" si="431"/>
        <v>0</v>
      </c>
    </row>
    <row r="2500" spans="1:17">
      <c r="A2500" s="150"/>
      <c r="B2500" s="154"/>
      <c r="C2500" s="6" t="s">
        <v>42</v>
      </c>
      <c r="D2500" s="92"/>
      <c r="E2500" s="92"/>
      <c r="F2500" s="92"/>
      <c r="G2500" s="92"/>
      <c r="H2500" s="92"/>
      <c r="I2500" s="92"/>
      <c r="J2500" s="92"/>
      <c r="K2500" s="92"/>
      <c r="L2500" s="92"/>
      <c r="M2500" s="92"/>
      <c r="N2500" s="92"/>
      <c r="O2500" s="92"/>
      <c r="P2500" s="33"/>
      <c r="Q2500" s="135">
        <f t="shared" si="431"/>
        <v>0</v>
      </c>
    </row>
    <row r="2501" spans="1:17">
      <c r="A2501" s="150"/>
      <c r="B2501" s="155" t="s">
        <v>11</v>
      </c>
      <c r="C2501" s="5" t="s">
        <v>7</v>
      </c>
      <c r="D2501" s="94"/>
      <c r="E2501" s="94"/>
      <c r="F2501" s="94"/>
      <c r="G2501" s="94"/>
      <c r="H2501" s="94"/>
      <c r="I2501" s="94"/>
      <c r="J2501" s="94"/>
      <c r="K2501" s="94"/>
      <c r="L2501" s="94"/>
      <c r="M2501" s="94"/>
      <c r="N2501" s="94"/>
      <c r="O2501" s="94"/>
      <c r="P2501" s="27"/>
      <c r="Q2501" s="136">
        <f t="shared" si="431"/>
        <v>0</v>
      </c>
    </row>
    <row r="2502" spans="1:17">
      <c r="A2502" s="150"/>
      <c r="B2502" s="153"/>
      <c r="C2502" s="6" t="s">
        <v>4</v>
      </c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32"/>
      <c r="Q2502" s="132">
        <f t="shared" si="431"/>
        <v>0</v>
      </c>
    </row>
    <row r="2503" spans="1:17">
      <c r="A2503" s="150"/>
      <c r="B2503" s="153"/>
      <c r="C2503" s="6" t="s">
        <v>17</v>
      </c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91"/>
      <c r="O2503" s="91"/>
      <c r="P2503" s="32"/>
      <c r="Q2503" s="132">
        <f t="shared" si="431"/>
        <v>0</v>
      </c>
    </row>
    <row r="2504" spans="1:17">
      <c r="A2504" s="150"/>
      <c r="B2504" s="153"/>
      <c r="C2504" s="6" t="s">
        <v>18</v>
      </c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32"/>
      <c r="Q2504" s="132">
        <f t="shared" si="431"/>
        <v>0</v>
      </c>
    </row>
    <row r="2505" spans="1:17">
      <c r="A2505" s="150"/>
      <c r="B2505" s="153"/>
      <c r="C2505" s="6" t="s">
        <v>60</v>
      </c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91"/>
      <c r="O2505" s="91"/>
      <c r="P2505" s="32"/>
      <c r="Q2505" s="135">
        <f t="shared" si="431"/>
        <v>0</v>
      </c>
    </row>
    <row r="2506" spans="1:17">
      <c r="A2506" s="150"/>
      <c r="B2506" s="155" t="s">
        <v>13</v>
      </c>
      <c r="C2506" s="5" t="s">
        <v>10</v>
      </c>
      <c r="D2506" s="94"/>
      <c r="E2506" s="94"/>
      <c r="F2506" s="94"/>
      <c r="G2506" s="94"/>
      <c r="H2506" s="94"/>
      <c r="I2506" s="94"/>
      <c r="J2506" s="94"/>
      <c r="K2506" s="94"/>
      <c r="L2506" s="94"/>
      <c r="M2506" s="94"/>
      <c r="N2506" s="94"/>
      <c r="O2506" s="94"/>
      <c r="P2506" s="27"/>
      <c r="Q2506" s="131">
        <f t="shared" si="431"/>
        <v>0</v>
      </c>
    </row>
    <row r="2507" spans="1:17">
      <c r="A2507" s="150"/>
      <c r="B2507" s="153"/>
      <c r="C2507" s="116" t="s">
        <v>55</v>
      </c>
      <c r="D2507" s="89"/>
      <c r="E2507" s="89"/>
      <c r="F2507" s="89"/>
      <c r="G2507" s="89"/>
      <c r="H2507" s="89"/>
      <c r="I2507" s="89"/>
      <c r="J2507" s="89"/>
      <c r="K2507" s="89"/>
      <c r="L2507" s="89"/>
      <c r="M2507" s="89"/>
      <c r="N2507" s="89"/>
      <c r="O2507" s="89"/>
      <c r="P2507" s="28"/>
      <c r="Q2507" s="132">
        <f t="shared" si="431"/>
        <v>0</v>
      </c>
    </row>
    <row r="2508" spans="1:17">
      <c r="A2508" s="150"/>
      <c r="B2508" s="153"/>
      <c r="C2508" s="8" t="s">
        <v>56</v>
      </c>
      <c r="D2508" s="89"/>
      <c r="E2508" s="89"/>
      <c r="F2508" s="89"/>
      <c r="G2508" s="89"/>
      <c r="H2508" s="89"/>
      <c r="I2508" s="89"/>
      <c r="J2508" s="89"/>
      <c r="K2508" s="89"/>
      <c r="L2508" s="89"/>
      <c r="M2508" s="89"/>
      <c r="N2508" s="89"/>
      <c r="O2508" s="89"/>
      <c r="P2508" s="28"/>
      <c r="Q2508" s="132">
        <f t="shared" si="431"/>
        <v>0</v>
      </c>
    </row>
    <row r="2509" spans="1:17" ht="14.25" thickBot="1">
      <c r="A2509" s="150"/>
      <c r="B2509" s="154"/>
      <c r="C2509" s="4" t="s">
        <v>61</v>
      </c>
      <c r="D2509" s="92"/>
      <c r="E2509" s="92"/>
      <c r="F2509" s="92"/>
      <c r="G2509" s="92"/>
      <c r="H2509" s="92"/>
      <c r="I2509" s="92"/>
      <c r="J2509" s="92"/>
      <c r="K2509" s="92"/>
      <c r="L2509" s="92"/>
      <c r="M2509" s="92"/>
      <c r="N2509" s="92"/>
      <c r="O2509" s="92"/>
      <c r="P2509" s="33"/>
      <c r="Q2509" s="133">
        <f t="shared" si="431"/>
        <v>0</v>
      </c>
    </row>
    <row r="2510" spans="1:17" ht="14.25" thickBot="1">
      <c r="A2510" s="150"/>
      <c r="B2510" s="156" t="s">
        <v>54</v>
      </c>
      <c r="C2510" s="157"/>
      <c r="D2510" s="56">
        <f>SUM(D2496:D2500)-SUM(D2504:D2505)</f>
        <v>0</v>
      </c>
      <c r="E2510" s="56">
        <f t="shared" ref="E2510:O2510" si="433">SUM(E2496:E2500)-SUM(E2504:E2505)</f>
        <v>0</v>
      </c>
      <c r="F2510" s="56">
        <f t="shared" si="433"/>
        <v>0</v>
      </c>
      <c r="G2510" s="56">
        <f t="shared" si="433"/>
        <v>0</v>
      </c>
      <c r="H2510" s="56">
        <f t="shared" si="433"/>
        <v>0</v>
      </c>
      <c r="I2510" s="56">
        <f t="shared" si="433"/>
        <v>0</v>
      </c>
      <c r="J2510" s="56">
        <f t="shared" si="433"/>
        <v>0</v>
      </c>
      <c r="K2510" s="56">
        <f t="shared" si="433"/>
        <v>0</v>
      </c>
      <c r="L2510" s="56">
        <f t="shared" si="433"/>
        <v>0</v>
      </c>
      <c r="M2510" s="56">
        <f t="shared" si="433"/>
        <v>0</v>
      </c>
      <c r="N2510" s="56">
        <f t="shared" si="433"/>
        <v>0</v>
      </c>
      <c r="O2510" s="56">
        <f t="shared" si="433"/>
        <v>0</v>
      </c>
      <c r="P2510" s="58">
        <f>SUM(P2494:P2500)-SUM(P2504:P2505)</f>
        <v>0</v>
      </c>
      <c r="Q2510" s="130">
        <f>SUM(D2510:P2510)</f>
        <v>0</v>
      </c>
    </row>
    <row r="2511" spans="1:17" ht="14.25" thickBot="1">
      <c r="A2511" s="151"/>
      <c r="B2511" s="147" t="s">
        <v>5</v>
      </c>
      <c r="C2511" s="148"/>
      <c r="D2511" s="42">
        <f>SUM(D2496:D2500)-SUM(D2501:D2505)+SUM(D2506:D2509)</f>
        <v>0</v>
      </c>
      <c r="E2511" s="42">
        <f t="shared" ref="E2511:O2511" si="434">SUM(E2496:E2500)-SUM(E2501:E2505)+SUM(E2506:E2509)</f>
        <v>0</v>
      </c>
      <c r="F2511" s="42">
        <f t="shared" si="434"/>
        <v>0</v>
      </c>
      <c r="G2511" s="42">
        <f t="shared" si="434"/>
        <v>0</v>
      </c>
      <c r="H2511" s="42">
        <f t="shared" si="434"/>
        <v>0</v>
      </c>
      <c r="I2511" s="42">
        <f t="shared" si="434"/>
        <v>0</v>
      </c>
      <c r="J2511" s="42">
        <f t="shared" si="434"/>
        <v>0</v>
      </c>
      <c r="K2511" s="42">
        <f t="shared" si="434"/>
        <v>0</v>
      </c>
      <c r="L2511" s="42">
        <f t="shared" si="434"/>
        <v>0</v>
      </c>
      <c r="M2511" s="42">
        <f t="shared" si="434"/>
        <v>0</v>
      </c>
      <c r="N2511" s="42">
        <f t="shared" si="434"/>
        <v>0</v>
      </c>
      <c r="O2511" s="42">
        <f t="shared" si="434"/>
        <v>0</v>
      </c>
      <c r="P2511" s="44">
        <f>SUM(P2494:P2500)-SUM(P2501:P2505)+SUM(P2506:P2509)</f>
        <v>0</v>
      </c>
      <c r="Q2511" s="46">
        <f>SUM(D2511:P2511)</f>
        <v>0</v>
      </c>
    </row>
    <row r="2512" spans="1:17">
      <c r="A2512" s="149"/>
      <c r="B2512" s="152" t="s">
        <v>12</v>
      </c>
      <c r="C2512" s="114" t="s">
        <v>84</v>
      </c>
      <c r="D2512" s="87"/>
      <c r="E2512" s="87"/>
      <c r="F2512" s="87"/>
      <c r="G2512" s="87"/>
      <c r="H2512" s="87"/>
      <c r="I2512" s="87"/>
      <c r="J2512" s="87"/>
      <c r="K2512" s="87"/>
      <c r="L2512" s="87"/>
      <c r="M2512" s="87"/>
      <c r="N2512" s="87"/>
      <c r="O2512" s="87"/>
      <c r="P2512" s="30"/>
      <c r="Q2512" s="134">
        <f>SUM(D2512:P2512)</f>
        <v>0</v>
      </c>
    </row>
    <row r="2513" spans="1:17">
      <c r="A2513" s="150"/>
      <c r="B2513" s="153"/>
      <c r="C2513" s="115" t="s">
        <v>85</v>
      </c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28"/>
      <c r="Q2513" s="132">
        <f t="shared" ref="Q2513:Q2528" si="435">SUM(D2513:P2513)</f>
        <v>0</v>
      </c>
    </row>
    <row r="2514" spans="1:17">
      <c r="A2514" s="150"/>
      <c r="B2514" s="153"/>
      <c r="C2514" s="116" t="s">
        <v>86</v>
      </c>
      <c r="D2514" s="91">
        <f t="shared" ref="D2514:O2514" si="436">D2512*D2513</f>
        <v>0</v>
      </c>
      <c r="E2514" s="91">
        <f t="shared" si="436"/>
        <v>0</v>
      </c>
      <c r="F2514" s="91">
        <f t="shared" si="436"/>
        <v>0</v>
      </c>
      <c r="G2514" s="91">
        <f t="shared" si="436"/>
        <v>0</v>
      </c>
      <c r="H2514" s="91">
        <f t="shared" si="436"/>
        <v>0</v>
      </c>
      <c r="I2514" s="91">
        <f t="shared" si="436"/>
        <v>0</v>
      </c>
      <c r="J2514" s="91">
        <f t="shared" si="436"/>
        <v>0</v>
      </c>
      <c r="K2514" s="91">
        <f t="shared" si="436"/>
        <v>0</v>
      </c>
      <c r="L2514" s="91">
        <f t="shared" si="436"/>
        <v>0</v>
      </c>
      <c r="M2514" s="91">
        <f t="shared" si="436"/>
        <v>0</v>
      </c>
      <c r="N2514" s="91">
        <f t="shared" si="436"/>
        <v>0</v>
      </c>
      <c r="O2514" s="91">
        <f t="shared" si="436"/>
        <v>0</v>
      </c>
      <c r="P2514" s="32"/>
      <c r="Q2514" s="132">
        <f t="shared" si="435"/>
        <v>0</v>
      </c>
    </row>
    <row r="2515" spans="1:17">
      <c r="A2515" s="150"/>
      <c r="B2515" s="153"/>
      <c r="C2515" s="117" t="s">
        <v>9</v>
      </c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32"/>
      <c r="Q2515" s="132">
        <f t="shared" si="435"/>
        <v>0</v>
      </c>
    </row>
    <row r="2516" spans="1:17">
      <c r="A2516" s="150"/>
      <c r="B2516" s="153"/>
      <c r="C2516" s="117" t="s">
        <v>38</v>
      </c>
      <c r="D2516" s="89"/>
      <c r="E2516" s="89"/>
      <c r="F2516" s="89"/>
      <c r="G2516" s="89"/>
      <c r="H2516" s="89"/>
      <c r="I2516" s="89"/>
      <c r="J2516" s="89"/>
      <c r="K2516" s="89"/>
      <c r="L2516" s="89"/>
      <c r="M2516" s="89"/>
      <c r="N2516" s="89"/>
      <c r="O2516" s="89"/>
      <c r="P2516" s="28"/>
      <c r="Q2516" s="132">
        <f t="shared" si="435"/>
        <v>0</v>
      </c>
    </row>
    <row r="2517" spans="1:17">
      <c r="A2517" s="150"/>
      <c r="B2517" s="153"/>
      <c r="C2517" s="62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32"/>
      <c r="Q2517" s="132">
        <f t="shared" si="435"/>
        <v>0</v>
      </c>
    </row>
    <row r="2518" spans="1:17">
      <c r="A2518" s="150"/>
      <c r="B2518" s="154"/>
      <c r="C2518" s="6" t="s">
        <v>42</v>
      </c>
      <c r="D2518" s="92"/>
      <c r="E2518" s="92"/>
      <c r="F2518" s="92"/>
      <c r="G2518" s="92"/>
      <c r="H2518" s="92"/>
      <c r="I2518" s="92"/>
      <c r="J2518" s="92"/>
      <c r="K2518" s="92"/>
      <c r="L2518" s="92"/>
      <c r="M2518" s="92"/>
      <c r="N2518" s="92"/>
      <c r="O2518" s="92"/>
      <c r="P2518" s="33"/>
      <c r="Q2518" s="135">
        <f t="shared" si="435"/>
        <v>0</v>
      </c>
    </row>
    <row r="2519" spans="1:17">
      <c r="A2519" s="150"/>
      <c r="B2519" s="155" t="s">
        <v>11</v>
      </c>
      <c r="C2519" s="5" t="s">
        <v>7</v>
      </c>
      <c r="D2519" s="94"/>
      <c r="E2519" s="94"/>
      <c r="F2519" s="94"/>
      <c r="G2519" s="94"/>
      <c r="H2519" s="94"/>
      <c r="I2519" s="94"/>
      <c r="J2519" s="94"/>
      <c r="K2519" s="94"/>
      <c r="L2519" s="94"/>
      <c r="M2519" s="94"/>
      <c r="N2519" s="94"/>
      <c r="O2519" s="94"/>
      <c r="P2519" s="27"/>
      <c r="Q2519" s="136">
        <f t="shared" si="435"/>
        <v>0</v>
      </c>
    </row>
    <row r="2520" spans="1:17">
      <c r="A2520" s="150"/>
      <c r="B2520" s="153"/>
      <c r="C2520" s="6" t="s">
        <v>4</v>
      </c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32"/>
      <c r="Q2520" s="132">
        <f t="shared" si="435"/>
        <v>0</v>
      </c>
    </row>
    <row r="2521" spans="1:17">
      <c r="A2521" s="150"/>
      <c r="B2521" s="153"/>
      <c r="C2521" s="6" t="s">
        <v>17</v>
      </c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32"/>
      <c r="Q2521" s="132">
        <f t="shared" si="435"/>
        <v>0</v>
      </c>
    </row>
    <row r="2522" spans="1:17">
      <c r="A2522" s="150"/>
      <c r="B2522" s="153"/>
      <c r="C2522" s="6" t="s">
        <v>18</v>
      </c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32"/>
      <c r="Q2522" s="132">
        <f t="shared" si="435"/>
        <v>0</v>
      </c>
    </row>
    <row r="2523" spans="1:17">
      <c r="A2523" s="150"/>
      <c r="B2523" s="153"/>
      <c r="C2523" s="6" t="s">
        <v>60</v>
      </c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91"/>
      <c r="O2523" s="91"/>
      <c r="P2523" s="32"/>
      <c r="Q2523" s="135">
        <f t="shared" si="435"/>
        <v>0</v>
      </c>
    </row>
    <row r="2524" spans="1:17">
      <c r="A2524" s="150"/>
      <c r="B2524" s="155" t="s">
        <v>13</v>
      </c>
      <c r="C2524" s="5" t="s">
        <v>10</v>
      </c>
      <c r="D2524" s="94"/>
      <c r="E2524" s="94"/>
      <c r="F2524" s="94"/>
      <c r="G2524" s="94"/>
      <c r="H2524" s="94"/>
      <c r="I2524" s="94"/>
      <c r="J2524" s="94"/>
      <c r="K2524" s="94"/>
      <c r="L2524" s="94"/>
      <c r="M2524" s="94"/>
      <c r="N2524" s="94"/>
      <c r="O2524" s="94"/>
      <c r="P2524" s="27"/>
      <c r="Q2524" s="131">
        <f t="shared" si="435"/>
        <v>0</v>
      </c>
    </row>
    <row r="2525" spans="1:17">
      <c r="A2525" s="150"/>
      <c r="B2525" s="153"/>
      <c r="C2525" s="116" t="s">
        <v>55</v>
      </c>
      <c r="D2525" s="89"/>
      <c r="E2525" s="89"/>
      <c r="F2525" s="89"/>
      <c r="G2525" s="89"/>
      <c r="H2525" s="89"/>
      <c r="I2525" s="89"/>
      <c r="J2525" s="89"/>
      <c r="K2525" s="89"/>
      <c r="L2525" s="89"/>
      <c r="M2525" s="89"/>
      <c r="N2525" s="89"/>
      <c r="O2525" s="89"/>
      <c r="P2525" s="28"/>
      <c r="Q2525" s="132">
        <f t="shared" si="435"/>
        <v>0</v>
      </c>
    </row>
    <row r="2526" spans="1:17">
      <c r="A2526" s="150"/>
      <c r="B2526" s="153"/>
      <c r="C2526" s="8" t="s">
        <v>56</v>
      </c>
      <c r="D2526" s="89"/>
      <c r="E2526" s="89"/>
      <c r="F2526" s="89"/>
      <c r="G2526" s="89"/>
      <c r="H2526" s="89"/>
      <c r="I2526" s="89"/>
      <c r="J2526" s="89"/>
      <c r="K2526" s="89"/>
      <c r="L2526" s="89"/>
      <c r="M2526" s="89"/>
      <c r="N2526" s="89"/>
      <c r="O2526" s="89"/>
      <c r="P2526" s="28"/>
      <c r="Q2526" s="132">
        <f t="shared" si="435"/>
        <v>0</v>
      </c>
    </row>
    <row r="2527" spans="1:17" ht="14.25" thickBot="1">
      <c r="A2527" s="150"/>
      <c r="B2527" s="154"/>
      <c r="C2527" s="4" t="s">
        <v>61</v>
      </c>
      <c r="D2527" s="92"/>
      <c r="E2527" s="92"/>
      <c r="F2527" s="92"/>
      <c r="G2527" s="92"/>
      <c r="H2527" s="92"/>
      <c r="I2527" s="92"/>
      <c r="J2527" s="92"/>
      <c r="K2527" s="92"/>
      <c r="L2527" s="92"/>
      <c r="M2527" s="92"/>
      <c r="N2527" s="92"/>
      <c r="O2527" s="92"/>
      <c r="P2527" s="33"/>
      <c r="Q2527" s="133">
        <f t="shared" si="435"/>
        <v>0</v>
      </c>
    </row>
    <row r="2528" spans="1:17" ht="14.25" thickBot="1">
      <c r="A2528" s="150"/>
      <c r="B2528" s="156" t="s">
        <v>54</v>
      </c>
      <c r="C2528" s="157"/>
      <c r="D2528" s="56">
        <f>SUM(D2514:D2518)-SUM(D2522:D2523)</f>
        <v>0</v>
      </c>
      <c r="E2528" s="56">
        <f t="shared" ref="E2528:O2528" si="437">SUM(E2514:E2518)-SUM(E2522:E2523)</f>
        <v>0</v>
      </c>
      <c r="F2528" s="56">
        <f t="shared" si="437"/>
        <v>0</v>
      </c>
      <c r="G2528" s="56">
        <f t="shared" si="437"/>
        <v>0</v>
      </c>
      <c r="H2528" s="56">
        <f t="shared" si="437"/>
        <v>0</v>
      </c>
      <c r="I2528" s="56">
        <f t="shared" si="437"/>
        <v>0</v>
      </c>
      <c r="J2528" s="56">
        <f t="shared" si="437"/>
        <v>0</v>
      </c>
      <c r="K2528" s="56">
        <f t="shared" si="437"/>
        <v>0</v>
      </c>
      <c r="L2528" s="56">
        <f t="shared" si="437"/>
        <v>0</v>
      </c>
      <c r="M2528" s="56">
        <f t="shared" si="437"/>
        <v>0</v>
      </c>
      <c r="N2528" s="56">
        <f t="shared" si="437"/>
        <v>0</v>
      </c>
      <c r="O2528" s="56">
        <f t="shared" si="437"/>
        <v>0</v>
      </c>
      <c r="P2528" s="58">
        <f>SUM(P2512:P2518)-SUM(P2522:P2523)</f>
        <v>0</v>
      </c>
      <c r="Q2528" s="130">
        <f t="shared" si="435"/>
        <v>0</v>
      </c>
    </row>
    <row r="2529" spans="1:17" ht="14.25" thickBot="1">
      <c r="A2529" s="151"/>
      <c r="B2529" s="147" t="s">
        <v>5</v>
      </c>
      <c r="C2529" s="148"/>
      <c r="D2529" s="42">
        <f>SUM(D2514:D2518)-SUM(D2519:D2523)+SUM(D2524:D2527)</f>
        <v>0</v>
      </c>
      <c r="E2529" s="42">
        <f t="shared" ref="E2529:O2529" si="438">SUM(E2514:E2518)-SUM(E2519:E2523)+SUM(E2524:E2527)</f>
        <v>0</v>
      </c>
      <c r="F2529" s="42">
        <f t="shared" si="438"/>
        <v>0</v>
      </c>
      <c r="G2529" s="42">
        <f t="shared" si="438"/>
        <v>0</v>
      </c>
      <c r="H2529" s="42">
        <f t="shared" si="438"/>
        <v>0</v>
      </c>
      <c r="I2529" s="42">
        <f t="shared" si="438"/>
        <v>0</v>
      </c>
      <c r="J2529" s="42">
        <f t="shared" si="438"/>
        <v>0</v>
      </c>
      <c r="K2529" s="42">
        <f t="shared" si="438"/>
        <v>0</v>
      </c>
      <c r="L2529" s="42">
        <f t="shared" si="438"/>
        <v>0</v>
      </c>
      <c r="M2529" s="42">
        <f t="shared" si="438"/>
        <v>0</v>
      </c>
      <c r="N2529" s="42">
        <f t="shared" si="438"/>
        <v>0</v>
      </c>
      <c r="O2529" s="42">
        <f t="shared" si="438"/>
        <v>0</v>
      </c>
      <c r="P2529" s="44">
        <f>SUM(P2512:P2518)-SUM(P2519:P2523)+SUM(P2524:P2527)</f>
        <v>0</v>
      </c>
      <c r="Q2529" s="46">
        <f>SUM(D2529:P2529)</f>
        <v>0</v>
      </c>
    </row>
    <row r="2530" spans="1:17">
      <c r="A2530" s="149"/>
      <c r="B2530" s="152" t="s">
        <v>12</v>
      </c>
      <c r="C2530" s="114" t="s">
        <v>84</v>
      </c>
      <c r="D2530" s="87"/>
      <c r="E2530" s="87"/>
      <c r="F2530" s="87"/>
      <c r="G2530" s="87"/>
      <c r="H2530" s="87"/>
      <c r="I2530" s="87"/>
      <c r="J2530" s="87"/>
      <c r="K2530" s="87"/>
      <c r="L2530" s="87"/>
      <c r="M2530" s="87"/>
      <c r="N2530" s="87"/>
      <c r="O2530" s="87"/>
      <c r="P2530" s="30"/>
      <c r="Q2530" s="134">
        <f>SUM(D2530:P2530)</f>
        <v>0</v>
      </c>
    </row>
    <row r="2531" spans="1:17">
      <c r="A2531" s="150"/>
      <c r="B2531" s="153"/>
      <c r="C2531" s="115" t="s">
        <v>85</v>
      </c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28"/>
      <c r="Q2531" s="132">
        <f t="shared" ref="Q2531:Q2546" si="439">SUM(D2531:P2531)</f>
        <v>0</v>
      </c>
    </row>
    <row r="2532" spans="1:17">
      <c r="A2532" s="150"/>
      <c r="B2532" s="153"/>
      <c r="C2532" s="116" t="s">
        <v>86</v>
      </c>
      <c r="D2532" s="91">
        <f t="shared" ref="D2532:O2532" si="440">D2530*D2531</f>
        <v>0</v>
      </c>
      <c r="E2532" s="91">
        <f t="shared" si="440"/>
        <v>0</v>
      </c>
      <c r="F2532" s="91">
        <f t="shared" si="440"/>
        <v>0</v>
      </c>
      <c r="G2532" s="91">
        <f t="shared" si="440"/>
        <v>0</v>
      </c>
      <c r="H2532" s="91">
        <f t="shared" si="440"/>
        <v>0</v>
      </c>
      <c r="I2532" s="91">
        <f t="shared" si="440"/>
        <v>0</v>
      </c>
      <c r="J2532" s="91">
        <f t="shared" si="440"/>
        <v>0</v>
      </c>
      <c r="K2532" s="91">
        <f t="shared" si="440"/>
        <v>0</v>
      </c>
      <c r="L2532" s="91">
        <f t="shared" si="440"/>
        <v>0</v>
      </c>
      <c r="M2532" s="91">
        <f t="shared" si="440"/>
        <v>0</v>
      </c>
      <c r="N2532" s="91">
        <f t="shared" si="440"/>
        <v>0</v>
      </c>
      <c r="O2532" s="91">
        <f t="shared" si="440"/>
        <v>0</v>
      </c>
      <c r="P2532" s="32"/>
      <c r="Q2532" s="132">
        <f t="shared" si="439"/>
        <v>0</v>
      </c>
    </row>
    <row r="2533" spans="1:17">
      <c r="A2533" s="150"/>
      <c r="B2533" s="153"/>
      <c r="C2533" s="117" t="s">
        <v>9</v>
      </c>
      <c r="D2533" s="91"/>
      <c r="E2533" s="91"/>
      <c r="F2533" s="91"/>
      <c r="G2533" s="91"/>
      <c r="H2533" s="91"/>
      <c r="I2533" s="91"/>
      <c r="J2533" s="91"/>
      <c r="K2533" s="91"/>
      <c r="L2533" s="91"/>
      <c r="M2533" s="91"/>
      <c r="N2533" s="91"/>
      <c r="O2533" s="91"/>
      <c r="P2533" s="32"/>
      <c r="Q2533" s="132">
        <f t="shared" si="439"/>
        <v>0</v>
      </c>
    </row>
    <row r="2534" spans="1:17">
      <c r="A2534" s="150"/>
      <c r="B2534" s="153"/>
      <c r="C2534" s="117" t="s">
        <v>38</v>
      </c>
      <c r="D2534" s="89"/>
      <c r="E2534" s="89"/>
      <c r="F2534" s="89"/>
      <c r="G2534" s="89"/>
      <c r="H2534" s="89"/>
      <c r="I2534" s="89"/>
      <c r="J2534" s="89"/>
      <c r="K2534" s="89"/>
      <c r="L2534" s="89"/>
      <c r="M2534" s="89"/>
      <c r="N2534" s="89"/>
      <c r="O2534" s="89"/>
      <c r="P2534" s="28"/>
      <c r="Q2534" s="132">
        <f t="shared" si="439"/>
        <v>0</v>
      </c>
    </row>
    <row r="2535" spans="1:17">
      <c r="A2535" s="150"/>
      <c r="B2535" s="153"/>
      <c r="C2535" s="62"/>
      <c r="D2535" s="91"/>
      <c r="E2535" s="91"/>
      <c r="F2535" s="91"/>
      <c r="G2535" s="91"/>
      <c r="H2535" s="91"/>
      <c r="I2535" s="91"/>
      <c r="J2535" s="91"/>
      <c r="K2535" s="91"/>
      <c r="L2535" s="91"/>
      <c r="M2535" s="91"/>
      <c r="N2535" s="91"/>
      <c r="O2535" s="91"/>
      <c r="P2535" s="32"/>
      <c r="Q2535" s="132">
        <f t="shared" si="439"/>
        <v>0</v>
      </c>
    </row>
    <row r="2536" spans="1:17">
      <c r="A2536" s="150"/>
      <c r="B2536" s="154"/>
      <c r="C2536" s="6" t="s">
        <v>42</v>
      </c>
      <c r="D2536" s="92"/>
      <c r="E2536" s="92"/>
      <c r="F2536" s="92"/>
      <c r="G2536" s="92"/>
      <c r="H2536" s="92"/>
      <c r="I2536" s="92"/>
      <c r="J2536" s="92"/>
      <c r="K2536" s="92"/>
      <c r="L2536" s="92"/>
      <c r="M2536" s="92"/>
      <c r="N2536" s="92"/>
      <c r="O2536" s="92"/>
      <c r="P2536" s="33"/>
      <c r="Q2536" s="135">
        <f t="shared" si="439"/>
        <v>0</v>
      </c>
    </row>
    <row r="2537" spans="1:17">
      <c r="A2537" s="150"/>
      <c r="B2537" s="155" t="s">
        <v>11</v>
      </c>
      <c r="C2537" s="5" t="s">
        <v>7</v>
      </c>
      <c r="D2537" s="94"/>
      <c r="E2537" s="94"/>
      <c r="F2537" s="94"/>
      <c r="G2537" s="94"/>
      <c r="H2537" s="94"/>
      <c r="I2537" s="94"/>
      <c r="J2537" s="94"/>
      <c r="K2537" s="94"/>
      <c r="L2537" s="94"/>
      <c r="M2537" s="94"/>
      <c r="N2537" s="94"/>
      <c r="O2537" s="94"/>
      <c r="P2537" s="27"/>
      <c r="Q2537" s="136">
        <f t="shared" si="439"/>
        <v>0</v>
      </c>
    </row>
    <row r="2538" spans="1:17">
      <c r="A2538" s="150"/>
      <c r="B2538" s="153"/>
      <c r="C2538" s="6" t="s">
        <v>4</v>
      </c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32"/>
      <c r="Q2538" s="132">
        <f t="shared" si="439"/>
        <v>0</v>
      </c>
    </row>
    <row r="2539" spans="1:17">
      <c r="A2539" s="150"/>
      <c r="B2539" s="153"/>
      <c r="C2539" s="6" t="s">
        <v>17</v>
      </c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32"/>
      <c r="Q2539" s="132">
        <f t="shared" si="439"/>
        <v>0</v>
      </c>
    </row>
    <row r="2540" spans="1:17">
      <c r="A2540" s="150"/>
      <c r="B2540" s="153"/>
      <c r="C2540" s="6" t="s">
        <v>18</v>
      </c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32"/>
      <c r="Q2540" s="132">
        <f t="shared" si="439"/>
        <v>0</v>
      </c>
    </row>
    <row r="2541" spans="1:17">
      <c r="A2541" s="150"/>
      <c r="B2541" s="153"/>
      <c r="C2541" s="6" t="s">
        <v>60</v>
      </c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32"/>
      <c r="Q2541" s="135">
        <f t="shared" si="439"/>
        <v>0</v>
      </c>
    </row>
    <row r="2542" spans="1:17">
      <c r="A2542" s="150"/>
      <c r="B2542" s="155" t="s">
        <v>13</v>
      </c>
      <c r="C2542" s="5" t="s">
        <v>10</v>
      </c>
      <c r="D2542" s="94"/>
      <c r="E2542" s="94"/>
      <c r="F2542" s="94"/>
      <c r="G2542" s="94"/>
      <c r="H2542" s="94"/>
      <c r="I2542" s="94"/>
      <c r="J2542" s="94"/>
      <c r="K2542" s="94"/>
      <c r="L2542" s="94"/>
      <c r="M2542" s="94"/>
      <c r="N2542" s="94"/>
      <c r="O2542" s="94"/>
      <c r="P2542" s="27"/>
      <c r="Q2542" s="131">
        <f t="shared" si="439"/>
        <v>0</v>
      </c>
    </row>
    <row r="2543" spans="1:17">
      <c r="A2543" s="150"/>
      <c r="B2543" s="153"/>
      <c r="C2543" s="116" t="s">
        <v>55</v>
      </c>
      <c r="D2543" s="89"/>
      <c r="E2543" s="89"/>
      <c r="F2543" s="89"/>
      <c r="G2543" s="89"/>
      <c r="H2543" s="89"/>
      <c r="I2543" s="89"/>
      <c r="J2543" s="89"/>
      <c r="K2543" s="89"/>
      <c r="L2543" s="89"/>
      <c r="M2543" s="89"/>
      <c r="N2543" s="89"/>
      <c r="O2543" s="89"/>
      <c r="P2543" s="28"/>
      <c r="Q2543" s="132">
        <f t="shared" si="439"/>
        <v>0</v>
      </c>
    </row>
    <row r="2544" spans="1:17">
      <c r="A2544" s="150"/>
      <c r="B2544" s="153"/>
      <c r="C2544" s="8" t="s">
        <v>56</v>
      </c>
      <c r="D2544" s="89"/>
      <c r="E2544" s="89"/>
      <c r="F2544" s="89"/>
      <c r="G2544" s="89"/>
      <c r="H2544" s="89"/>
      <c r="I2544" s="89"/>
      <c r="J2544" s="89"/>
      <c r="K2544" s="89"/>
      <c r="L2544" s="89"/>
      <c r="M2544" s="89"/>
      <c r="N2544" s="89"/>
      <c r="O2544" s="89"/>
      <c r="P2544" s="28"/>
      <c r="Q2544" s="132">
        <f t="shared" si="439"/>
        <v>0</v>
      </c>
    </row>
    <row r="2545" spans="1:17" ht="14.25" thickBot="1">
      <c r="A2545" s="150"/>
      <c r="B2545" s="154"/>
      <c r="C2545" s="4" t="s">
        <v>61</v>
      </c>
      <c r="D2545" s="92"/>
      <c r="E2545" s="92"/>
      <c r="F2545" s="92"/>
      <c r="G2545" s="92"/>
      <c r="H2545" s="92"/>
      <c r="I2545" s="92"/>
      <c r="J2545" s="92"/>
      <c r="K2545" s="92"/>
      <c r="L2545" s="92"/>
      <c r="M2545" s="92"/>
      <c r="N2545" s="92"/>
      <c r="O2545" s="92"/>
      <c r="P2545" s="33"/>
      <c r="Q2545" s="133">
        <f t="shared" si="439"/>
        <v>0</v>
      </c>
    </row>
    <row r="2546" spans="1:17" ht="14.25" thickBot="1">
      <c r="A2546" s="150"/>
      <c r="B2546" s="156" t="s">
        <v>54</v>
      </c>
      <c r="C2546" s="157"/>
      <c r="D2546" s="56">
        <f>SUM(D2532:D2536)-SUM(D2540:D2541)</f>
        <v>0</v>
      </c>
      <c r="E2546" s="56">
        <f t="shared" ref="E2546:O2546" si="441">SUM(E2532:E2536)-SUM(E2540:E2541)</f>
        <v>0</v>
      </c>
      <c r="F2546" s="56">
        <f t="shared" si="441"/>
        <v>0</v>
      </c>
      <c r="G2546" s="56">
        <f t="shared" si="441"/>
        <v>0</v>
      </c>
      <c r="H2546" s="56">
        <f t="shared" si="441"/>
        <v>0</v>
      </c>
      <c r="I2546" s="56">
        <f t="shared" si="441"/>
        <v>0</v>
      </c>
      <c r="J2546" s="56">
        <f t="shared" si="441"/>
        <v>0</v>
      </c>
      <c r="K2546" s="56">
        <f t="shared" si="441"/>
        <v>0</v>
      </c>
      <c r="L2546" s="56">
        <f t="shared" si="441"/>
        <v>0</v>
      </c>
      <c r="M2546" s="56">
        <f t="shared" si="441"/>
        <v>0</v>
      </c>
      <c r="N2546" s="56">
        <f t="shared" si="441"/>
        <v>0</v>
      </c>
      <c r="O2546" s="56">
        <f t="shared" si="441"/>
        <v>0</v>
      </c>
      <c r="P2546" s="58">
        <f>SUM(P2530:P2536)-SUM(P2540:P2541)</f>
        <v>0</v>
      </c>
      <c r="Q2546" s="130">
        <f t="shared" si="439"/>
        <v>0</v>
      </c>
    </row>
    <row r="2547" spans="1:17" ht="14.25" thickBot="1">
      <c r="A2547" s="151"/>
      <c r="B2547" s="147" t="s">
        <v>5</v>
      </c>
      <c r="C2547" s="148"/>
      <c r="D2547" s="42">
        <f>SUM(D2532:D2536)-SUM(D2537:D2541)+SUM(D2542:D2545)</f>
        <v>0</v>
      </c>
      <c r="E2547" s="42">
        <f t="shared" ref="E2547:O2547" si="442">SUM(E2532:E2536)-SUM(E2537:E2541)+SUM(E2542:E2545)</f>
        <v>0</v>
      </c>
      <c r="F2547" s="42">
        <f t="shared" si="442"/>
        <v>0</v>
      </c>
      <c r="G2547" s="42">
        <f t="shared" si="442"/>
        <v>0</v>
      </c>
      <c r="H2547" s="42">
        <f t="shared" si="442"/>
        <v>0</v>
      </c>
      <c r="I2547" s="42">
        <f t="shared" si="442"/>
        <v>0</v>
      </c>
      <c r="J2547" s="42">
        <f t="shared" si="442"/>
        <v>0</v>
      </c>
      <c r="K2547" s="42">
        <f t="shared" si="442"/>
        <v>0</v>
      </c>
      <c r="L2547" s="42">
        <f t="shared" si="442"/>
        <v>0</v>
      </c>
      <c r="M2547" s="42">
        <f t="shared" si="442"/>
        <v>0</v>
      </c>
      <c r="N2547" s="42">
        <f t="shared" si="442"/>
        <v>0</v>
      </c>
      <c r="O2547" s="42">
        <f t="shared" si="442"/>
        <v>0</v>
      </c>
      <c r="P2547" s="44">
        <f>SUM(P2530:P2536)-SUM(P2537:P2541)+SUM(P2542:P2545)</f>
        <v>0</v>
      </c>
      <c r="Q2547" s="46">
        <f>SUM(D2547:P2547)</f>
        <v>0</v>
      </c>
    </row>
    <row r="2548" spans="1:17">
      <c r="A2548" s="149"/>
      <c r="B2548" s="152" t="s">
        <v>12</v>
      </c>
      <c r="C2548" s="114" t="s">
        <v>84</v>
      </c>
      <c r="D2548" s="87"/>
      <c r="E2548" s="87"/>
      <c r="F2548" s="87"/>
      <c r="G2548" s="87"/>
      <c r="H2548" s="87"/>
      <c r="I2548" s="87"/>
      <c r="J2548" s="87"/>
      <c r="K2548" s="87"/>
      <c r="L2548" s="87"/>
      <c r="M2548" s="87"/>
      <c r="N2548" s="87"/>
      <c r="O2548" s="87"/>
      <c r="P2548" s="30"/>
      <c r="Q2548" s="134">
        <f>SUM(D2548:P2548)</f>
        <v>0</v>
      </c>
    </row>
    <row r="2549" spans="1:17">
      <c r="A2549" s="150"/>
      <c r="B2549" s="153"/>
      <c r="C2549" s="115" t="s">
        <v>85</v>
      </c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28"/>
      <c r="Q2549" s="132">
        <f t="shared" ref="Q2549:Q2564" si="443">SUM(D2549:P2549)</f>
        <v>0</v>
      </c>
    </row>
    <row r="2550" spans="1:17">
      <c r="A2550" s="150"/>
      <c r="B2550" s="153"/>
      <c r="C2550" s="116" t="s">
        <v>86</v>
      </c>
      <c r="D2550" s="91">
        <f t="shared" ref="D2550:O2550" si="444">D2548*D2549</f>
        <v>0</v>
      </c>
      <c r="E2550" s="91">
        <f t="shared" si="444"/>
        <v>0</v>
      </c>
      <c r="F2550" s="91">
        <f t="shared" si="444"/>
        <v>0</v>
      </c>
      <c r="G2550" s="91">
        <f t="shared" si="444"/>
        <v>0</v>
      </c>
      <c r="H2550" s="91">
        <f t="shared" si="444"/>
        <v>0</v>
      </c>
      <c r="I2550" s="91">
        <f t="shared" si="444"/>
        <v>0</v>
      </c>
      <c r="J2550" s="91">
        <f t="shared" si="444"/>
        <v>0</v>
      </c>
      <c r="K2550" s="91">
        <f t="shared" si="444"/>
        <v>0</v>
      </c>
      <c r="L2550" s="91">
        <f t="shared" si="444"/>
        <v>0</v>
      </c>
      <c r="M2550" s="91">
        <f t="shared" si="444"/>
        <v>0</v>
      </c>
      <c r="N2550" s="91">
        <f t="shared" si="444"/>
        <v>0</v>
      </c>
      <c r="O2550" s="91">
        <f t="shared" si="444"/>
        <v>0</v>
      </c>
      <c r="P2550" s="32"/>
      <c r="Q2550" s="132">
        <f t="shared" si="443"/>
        <v>0</v>
      </c>
    </row>
    <row r="2551" spans="1:17">
      <c r="A2551" s="150"/>
      <c r="B2551" s="153"/>
      <c r="C2551" s="117" t="s">
        <v>9</v>
      </c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32"/>
      <c r="Q2551" s="132">
        <f t="shared" si="443"/>
        <v>0</v>
      </c>
    </row>
    <row r="2552" spans="1:17">
      <c r="A2552" s="150"/>
      <c r="B2552" s="153"/>
      <c r="C2552" s="117" t="s">
        <v>38</v>
      </c>
      <c r="D2552" s="89"/>
      <c r="E2552" s="89"/>
      <c r="F2552" s="89"/>
      <c r="G2552" s="89"/>
      <c r="H2552" s="89"/>
      <c r="I2552" s="89"/>
      <c r="J2552" s="89"/>
      <c r="K2552" s="89"/>
      <c r="L2552" s="89"/>
      <c r="M2552" s="89"/>
      <c r="N2552" s="89"/>
      <c r="O2552" s="89"/>
      <c r="P2552" s="28"/>
      <c r="Q2552" s="132">
        <f t="shared" si="443"/>
        <v>0</v>
      </c>
    </row>
    <row r="2553" spans="1:17">
      <c r="A2553" s="150"/>
      <c r="B2553" s="153"/>
      <c r="C2553" s="62"/>
      <c r="D2553" s="91"/>
      <c r="E2553" s="91"/>
      <c r="F2553" s="91"/>
      <c r="G2553" s="91"/>
      <c r="H2553" s="91"/>
      <c r="I2553" s="91"/>
      <c r="J2553" s="91"/>
      <c r="K2553" s="91"/>
      <c r="L2553" s="91"/>
      <c r="M2553" s="91"/>
      <c r="N2553" s="91"/>
      <c r="O2553" s="91"/>
      <c r="P2553" s="32"/>
      <c r="Q2553" s="132">
        <f t="shared" si="443"/>
        <v>0</v>
      </c>
    </row>
    <row r="2554" spans="1:17">
      <c r="A2554" s="150"/>
      <c r="B2554" s="154"/>
      <c r="C2554" s="6" t="s">
        <v>42</v>
      </c>
      <c r="D2554" s="92"/>
      <c r="E2554" s="92"/>
      <c r="F2554" s="92"/>
      <c r="G2554" s="92"/>
      <c r="H2554" s="92"/>
      <c r="I2554" s="92"/>
      <c r="J2554" s="92"/>
      <c r="K2554" s="92"/>
      <c r="L2554" s="92"/>
      <c r="M2554" s="92"/>
      <c r="N2554" s="92"/>
      <c r="O2554" s="92"/>
      <c r="P2554" s="33"/>
      <c r="Q2554" s="135">
        <f t="shared" si="443"/>
        <v>0</v>
      </c>
    </row>
    <row r="2555" spans="1:17">
      <c r="A2555" s="150"/>
      <c r="B2555" s="155" t="s">
        <v>11</v>
      </c>
      <c r="C2555" s="5" t="s">
        <v>7</v>
      </c>
      <c r="D2555" s="94"/>
      <c r="E2555" s="94"/>
      <c r="F2555" s="94"/>
      <c r="G2555" s="94"/>
      <c r="H2555" s="94"/>
      <c r="I2555" s="94"/>
      <c r="J2555" s="94"/>
      <c r="K2555" s="94"/>
      <c r="L2555" s="94"/>
      <c r="M2555" s="94"/>
      <c r="N2555" s="94"/>
      <c r="O2555" s="94"/>
      <c r="P2555" s="27"/>
      <c r="Q2555" s="136">
        <f t="shared" si="443"/>
        <v>0</v>
      </c>
    </row>
    <row r="2556" spans="1:17">
      <c r="A2556" s="150"/>
      <c r="B2556" s="153"/>
      <c r="C2556" s="6" t="s">
        <v>4</v>
      </c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32"/>
      <c r="Q2556" s="132">
        <f t="shared" si="443"/>
        <v>0</v>
      </c>
    </row>
    <row r="2557" spans="1:17">
      <c r="A2557" s="150"/>
      <c r="B2557" s="153"/>
      <c r="C2557" s="6" t="s">
        <v>17</v>
      </c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91"/>
      <c r="O2557" s="91"/>
      <c r="P2557" s="32"/>
      <c r="Q2557" s="132">
        <f t="shared" si="443"/>
        <v>0</v>
      </c>
    </row>
    <row r="2558" spans="1:17">
      <c r="A2558" s="150"/>
      <c r="B2558" s="153"/>
      <c r="C2558" s="6" t="s">
        <v>18</v>
      </c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32"/>
      <c r="Q2558" s="132">
        <f t="shared" si="443"/>
        <v>0</v>
      </c>
    </row>
    <row r="2559" spans="1:17">
      <c r="A2559" s="150"/>
      <c r="B2559" s="153"/>
      <c r="C2559" s="6" t="s">
        <v>60</v>
      </c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91"/>
      <c r="O2559" s="91"/>
      <c r="P2559" s="32"/>
      <c r="Q2559" s="135">
        <f t="shared" si="443"/>
        <v>0</v>
      </c>
    </row>
    <row r="2560" spans="1:17">
      <c r="A2560" s="150"/>
      <c r="B2560" s="155" t="s">
        <v>13</v>
      </c>
      <c r="C2560" s="5" t="s">
        <v>10</v>
      </c>
      <c r="D2560" s="94"/>
      <c r="E2560" s="94"/>
      <c r="F2560" s="94"/>
      <c r="G2560" s="94"/>
      <c r="H2560" s="94"/>
      <c r="I2560" s="94"/>
      <c r="J2560" s="94"/>
      <c r="K2560" s="94"/>
      <c r="L2560" s="94"/>
      <c r="M2560" s="94"/>
      <c r="N2560" s="94"/>
      <c r="O2560" s="94"/>
      <c r="P2560" s="27"/>
      <c r="Q2560" s="131">
        <f t="shared" si="443"/>
        <v>0</v>
      </c>
    </row>
    <row r="2561" spans="1:17">
      <c r="A2561" s="150"/>
      <c r="B2561" s="153"/>
      <c r="C2561" s="116" t="s">
        <v>55</v>
      </c>
      <c r="D2561" s="89"/>
      <c r="E2561" s="89"/>
      <c r="F2561" s="89"/>
      <c r="G2561" s="89"/>
      <c r="H2561" s="89"/>
      <c r="I2561" s="89"/>
      <c r="J2561" s="89"/>
      <c r="K2561" s="89"/>
      <c r="L2561" s="89"/>
      <c r="M2561" s="89"/>
      <c r="N2561" s="89"/>
      <c r="O2561" s="89"/>
      <c r="P2561" s="28"/>
      <c r="Q2561" s="132">
        <f t="shared" si="443"/>
        <v>0</v>
      </c>
    </row>
    <row r="2562" spans="1:17">
      <c r="A2562" s="150"/>
      <c r="B2562" s="153"/>
      <c r="C2562" s="8" t="s">
        <v>56</v>
      </c>
      <c r="D2562" s="89"/>
      <c r="E2562" s="89"/>
      <c r="F2562" s="89"/>
      <c r="G2562" s="89"/>
      <c r="H2562" s="89"/>
      <c r="I2562" s="89"/>
      <c r="J2562" s="89"/>
      <c r="K2562" s="89"/>
      <c r="L2562" s="89"/>
      <c r="M2562" s="89"/>
      <c r="N2562" s="89"/>
      <c r="O2562" s="89"/>
      <c r="P2562" s="28"/>
      <c r="Q2562" s="132">
        <f t="shared" si="443"/>
        <v>0</v>
      </c>
    </row>
    <row r="2563" spans="1:17" ht="14.25" thickBot="1">
      <c r="A2563" s="150"/>
      <c r="B2563" s="154"/>
      <c r="C2563" s="4" t="s">
        <v>61</v>
      </c>
      <c r="D2563" s="92"/>
      <c r="E2563" s="92"/>
      <c r="F2563" s="92"/>
      <c r="G2563" s="92"/>
      <c r="H2563" s="92"/>
      <c r="I2563" s="92"/>
      <c r="J2563" s="92"/>
      <c r="K2563" s="92"/>
      <c r="L2563" s="92"/>
      <c r="M2563" s="92"/>
      <c r="N2563" s="92"/>
      <c r="O2563" s="92"/>
      <c r="P2563" s="33"/>
      <c r="Q2563" s="133">
        <f t="shared" si="443"/>
        <v>0</v>
      </c>
    </row>
    <row r="2564" spans="1:17" ht="14.25" thickBot="1">
      <c r="A2564" s="150"/>
      <c r="B2564" s="156" t="s">
        <v>54</v>
      </c>
      <c r="C2564" s="157"/>
      <c r="D2564" s="56">
        <f>SUM(D2550:D2554)-SUM(D2558:D2559)</f>
        <v>0</v>
      </c>
      <c r="E2564" s="56">
        <f t="shared" ref="E2564:O2564" si="445">SUM(E2550:E2554)-SUM(E2558:E2559)</f>
        <v>0</v>
      </c>
      <c r="F2564" s="56">
        <f t="shared" si="445"/>
        <v>0</v>
      </c>
      <c r="G2564" s="56">
        <f t="shared" si="445"/>
        <v>0</v>
      </c>
      <c r="H2564" s="56">
        <f t="shared" si="445"/>
        <v>0</v>
      </c>
      <c r="I2564" s="56">
        <f t="shared" si="445"/>
        <v>0</v>
      </c>
      <c r="J2564" s="56">
        <f t="shared" si="445"/>
        <v>0</v>
      </c>
      <c r="K2564" s="56">
        <f t="shared" si="445"/>
        <v>0</v>
      </c>
      <c r="L2564" s="56">
        <f t="shared" si="445"/>
        <v>0</v>
      </c>
      <c r="M2564" s="56">
        <f t="shared" si="445"/>
        <v>0</v>
      </c>
      <c r="N2564" s="56">
        <f t="shared" si="445"/>
        <v>0</v>
      </c>
      <c r="O2564" s="56">
        <f t="shared" si="445"/>
        <v>0</v>
      </c>
      <c r="P2564" s="58">
        <f>SUM(P2548:P2554)-SUM(P2558:P2559)</f>
        <v>0</v>
      </c>
      <c r="Q2564" s="130">
        <f t="shared" si="443"/>
        <v>0</v>
      </c>
    </row>
    <row r="2565" spans="1:17" ht="14.25" thickBot="1">
      <c r="A2565" s="151"/>
      <c r="B2565" s="147" t="s">
        <v>5</v>
      </c>
      <c r="C2565" s="148"/>
      <c r="D2565" s="42">
        <f>SUM(D2550:D2554)-SUM(D2555:D2559)+SUM(D2560:D2563)</f>
        <v>0</v>
      </c>
      <c r="E2565" s="42">
        <f t="shared" ref="E2565:O2565" si="446">SUM(E2550:E2554)-SUM(E2555:E2559)+SUM(E2560:E2563)</f>
        <v>0</v>
      </c>
      <c r="F2565" s="42">
        <f t="shared" si="446"/>
        <v>0</v>
      </c>
      <c r="G2565" s="42">
        <f t="shared" si="446"/>
        <v>0</v>
      </c>
      <c r="H2565" s="42">
        <f t="shared" si="446"/>
        <v>0</v>
      </c>
      <c r="I2565" s="42">
        <f t="shared" si="446"/>
        <v>0</v>
      </c>
      <c r="J2565" s="42">
        <f t="shared" si="446"/>
        <v>0</v>
      </c>
      <c r="K2565" s="42">
        <f t="shared" si="446"/>
        <v>0</v>
      </c>
      <c r="L2565" s="42">
        <f t="shared" si="446"/>
        <v>0</v>
      </c>
      <c r="M2565" s="42">
        <f t="shared" si="446"/>
        <v>0</v>
      </c>
      <c r="N2565" s="42">
        <f t="shared" si="446"/>
        <v>0</v>
      </c>
      <c r="O2565" s="42">
        <f t="shared" si="446"/>
        <v>0</v>
      </c>
      <c r="P2565" s="44">
        <f>SUM(P2548:P2554)-SUM(P2555:P2559)+SUM(P2560:P2563)</f>
        <v>0</v>
      </c>
      <c r="Q2565" s="46">
        <f>SUM(D2565:P2565)</f>
        <v>0</v>
      </c>
    </row>
    <row r="2566" spans="1:17">
      <c r="A2566" s="149"/>
      <c r="B2566" s="152" t="s">
        <v>12</v>
      </c>
      <c r="C2566" s="114" t="s">
        <v>84</v>
      </c>
      <c r="D2566" s="87"/>
      <c r="E2566" s="87"/>
      <c r="F2566" s="87"/>
      <c r="G2566" s="87"/>
      <c r="H2566" s="87"/>
      <c r="I2566" s="87"/>
      <c r="J2566" s="87"/>
      <c r="K2566" s="87"/>
      <c r="L2566" s="87"/>
      <c r="M2566" s="87"/>
      <c r="N2566" s="87"/>
      <c r="O2566" s="87"/>
      <c r="P2566" s="30"/>
      <c r="Q2566" s="134">
        <f>SUM(D2566:P2566)</f>
        <v>0</v>
      </c>
    </row>
    <row r="2567" spans="1:17">
      <c r="A2567" s="150"/>
      <c r="B2567" s="153"/>
      <c r="C2567" s="115" t="s">
        <v>85</v>
      </c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28"/>
      <c r="Q2567" s="132">
        <f t="shared" ref="Q2567:Q2582" si="447">SUM(D2567:P2567)</f>
        <v>0</v>
      </c>
    </row>
    <row r="2568" spans="1:17">
      <c r="A2568" s="150"/>
      <c r="B2568" s="153"/>
      <c r="C2568" s="116" t="s">
        <v>86</v>
      </c>
      <c r="D2568" s="91">
        <f t="shared" ref="D2568:O2568" si="448">D2566*D2567</f>
        <v>0</v>
      </c>
      <c r="E2568" s="91">
        <f t="shared" si="448"/>
        <v>0</v>
      </c>
      <c r="F2568" s="91">
        <f t="shared" si="448"/>
        <v>0</v>
      </c>
      <c r="G2568" s="91">
        <f t="shared" si="448"/>
        <v>0</v>
      </c>
      <c r="H2568" s="91">
        <f t="shared" si="448"/>
        <v>0</v>
      </c>
      <c r="I2568" s="91">
        <f t="shared" si="448"/>
        <v>0</v>
      </c>
      <c r="J2568" s="91">
        <f t="shared" si="448"/>
        <v>0</v>
      </c>
      <c r="K2568" s="91">
        <f t="shared" si="448"/>
        <v>0</v>
      </c>
      <c r="L2568" s="91">
        <f t="shared" si="448"/>
        <v>0</v>
      </c>
      <c r="M2568" s="91">
        <f t="shared" si="448"/>
        <v>0</v>
      </c>
      <c r="N2568" s="91">
        <f t="shared" si="448"/>
        <v>0</v>
      </c>
      <c r="O2568" s="91">
        <f t="shared" si="448"/>
        <v>0</v>
      </c>
      <c r="P2568" s="32"/>
      <c r="Q2568" s="132">
        <f t="shared" si="447"/>
        <v>0</v>
      </c>
    </row>
    <row r="2569" spans="1:17">
      <c r="A2569" s="150"/>
      <c r="B2569" s="153"/>
      <c r="C2569" s="117" t="s">
        <v>9</v>
      </c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32"/>
      <c r="Q2569" s="132">
        <f t="shared" si="447"/>
        <v>0</v>
      </c>
    </row>
    <row r="2570" spans="1:17">
      <c r="A2570" s="150"/>
      <c r="B2570" s="153"/>
      <c r="C2570" s="117" t="s">
        <v>38</v>
      </c>
      <c r="D2570" s="89"/>
      <c r="E2570" s="89"/>
      <c r="F2570" s="89"/>
      <c r="G2570" s="89"/>
      <c r="H2570" s="89"/>
      <c r="I2570" s="89"/>
      <c r="J2570" s="89"/>
      <c r="K2570" s="89"/>
      <c r="L2570" s="89"/>
      <c r="M2570" s="89"/>
      <c r="N2570" s="89"/>
      <c r="O2570" s="89"/>
      <c r="P2570" s="28"/>
      <c r="Q2570" s="132">
        <f t="shared" si="447"/>
        <v>0</v>
      </c>
    </row>
    <row r="2571" spans="1:17">
      <c r="A2571" s="150"/>
      <c r="B2571" s="153"/>
      <c r="C2571" s="62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32"/>
      <c r="Q2571" s="132">
        <f t="shared" si="447"/>
        <v>0</v>
      </c>
    </row>
    <row r="2572" spans="1:17">
      <c r="A2572" s="150"/>
      <c r="B2572" s="154"/>
      <c r="C2572" s="6" t="s">
        <v>42</v>
      </c>
      <c r="D2572" s="92"/>
      <c r="E2572" s="92"/>
      <c r="F2572" s="92"/>
      <c r="G2572" s="92"/>
      <c r="H2572" s="92"/>
      <c r="I2572" s="92"/>
      <c r="J2572" s="92"/>
      <c r="K2572" s="92"/>
      <c r="L2572" s="92"/>
      <c r="M2572" s="92"/>
      <c r="N2572" s="92"/>
      <c r="O2572" s="92"/>
      <c r="P2572" s="33"/>
      <c r="Q2572" s="135">
        <f t="shared" si="447"/>
        <v>0</v>
      </c>
    </row>
    <row r="2573" spans="1:17">
      <c r="A2573" s="150"/>
      <c r="B2573" s="155" t="s">
        <v>11</v>
      </c>
      <c r="C2573" s="5" t="s">
        <v>7</v>
      </c>
      <c r="D2573" s="94"/>
      <c r="E2573" s="94"/>
      <c r="F2573" s="94"/>
      <c r="G2573" s="94"/>
      <c r="H2573" s="94"/>
      <c r="I2573" s="94"/>
      <c r="J2573" s="94"/>
      <c r="K2573" s="94"/>
      <c r="L2573" s="94"/>
      <c r="M2573" s="94"/>
      <c r="N2573" s="94"/>
      <c r="O2573" s="94"/>
      <c r="P2573" s="27"/>
      <c r="Q2573" s="136">
        <f t="shared" si="447"/>
        <v>0</v>
      </c>
    </row>
    <row r="2574" spans="1:17">
      <c r="A2574" s="150"/>
      <c r="B2574" s="153"/>
      <c r="C2574" s="6" t="s">
        <v>4</v>
      </c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32"/>
      <c r="Q2574" s="132">
        <f t="shared" si="447"/>
        <v>0</v>
      </c>
    </row>
    <row r="2575" spans="1:17">
      <c r="A2575" s="150"/>
      <c r="B2575" s="153"/>
      <c r="C2575" s="6" t="s">
        <v>17</v>
      </c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32"/>
      <c r="Q2575" s="132">
        <f t="shared" si="447"/>
        <v>0</v>
      </c>
    </row>
    <row r="2576" spans="1:17">
      <c r="A2576" s="150"/>
      <c r="B2576" s="153"/>
      <c r="C2576" s="6" t="s">
        <v>18</v>
      </c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32"/>
      <c r="Q2576" s="132">
        <f t="shared" si="447"/>
        <v>0</v>
      </c>
    </row>
    <row r="2577" spans="1:17">
      <c r="A2577" s="150"/>
      <c r="B2577" s="153"/>
      <c r="C2577" s="6" t="s">
        <v>60</v>
      </c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32"/>
      <c r="Q2577" s="135">
        <f t="shared" si="447"/>
        <v>0</v>
      </c>
    </row>
    <row r="2578" spans="1:17">
      <c r="A2578" s="150"/>
      <c r="B2578" s="155" t="s">
        <v>13</v>
      </c>
      <c r="C2578" s="5" t="s">
        <v>10</v>
      </c>
      <c r="D2578" s="94"/>
      <c r="E2578" s="94"/>
      <c r="F2578" s="94"/>
      <c r="G2578" s="94"/>
      <c r="H2578" s="94"/>
      <c r="I2578" s="94"/>
      <c r="J2578" s="94"/>
      <c r="K2578" s="94"/>
      <c r="L2578" s="94"/>
      <c r="M2578" s="94"/>
      <c r="N2578" s="94"/>
      <c r="O2578" s="94"/>
      <c r="P2578" s="27"/>
      <c r="Q2578" s="131">
        <f t="shared" si="447"/>
        <v>0</v>
      </c>
    </row>
    <row r="2579" spans="1:17">
      <c r="A2579" s="150"/>
      <c r="B2579" s="153"/>
      <c r="C2579" s="116" t="s">
        <v>55</v>
      </c>
      <c r="D2579" s="89"/>
      <c r="E2579" s="89"/>
      <c r="F2579" s="89"/>
      <c r="G2579" s="89"/>
      <c r="H2579" s="89"/>
      <c r="I2579" s="89"/>
      <c r="J2579" s="89"/>
      <c r="K2579" s="89"/>
      <c r="L2579" s="89"/>
      <c r="M2579" s="89"/>
      <c r="N2579" s="89"/>
      <c r="O2579" s="89"/>
      <c r="P2579" s="28"/>
      <c r="Q2579" s="132">
        <f t="shared" si="447"/>
        <v>0</v>
      </c>
    </row>
    <row r="2580" spans="1:17">
      <c r="A2580" s="150"/>
      <c r="B2580" s="153"/>
      <c r="C2580" s="8" t="s">
        <v>56</v>
      </c>
      <c r="D2580" s="89"/>
      <c r="E2580" s="89"/>
      <c r="F2580" s="89"/>
      <c r="G2580" s="89"/>
      <c r="H2580" s="89"/>
      <c r="I2580" s="89"/>
      <c r="J2580" s="89"/>
      <c r="K2580" s="89"/>
      <c r="L2580" s="89"/>
      <c r="M2580" s="89"/>
      <c r="N2580" s="89"/>
      <c r="O2580" s="89"/>
      <c r="P2580" s="28"/>
      <c r="Q2580" s="132">
        <f t="shared" si="447"/>
        <v>0</v>
      </c>
    </row>
    <row r="2581" spans="1:17" ht="14.25" thickBot="1">
      <c r="A2581" s="150"/>
      <c r="B2581" s="154"/>
      <c r="C2581" s="4" t="s">
        <v>61</v>
      </c>
      <c r="D2581" s="92"/>
      <c r="E2581" s="92"/>
      <c r="F2581" s="92"/>
      <c r="G2581" s="92"/>
      <c r="H2581" s="92"/>
      <c r="I2581" s="92"/>
      <c r="J2581" s="92"/>
      <c r="K2581" s="92"/>
      <c r="L2581" s="92"/>
      <c r="M2581" s="92"/>
      <c r="N2581" s="92"/>
      <c r="O2581" s="92"/>
      <c r="P2581" s="33"/>
      <c r="Q2581" s="133">
        <f t="shared" si="447"/>
        <v>0</v>
      </c>
    </row>
    <row r="2582" spans="1:17" ht="14.25" thickBot="1">
      <c r="A2582" s="150"/>
      <c r="B2582" s="156" t="s">
        <v>54</v>
      </c>
      <c r="C2582" s="157"/>
      <c r="D2582" s="56">
        <f>SUM(D2568:D2572)-SUM(D2576:D2577)</f>
        <v>0</v>
      </c>
      <c r="E2582" s="56">
        <f t="shared" ref="E2582:O2582" si="449">SUM(E2568:E2572)-SUM(E2576:E2577)</f>
        <v>0</v>
      </c>
      <c r="F2582" s="56">
        <f t="shared" si="449"/>
        <v>0</v>
      </c>
      <c r="G2582" s="56">
        <f t="shared" si="449"/>
        <v>0</v>
      </c>
      <c r="H2582" s="56">
        <f t="shared" si="449"/>
        <v>0</v>
      </c>
      <c r="I2582" s="56">
        <f t="shared" si="449"/>
        <v>0</v>
      </c>
      <c r="J2582" s="56">
        <f t="shared" si="449"/>
        <v>0</v>
      </c>
      <c r="K2582" s="56">
        <f t="shared" si="449"/>
        <v>0</v>
      </c>
      <c r="L2582" s="56">
        <f t="shared" si="449"/>
        <v>0</v>
      </c>
      <c r="M2582" s="56">
        <f t="shared" si="449"/>
        <v>0</v>
      </c>
      <c r="N2582" s="56">
        <f t="shared" si="449"/>
        <v>0</v>
      </c>
      <c r="O2582" s="56">
        <f t="shared" si="449"/>
        <v>0</v>
      </c>
      <c r="P2582" s="58">
        <f>SUM(P2566:P2572)-SUM(P2576:P2577)</f>
        <v>0</v>
      </c>
      <c r="Q2582" s="130">
        <f t="shared" si="447"/>
        <v>0</v>
      </c>
    </row>
    <row r="2583" spans="1:17" ht="14.25" thickBot="1">
      <c r="A2583" s="151"/>
      <c r="B2583" s="147" t="s">
        <v>5</v>
      </c>
      <c r="C2583" s="148"/>
      <c r="D2583" s="42">
        <f>SUM(D2568:D2572)-SUM(D2573:D2577)+SUM(D2578:D2581)</f>
        <v>0</v>
      </c>
      <c r="E2583" s="42">
        <f t="shared" ref="E2583:O2583" si="450">SUM(E2568:E2572)-SUM(E2573:E2577)+SUM(E2578:E2581)</f>
        <v>0</v>
      </c>
      <c r="F2583" s="42">
        <f t="shared" si="450"/>
        <v>0</v>
      </c>
      <c r="G2583" s="42">
        <f t="shared" si="450"/>
        <v>0</v>
      </c>
      <c r="H2583" s="42">
        <f t="shared" si="450"/>
        <v>0</v>
      </c>
      <c r="I2583" s="42">
        <f t="shared" si="450"/>
        <v>0</v>
      </c>
      <c r="J2583" s="42">
        <f t="shared" si="450"/>
        <v>0</v>
      </c>
      <c r="K2583" s="42">
        <f t="shared" si="450"/>
        <v>0</v>
      </c>
      <c r="L2583" s="42">
        <f t="shared" si="450"/>
        <v>0</v>
      </c>
      <c r="M2583" s="42">
        <f t="shared" si="450"/>
        <v>0</v>
      </c>
      <c r="N2583" s="42">
        <f t="shared" si="450"/>
        <v>0</v>
      </c>
      <c r="O2583" s="42">
        <f t="shared" si="450"/>
        <v>0</v>
      </c>
      <c r="P2583" s="44">
        <f>SUM(P2566:P2572)-SUM(P2573:P2577)+SUM(P2578:P2581)</f>
        <v>0</v>
      </c>
      <c r="Q2583" s="46">
        <f>SUM(D2583:P2583)</f>
        <v>0</v>
      </c>
    </row>
    <row r="2584" spans="1:17">
      <c r="A2584" s="149"/>
      <c r="B2584" s="152" t="s">
        <v>12</v>
      </c>
      <c r="C2584" s="114" t="s">
        <v>84</v>
      </c>
      <c r="D2584" s="87"/>
      <c r="E2584" s="87"/>
      <c r="F2584" s="87"/>
      <c r="G2584" s="87"/>
      <c r="H2584" s="87"/>
      <c r="I2584" s="87"/>
      <c r="J2584" s="87"/>
      <c r="K2584" s="87"/>
      <c r="L2584" s="87"/>
      <c r="M2584" s="87"/>
      <c r="N2584" s="87"/>
      <c r="O2584" s="87"/>
      <c r="P2584" s="30"/>
      <c r="Q2584" s="134">
        <f>SUM(D2584:P2584)</f>
        <v>0</v>
      </c>
    </row>
    <row r="2585" spans="1:17">
      <c r="A2585" s="150"/>
      <c r="B2585" s="153"/>
      <c r="C2585" s="115" t="s">
        <v>85</v>
      </c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28"/>
      <c r="Q2585" s="132">
        <f t="shared" ref="Q2585:Q2600" si="451">SUM(D2585:P2585)</f>
        <v>0</v>
      </c>
    </row>
    <row r="2586" spans="1:17">
      <c r="A2586" s="150"/>
      <c r="B2586" s="153"/>
      <c r="C2586" s="116" t="s">
        <v>86</v>
      </c>
      <c r="D2586" s="91">
        <f t="shared" ref="D2586:O2586" si="452">D2584*D2585</f>
        <v>0</v>
      </c>
      <c r="E2586" s="91">
        <f t="shared" si="452"/>
        <v>0</v>
      </c>
      <c r="F2586" s="91">
        <f t="shared" si="452"/>
        <v>0</v>
      </c>
      <c r="G2586" s="91">
        <f t="shared" si="452"/>
        <v>0</v>
      </c>
      <c r="H2586" s="91">
        <f t="shared" si="452"/>
        <v>0</v>
      </c>
      <c r="I2586" s="91">
        <f t="shared" si="452"/>
        <v>0</v>
      </c>
      <c r="J2586" s="91">
        <f t="shared" si="452"/>
        <v>0</v>
      </c>
      <c r="K2586" s="91">
        <f t="shared" si="452"/>
        <v>0</v>
      </c>
      <c r="L2586" s="91">
        <f t="shared" si="452"/>
        <v>0</v>
      </c>
      <c r="M2586" s="91">
        <f t="shared" si="452"/>
        <v>0</v>
      </c>
      <c r="N2586" s="91">
        <f t="shared" si="452"/>
        <v>0</v>
      </c>
      <c r="O2586" s="91">
        <f t="shared" si="452"/>
        <v>0</v>
      </c>
      <c r="P2586" s="32"/>
      <c r="Q2586" s="132">
        <f t="shared" si="451"/>
        <v>0</v>
      </c>
    </row>
    <row r="2587" spans="1:17">
      <c r="A2587" s="150"/>
      <c r="B2587" s="153"/>
      <c r="C2587" s="117" t="s">
        <v>9</v>
      </c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91"/>
      <c r="O2587" s="91"/>
      <c r="P2587" s="32"/>
      <c r="Q2587" s="132">
        <f t="shared" si="451"/>
        <v>0</v>
      </c>
    </row>
    <row r="2588" spans="1:17">
      <c r="A2588" s="150"/>
      <c r="B2588" s="153"/>
      <c r="C2588" s="117" t="s">
        <v>38</v>
      </c>
      <c r="D2588" s="89"/>
      <c r="E2588" s="89"/>
      <c r="F2588" s="89"/>
      <c r="G2588" s="89"/>
      <c r="H2588" s="89"/>
      <c r="I2588" s="89"/>
      <c r="J2588" s="89"/>
      <c r="K2588" s="89"/>
      <c r="L2588" s="89"/>
      <c r="M2588" s="89"/>
      <c r="N2588" s="89"/>
      <c r="O2588" s="89"/>
      <c r="P2588" s="28"/>
      <c r="Q2588" s="132">
        <f t="shared" si="451"/>
        <v>0</v>
      </c>
    </row>
    <row r="2589" spans="1:17">
      <c r="A2589" s="150"/>
      <c r="B2589" s="153"/>
      <c r="C2589" s="62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91"/>
      <c r="O2589" s="91"/>
      <c r="P2589" s="32"/>
      <c r="Q2589" s="132">
        <f t="shared" si="451"/>
        <v>0</v>
      </c>
    </row>
    <row r="2590" spans="1:17">
      <c r="A2590" s="150"/>
      <c r="B2590" s="154"/>
      <c r="C2590" s="6" t="s">
        <v>42</v>
      </c>
      <c r="D2590" s="92"/>
      <c r="E2590" s="92"/>
      <c r="F2590" s="92"/>
      <c r="G2590" s="92"/>
      <c r="H2590" s="92"/>
      <c r="I2590" s="92"/>
      <c r="J2590" s="92"/>
      <c r="K2590" s="92"/>
      <c r="L2590" s="92"/>
      <c r="M2590" s="92"/>
      <c r="N2590" s="92"/>
      <c r="O2590" s="92"/>
      <c r="P2590" s="33"/>
      <c r="Q2590" s="135">
        <f t="shared" si="451"/>
        <v>0</v>
      </c>
    </row>
    <row r="2591" spans="1:17">
      <c r="A2591" s="150"/>
      <c r="B2591" s="155" t="s">
        <v>11</v>
      </c>
      <c r="C2591" s="5" t="s">
        <v>7</v>
      </c>
      <c r="D2591" s="94"/>
      <c r="E2591" s="94"/>
      <c r="F2591" s="94"/>
      <c r="G2591" s="94"/>
      <c r="H2591" s="94"/>
      <c r="I2591" s="94"/>
      <c r="J2591" s="94"/>
      <c r="K2591" s="94"/>
      <c r="L2591" s="94"/>
      <c r="M2591" s="94"/>
      <c r="N2591" s="94"/>
      <c r="O2591" s="94"/>
      <c r="P2591" s="27"/>
      <c r="Q2591" s="136">
        <f t="shared" si="451"/>
        <v>0</v>
      </c>
    </row>
    <row r="2592" spans="1:17">
      <c r="A2592" s="150"/>
      <c r="B2592" s="153"/>
      <c r="C2592" s="6" t="s">
        <v>4</v>
      </c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32"/>
      <c r="Q2592" s="132">
        <f t="shared" si="451"/>
        <v>0</v>
      </c>
    </row>
    <row r="2593" spans="1:17">
      <c r="A2593" s="150"/>
      <c r="B2593" s="153"/>
      <c r="C2593" s="6" t="s">
        <v>17</v>
      </c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91"/>
      <c r="O2593" s="91"/>
      <c r="P2593" s="32"/>
      <c r="Q2593" s="132">
        <f t="shared" si="451"/>
        <v>0</v>
      </c>
    </row>
    <row r="2594" spans="1:17">
      <c r="A2594" s="150"/>
      <c r="B2594" s="153"/>
      <c r="C2594" s="6" t="s">
        <v>18</v>
      </c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32"/>
      <c r="Q2594" s="132">
        <f t="shared" si="451"/>
        <v>0</v>
      </c>
    </row>
    <row r="2595" spans="1:17">
      <c r="A2595" s="150"/>
      <c r="B2595" s="153"/>
      <c r="C2595" s="6" t="s">
        <v>60</v>
      </c>
      <c r="D2595" s="91"/>
      <c r="E2595" s="91"/>
      <c r="F2595" s="91"/>
      <c r="G2595" s="91"/>
      <c r="H2595" s="91"/>
      <c r="I2595" s="91"/>
      <c r="J2595" s="91"/>
      <c r="K2595" s="91"/>
      <c r="L2595" s="91"/>
      <c r="M2595" s="91"/>
      <c r="N2595" s="91"/>
      <c r="O2595" s="91"/>
      <c r="P2595" s="32"/>
      <c r="Q2595" s="135">
        <f t="shared" si="451"/>
        <v>0</v>
      </c>
    </row>
    <row r="2596" spans="1:17">
      <c r="A2596" s="150"/>
      <c r="B2596" s="155" t="s">
        <v>13</v>
      </c>
      <c r="C2596" s="5" t="s">
        <v>10</v>
      </c>
      <c r="D2596" s="94"/>
      <c r="E2596" s="94"/>
      <c r="F2596" s="94"/>
      <c r="G2596" s="94"/>
      <c r="H2596" s="94"/>
      <c r="I2596" s="94"/>
      <c r="J2596" s="94"/>
      <c r="K2596" s="94"/>
      <c r="L2596" s="94"/>
      <c r="M2596" s="94"/>
      <c r="N2596" s="94"/>
      <c r="O2596" s="94"/>
      <c r="P2596" s="27"/>
      <c r="Q2596" s="131">
        <f t="shared" si="451"/>
        <v>0</v>
      </c>
    </row>
    <row r="2597" spans="1:17">
      <c r="A2597" s="150"/>
      <c r="B2597" s="153"/>
      <c r="C2597" s="116" t="s">
        <v>55</v>
      </c>
      <c r="D2597" s="89"/>
      <c r="E2597" s="89"/>
      <c r="F2597" s="89"/>
      <c r="G2597" s="89"/>
      <c r="H2597" s="89"/>
      <c r="I2597" s="89"/>
      <c r="J2597" s="89"/>
      <c r="K2597" s="89"/>
      <c r="L2597" s="89"/>
      <c r="M2597" s="89"/>
      <c r="N2597" s="89"/>
      <c r="O2597" s="89"/>
      <c r="P2597" s="28"/>
      <c r="Q2597" s="132">
        <f t="shared" si="451"/>
        <v>0</v>
      </c>
    </row>
    <row r="2598" spans="1:17">
      <c r="A2598" s="150"/>
      <c r="B2598" s="153"/>
      <c r="C2598" s="8" t="s">
        <v>56</v>
      </c>
      <c r="D2598" s="89"/>
      <c r="E2598" s="89"/>
      <c r="F2598" s="89"/>
      <c r="G2598" s="89"/>
      <c r="H2598" s="89"/>
      <c r="I2598" s="89"/>
      <c r="J2598" s="89"/>
      <c r="K2598" s="89"/>
      <c r="L2598" s="89"/>
      <c r="M2598" s="89"/>
      <c r="N2598" s="89"/>
      <c r="O2598" s="89"/>
      <c r="P2598" s="28"/>
      <c r="Q2598" s="132">
        <f t="shared" si="451"/>
        <v>0</v>
      </c>
    </row>
    <row r="2599" spans="1:17" ht="14.25" thickBot="1">
      <c r="A2599" s="150"/>
      <c r="B2599" s="154"/>
      <c r="C2599" s="4" t="s">
        <v>61</v>
      </c>
      <c r="D2599" s="92"/>
      <c r="E2599" s="92"/>
      <c r="F2599" s="92"/>
      <c r="G2599" s="92"/>
      <c r="H2599" s="92"/>
      <c r="I2599" s="92"/>
      <c r="J2599" s="92"/>
      <c r="K2599" s="92"/>
      <c r="L2599" s="92"/>
      <c r="M2599" s="92"/>
      <c r="N2599" s="92"/>
      <c r="O2599" s="92"/>
      <c r="P2599" s="33"/>
      <c r="Q2599" s="133">
        <f t="shared" si="451"/>
        <v>0</v>
      </c>
    </row>
    <row r="2600" spans="1:17" ht="14.25" thickBot="1">
      <c r="A2600" s="150"/>
      <c r="B2600" s="156" t="s">
        <v>54</v>
      </c>
      <c r="C2600" s="157"/>
      <c r="D2600" s="56">
        <f>SUM(D2586:D2590)-SUM(D2594:D2595)</f>
        <v>0</v>
      </c>
      <c r="E2600" s="56">
        <f t="shared" ref="E2600:O2600" si="453">SUM(E2586:E2590)-SUM(E2594:E2595)</f>
        <v>0</v>
      </c>
      <c r="F2600" s="56">
        <f t="shared" si="453"/>
        <v>0</v>
      </c>
      <c r="G2600" s="56">
        <f t="shared" si="453"/>
        <v>0</v>
      </c>
      <c r="H2600" s="56">
        <f t="shared" si="453"/>
        <v>0</v>
      </c>
      <c r="I2600" s="56">
        <f t="shared" si="453"/>
        <v>0</v>
      </c>
      <c r="J2600" s="56">
        <f t="shared" si="453"/>
        <v>0</v>
      </c>
      <c r="K2600" s="56">
        <f t="shared" si="453"/>
        <v>0</v>
      </c>
      <c r="L2600" s="56">
        <f t="shared" si="453"/>
        <v>0</v>
      </c>
      <c r="M2600" s="56">
        <f t="shared" si="453"/>
        <v>0</v>
      </c>
      <c r="N2600" s="56">
        <f t="shared" si="453"/>
        <v>0</v>
      </c>
      <c r="O2600" s="56">
        <f t="shared" si="453"/>
        <v>0</v>
      </c>
      <c r="P2600" s="58">
        <f>SUM(P2584:P2590)-SUM(P2594:P2595)</f>
        <v>0</v>
      </c>
      <c r="Q2600" s="130">
        <f t="shared" si="451"/>
        <v>0</v>
      </c>
    </row>
    <row r="2601" spans="1:17" ht="14.25" thickBot="1">
      <c r="A2601" s="151"/>
      <c r="B2601" s="147" t="s">
        <v>5</v>
      </c>
      <c r="C2601" s="148"/>
      <c r="D2601" s="42">
        <f>SUM(D2586:D2590)-SUM(D2591:D2595)+SUM(D2596:D2599)</f>
        <v>0</v>
      </c>
      <c r="E2601" s="42">
        <f t="shared" ref="E2601:O2601" si="454">SUM(E2586:E2590)-SUM(E2591:E2595)+SUM(E2596:E2599)</f>
        <v>0</v>
      </c>
      <c r="F2601" s="42">
        <f t="shared" si="454"/>
        <v>0</v>
      </c>
      <c r="G2601" s="42">
        <f t="shared" si="454"/>
        <v>0</v>
      </c>
      <c r="H2601" s="42">
        <f t="shared" si="454"/>
        <v>0</v>
      </c>
      <c r="I2601" s="42">
        <f t="shared" si="454"/>
        <v>0</v>
      </c>
      <c r="J2601" s="42">
        <f t="shared" si="454"/>
        <v>0</v>
      </c>
      <c r="K2601" s="42">
        <f t="shared" si="454"/>
        <v>0</v>
      </c>
      <c r="L2601" s="42">
        <f t="shared" si="454"/>
        <v>0</v>
      </c>
      <c r="M2601" s="42">
        <f t="shared" si="454"/>
        <v>0</v>
      </c>
      <c r="N2601" s="42">
        <f t="shared" si="454"/>
        <v>0</v>
      </c>
      <c r="O2601" s="42">
        <f t="shared" si="454"/>
        <v>0</v>
      </c>
      <c r="P2601" s="44">
        <f>SUM(P2584:P2590)-SUM(P2591:P2595)+SUM(P2596:P2599)</f>
        <v>0</v>
      </c>
      <c r="Q2601" s="46">
        <f>SUM(D2601:P2601)</f>
        <v>0</v>
      </c>
    </row>
    <row r="2602" spans="1:17">
      <c r="A2602" s="149"/>
      <c r="B2602" s="152" t="s">
        <v>12</v>
      </c>
      <c r="C2602" s="114" t="s">
        <v>84</v>
      </c>
      <c r="D2602" s="87"/>
      <c r="E2602" s="87"/>
      <c r="F2602" s="87"/>
      <c r="G2602" s="87"/>
      <c r="H2602" s="87"/>
      <c r="I2602" s="87"/>
      <c r="J2602" s="87"/>
      <c r="K2602" s="87"/>
      <c r="L2602" s="87"/>
      <c r="M2602" s="87"/>
      <c r="N2602" s="87"/>
      <c r="O2602" s="87"/>
      <c r="P2602" s="30"/>
      <c r="Q2602" s="134">
        <f>SUM(D2602:P2602)</f>
        <v>0</v>
      </c>
    </row>
    <row r="2603" spans="1:17">
      <c r="A2603" s="150"/>
      <c r="B2603" s="153"/>
      <c r="C2603" s="115" t="s">
        <v>85</v>
      </c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28"/>
      <c r="Q2603" s="132">
        <f t="shared" ref="Q2603:Q2618" si="455">SUM(D2603:P2603)</f>
        <v>0</v>
      </c>
    </row>
    <row r="2604" spans="1:17">
      <c r="A2604" s="150"/>
      <c r="B2604" s="153"/>
      <c r="C2604" s="116" t="s">
        <v>86</v>
      </c>
      <c r="D2604" s="91">
        <f t="shared" ref="D2604:O2604" si="456">D2602*D2603</f>
        <v>0</v>
      </c>
      <c r="E2604" s="91">
        <f t="shared" si="456"/>
        <v>0</v>
      </c>
      <c r="F2604" s="91">
        <f t="shared" si="456"/>
        <v>0</v>
      </c>
      <c r="G2604" s="91">
        <f t="shared" si="456"/>
        <v>0</v>
      </c>
      <c r="H2604" s="91">
        <f t="shared" si="456"/>
        <v>0</v>
      </c>
      <c r="I2604" s="91">
        <f t="shared" si="456"/>
        <v>0</v>
      </c>
      <c r="J2604" s="91">
        <f t="shared" si="456"/>
        <v>0</v>
      </c>
      <c r="K2604" s="91">
        <f t="shared" si="456"/>
        <v>0</v>
      </c>
      <c r="L2604" s="91">
        <f t="shared" si="456"/>
        <v>0</v>
      </c>
      <c r="M2604" s="91">
        <f t="shared" si="456"/>
        <v>0</v>
      </c>
      <c r="N2604" s="91">
        <f t="shared" si="456"/>
        <v>0</v>
      </c>
      <c r="O2604" s="91">
        <f t="shared" si="456"/>
        <v>0</v>
      </c>
      <c r="P2604" s="32"/>
      <c r="Q2604" s="132">
        <f t="shared" si="455"/>
        <v>0</v>
      </c>
    </row>
    <row r="2605" spans="1:17">
      <c r="A2605" s="150"/>
      <c r="B2605" s="153"/>
      <c r="C2605" s="117" t="s">
        <v>9</v>
      </c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32"/>
      <c r="Q2605" s="132">
        <f t="shared" si="455"/>
        <v>0</v>
      </c>
    </row>
    <row r="2606" spans="1:17">
      <c r="A2606" s="150"/>
      <c r="B2606" s="153"/>
      <c r="C2606" s="117" t="s">
        <v>38</v>
      </c>
      <c r="D2606" s="89"/>
      <c r="E2606" s="89"/>
      <c r="F2606" s="89"/>
      <c r="G2606" s="89"/>
      <c r="H2606" s="89"/>
      <c r="I2606" s="89"/>
      <c r="J2606" s="89"/>
      <c r="K2606" s="89"/>
      <c r="L2606" s="89"/>
      <c r="M2606" s="89"/>
      <c r="N2606" s="89"/>
      <c r="O2606" s="89"/>
      <c r="P2606" s="28"/>
      <c r="Q2606" s="132">
        <f t="shared" si="455"/>
        <v>0</v>
      </c>
    </row>
    <row r="2607" spans="1:17">
      <c r="A2607" s="150"/>
      <c r="B2607" s="153"/>
      <c r="C2607" s="62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32"/>
      <c r="Q2607" s="132">
        <f t="shared" si="455"/>
        <v>0</v>
      </c>
    </row>
    <row r="2608" spans="1:17">
      <c r="A2608" s="150"/>
      <c r="B2608" s="154"/>
      <c r="C2608" s="6" t="s">
        <v>42</v>
      </c>
      <c r="D2608" s="92"/>
      <c r="E2608" s="92"/>
      <c r="F2608" s="92"/>
      <c r="G2608" s="92"/>
      <c r="H2608" s="92"/>
      <c r="I2608" s="92"/>
      <c r="J2608" s="92"/>
      <c r="K2608" s="92"/>
      <c r="L2608" s="92"/>
      <c r="M2608" s="92"/>
      <c r="N2608" s="92"/>
      <c r="O2608" s="92"/>
      <c r="P2608" s="33"/>
      <c r="Q2608" s="135">
        <f t="shared" si="455"/>
        <v>0</v>
      </c>
    </row>
    <row r="2609" spans="1:17">
      <c r="A2609" s="150"/>
      <c r="B2609" s="155" t="s">
        <v>11</v>
      </c>
      <c r="C2609" s="5" t="s">
        <v>7</v>
      </c>
      <c r="D2609" s="94"/>
      <c r="E2609" s="94"/>
      <c r="F2609" s="94"/>
      <c r="G2609" s="94"/>
      <c r="H2609" s="94"/>
      <c r="I2609" s="94"/>
      <c r="J2609" s="94"/>
      <c r="K2609" s="94"/>
      <c r="L2609" s="94"/>
      <c r="M2609" s="94"/>
      <c r="N2609" s="94"/>
      <c r="O2609" s="94"/>
      <c r="P2609" s="27"/>
      <c r="Q2609" s="136">
        <f t="shared" si="455"/>
        <v>0</v>
      </c>
    </row>
    <row r="2610" spans="1:17">
      <c r="A2610" s="150"/>
      <c r="B2610" s="153"/>
      <c r="C2610" s="6" t="s">
        <v>4</v>
      </c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32"/>
      <c r="Q2610" s="132">
        <f t="shared" si="455"/>
        <v>0</v>
      </c>
    </row>
    <row r="2611" spans="1:17">
      <c r="A2611" s="150"/>
      <c r="B2611" s="153"/>
      <c r="C2611" s="6" t="s">
        <v>17</v>
      </c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32"/>
      <c r="Q2611" s="132">
        <f t="shared" si="455"/>
        <v>0</v>
      </c>
    </row>
    <row r="2612" spans="1:17">
      <c r="A2612" s="150"/>
      <c r="B2612" s="153"/>
      <c r="C2612" s="6" t="s">
        <v>18</v>
      </c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32"/>
      <c r="Q2612" s="132">
        <f t="shared" si="455"/>
        <v>0</v>
      </c>
    </row>
    <row r="2613" spans="1:17">
      <c r="A2613" s="150"/>
      <c r="B2613" s="153"/>
      <c r="C2613" s="6" t="s">
        <v>60</v>
      </c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91"/>
      <c r="O2613" s="91"/>
      <c r="P2613" s="32"/>
      <c r="Q2613" s="135">
        <f t="shared" si="455"/>
        <v>0</v>
      </c>
    </row>
    <row r="2614" spans="1:17">
      <c r="A2614" s="150"/>
      <c r="B2614" s="155" t="s">
        <v>13</v>
      </c>
      <c r="C2614" s="5" t="s">
        <v>10</v>
      </c>
      <c r="D2614" s="94"/>
      <c r="E2614" s="94"/>
      <c r="F2614" s="94"/>
      <c r="G2614" s="94"/>
      <c r="H2614" s="94"/>
      <c r="I2614" s="94"/>
      <c r="J2614" s="94"/>
      <c r="K2614" s="94"/>
      <c r="L2614" s="94"/>
      <c r="M2614" s="94"/>
      <c r="N2614" s="94"/>
      <c r="O2614" s="94"/>
      <c r="P2614" s="27"/>
      <c r="Q2614" s="131">
        <f t="shared" si="455"/>
        <v>0</v>
      </c>
    </row>
    <row r="2615" spans="1:17">
      <c r="A2615" s="150"/>
      <c r="B2615" s="153"/>
      <c r="C2615" s="116" t="s">
        <v>55</v>
      </c>
      <c r="D2615" s="89"/>
      <c r="E2615" s="89"/>
      <c r="F2615" s="89"/>
      <c r="G2615" s="89"/>
      <c r="H2615" s="89"/>
      <c r="I2615" s="89"/>
      <c r="J2615" s="89"/>
      <c r="K2615" s="89"/>
      <c r="L2615" s="89"/>
      <c r="M2615" s="89"/>
      <c r="N2615" s="89"/>
      <c r="O2615" s="89"/>
      <c r="P2615" s="28"/>
      <c r="Q2615" s="132">
        <f t="shared" si="455"/>
        <v>0</v>
      </c>
    </row>
    <row r="2616" spans="1:17">
      <c r="A2616" s="150"/>
      <c r="B2616" s="153"/>
      <c r="C2616" s="8" t="s">
        <v>56</v>
      </c>
      <c r="D2616" s="89"/>
      <c r="E2616" s="89"/>
      <c r="F2616" s="89"/>
      <c r="G2616" s="89"/>
      <c r="H2616" s="89"/>
      <c r="I2616" s="89"/>
      <c r="J2616" s="89"/>
      <c r="K2616" s="89"/>
      <c r="L2616" s="89"/>
      <c r="M2616" s="89"/>
      <c r="N2616" s="89"/>
      <c r="O2616" s="89"/>
      <c r="P2616" s="28"/>
      <c r="Q2616" s="132">
        <f t="shared" si="455"/>
        <v>0</v>
      </c>
    </row>
    <row r="2617" spans="1:17" ht="14.25" thickBot="1">
      <c r="A2617" s="150"/>
      <c r="B2617" s="154"/>
      <c r="C2617" s="4" t="s">
        <v>61</v>
      </c>
      <c r="D2617" s="92"/>
      <c r="E2617" s="92"/>
      <c r="F2617" s="92"/>
      <c r="G2617" s="92"/>
      <c r="H2617" s="92"/>
      <c r="I2617" s="92"/>
      <c r="J2617" s="92"/>
      <c r="K2617" s="92"/>
      <c r="L2617" s="92"/>
      <c r="M2617" s="92"/>
      <c r="N2617" s="92"/>
      <c r="O2617" s="92"/>
      <c r="P2617" s="33"/>
      <c r="Q2617" s="133">
        <f t="shared" si="455"/>
        <v>0</v>
      </c>
    </row>
    <row r="2618" spans="1:17" ht="14.25" thickBot="1">
      <c r="A2618" s="150"/>
      <c r="B2618" s="156" t="s">
        <v>54</v>
      </c>
      <c r="C2618" s="157"/>
      <c r="D2618" s="56">
        <f>SUM(D2604:D2608)-SUM(D2612:D2613)</f>
        <v>0</v>
      </c>
      <c r="E2618" s="56">
        <f t="shared" ref="E2618:O2618" si="457">SUM(E2604:E2608)-SUM(E2612:E2613)</f>
        <v>0</v>
      </c>
      <c r="F2618" s="56">
        <f t="shared" si="457"/>
        <v>0</v>
      </c>
      <c r="G2618" s="56">
        <f t="shared" si="457"/>
        <v>0</v>
      </c>
      <c r="H2618" s="56">
        <f t="shared" si="457"/>
        <v>0</v>
      </c>
      <c r="I2618" s="56">
        <f t="shared" si="457"/>
        <v>0</v>
      </c>
      <c r="J2618" s="56">
        <f t="shared" si="457"/>
        <v>0</v>
      </c>
      <c r="K2618" s="56">
        <f t="shared" si="457"/>
        <v>0</v>
      </c>
      <c r="L2618" s="56">
        <f t="shared" si="457"/>
        <v>0</v>
      </c>
      <c r="M2618" s="56">
        <f t="shared" si="457"/>
        <v>0</v>
      </c>
      <c r="N2618" s="56">
        <f t="shared" si="457"/>
        <v>0</v>
      </c>
      <c r="O2618" s="56">
        <f t="shared" si="457"/>
        <v>0</v>
      </c>
      <c r="P2618" s="58">
        <f>SUM(P2602:P2608)-SUM(P2612:P2613)</f>
        <v>0</v>
      </c>
      <c r="Q2618" s="130">
        <f t="shared" si="455"/>
        <v>0</v>
      </c>
    </row>
    <row r="2619" spans="1:17" ht="14.25" thickBot="1">
      <c r="A2619" s="151"/>
      <c r="B2619" s="147" t="s">
        <v>5</v>
      </c>
      <c r="C2619" s="148"/>
      <c r="D2619" s="42">
        <f>SUM(D2604:D2608)-SUM(D2609:D2613)+SUM(D2614:D2617)</f>
        <v>0</v>
      </c>
      <c r="E2619" s="42">
        <f t="shared" ref="E2619:O2619" si="458">SUM(E2604:E2608)-SUM(E2609:E2613)+SUM(E2614:E2617)</f>
        <v>0</v>
      </c>
      <c r="F2619" s="42">
        <f t="shared" si="458"/>
        <v>0</v>
      </c>
      <c r="G2619" s="42">
        <f t="shared" si="458"/>
        <v>0</v>
      </c>
      <c r="H2619" s="42">
        <f t="shared" si="458"/>
        <v>0</v>
      </c>
      <c r="I2619" s="42">
        <f t="shared" si="458"/>
        <v>0</v>
      </c>
      <c r="J2619" s="42">
        <f t="shared" si="458"/>
        <v>0</v>
      </c>
      <c r="K2619" s="42">
        <f t="shared" si="458"/>
        <v>0</v>
      </c>
      <c r="L2619" s="42">
        <f t="shared" si="458"/>
        <v>0</v>
      </c>
      <c r="M2619" s="42">
        <f t="shared" si="458"/>
        <v>0</v>
      </c>
      <c r="N2619" s="42">
        <f t="shared" si="458"/>
        <v>0</v>
      </c>
      <c r="O2619" s="42">
        <f t="shared" si="458"/>
        <v>0</v>
      </c>
      <c r="P2619" s="44">
        <f>SUM(P2602:P2608)-SUM(P2609:P2613)+SUM(P2614:P2617)</f>
        <v>0</v>
      </c>
      <c r="Q2619" s="46">
        <f>SUM(D2619:P2619)</f>
        <v>0</v>
      </c>
    </row>
    <row r="2620" spans="1:17">
      <c r="A2620" s="149"/>
      <c r="B2620" s="152" t="s">
        <v>12</v>
      </c>
      <c r="C2620" s="114" t="s">
        <v>84</v>
      </c>
      <c r="D2620" s="87"/>
      <c r="E2620" s="87"/>
      <c r="F2620" s="87"/>
      <c r="G2620" s="87"/>
      <c r="H2620" s="87"/>
      <c r="I2620" s="87"/>
      <c r="J2620" s="87"/>
      <c r="K2620" s="87"/>
      <c r="L2620" s="87"/>
      <c r="M2620" s="87"/>
      <c r="N2620" s="87"/>
      <c r="O2620" s="87"/>
      <c r="P2620" s="30"/>
      <c r="Q2620" s="134">
        <f>SUM(D2620:P2620)</f>
        <v>0</v>
      </c>
    </row>
    <row r="2621" spans="1:17">
      <c r="A2621" s="150"/>
      <c r="B2621" s="153"/>
      <c r="C2621" s="115" t="s">
        <v>85</v>
      </c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28"/>
      <c r="Q2621" s="132">
        <f t="shared" ref="Q2621:Q2636" si="459">SUM(D2621:P2621)</f>
        <v>0</v>
      </c>
    </row>
    <row r="2622" spans="1:17">
      <c r="A2622" s="150"/>
      <c r="B2622" s="153"/>
      <c r="C2622" s="116" t="s">
        <v>86</v>
      </c>
      <c r="D2622" s="91">
        <f t="shared" ref="D2622:O2622" si="460">D2620*D2621</f>
        <v>0</v>
      </c>
      <c r="E2622" s="91">
        <f t="shared" si="460"/>
        <v>0</v>
      </c>
      <c r="F2622" s="91">
        <f t="shared" si="460"/>
        <v>0</v>
      </c>
      <c r="G2622" s="91">
        <f t="shared" si="460"/>
        <v>0</v>
      </c>
      <c r="H2622" s="91">
        <f t="shared" si="460"/>
        <v>0</v>
      </c>
      <c r="I2622" s="91">
        <f t="shared" si="460"/>
        <v>0</v>
      </c>
      <c r="J2622" s="91">
        <f t="shared" si="460"/>
        <v>0</v>
      </c>
      <c r="K2622" s="91">
        <f t="shared" si="460"/>
        <v>0</v>
      </c>
      <c r="L2622" s="91">
        <f t="shared" si="460"/>
        <v>0</v>
      </c>
      <c r="M2622" s="91">
        <f t="shared" si="460"/>
        <v>0</v>
      </c>
      <c r="N2622" s="91">
        <f t="shared" si="460"/>
        <v>0</v>
      </c>
      <c r="O2622" s="91">
        <f t="shared" si="460"/>
        <v>0</v>
      </c>
      <c r="P2622" s="32"/>
      <c r="Q2622" s="132">
        <f t="shared" si="459"/>
        <v>0</v>
      </c>
    </row>
    <row r="2623" spans="1:17">
      <c r="A2623" s="150"/>
      <c r="B2623" s="153"/>
      <c r="C2623" s="117" t="s">
        <v>9</v>
      </c>
      <c r="D2623" s="91"/>
      <c r="E2623" s="91"/>
      <c r="F2623" s="91"/>
      <c r="G2623" s="91"/>
      <c r="H2623" s="91"/>
      <c r="I2623" s="91"/>
      <c r="J2623" s="91"/>
      <c r="K2623" s="91"/>
      <c r="L2623" s="91"/>
      <c r="M2623" s="91"/>
      <c r="N2623" s="91"/>
      <c r="O2623" s="91"/>
      <c r="P2623" s="32"/>
      <c r="Q2623" s="132">
        <f t="shared" si="459"/>
        <v>0</v>
      </c>
    </row>
    <row r="2624" spans="1:17">
      <c r="A2624" s="150"/>
      <c r="B2624" s="153"/>
      <c r="C2624" s="117" t="s">
        <v>38</v>
      </c>
      <c r="D2624" s="89"/>
      <c r="E2624" s="89"/>
      <c r="F2624" s="89"/>
      <c r="G2624" s="89"/>
      <c r="H2624" s="89"/>
      <c r="I2624" s="89"/>
      <c r="J2624" s="89"/>
      <c r="K2624" s="89"/>
      <c r="L2624" s="89"/>
      <c r="M2624" s="89"/>
      <c r="N2624" s="89"/>
      <c r="O2624" s="89"/>
      <c r="P2624" s="28"/>
      <c r="Q2624" s="132">
        <f t="shared" si="459"/>
        <v>0</v>
      </c>
    </row>
    <row r="2625" spans="1:17">
      <c r="A2625" s="150"/>
      <c r="B2625" s="153"/>
      <c r="C2625" s="62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91"/>
      <c r="O2625" s="91"/>
      <c r="P2625" s="32"/>
      <c r="Q2625" s="132">
        <f t="shared" si="459"/>
        <v>0</v>
      </c>
    </row>
    <row r="2626" spans="1:17">
      <c r="A2626" s="150"/>
      <c r="B2626" s="154"/>
      <c r="C2626" s="6" t="s">
        <v>42</v>
      </c>
      <c r="D2626" s="92"/>
      <c r="E2626" s="92"/>
      <c r="F2626" s="92"/>
      <c r="G2626" s="92"/>
      <c r="H2626" s="92"/>
      <c r="I2626" s="92"/>
      <c r="J2626" s="92"/>
      <c r="K2626" s="92"/>
      <c r="L2626" s="92"/>
      <c r="M2626" s="92"/>
      <c r="N2626" s="92"/>
      <c r="O2626" s="92"/>
      <c r="P2626" s="33"/>
      <c r="Q2626" s="135">
        <f t="shared" si="459"/>
        <v>0</v>
      </c>
    </row>
    <row r="2627" spans="1:17">
      <c r="A2627" s="150"/>
      <c r="B2627" s="155" t="s">
        <v>11</v>
      </c>
      <c r="C2627" s="5" t="s">
        <v>7</v>
      </c>
      <c r="D2627" s="94"/>
      <c r="E2627" s="94"/>
      <c r="F2627" s="94"/>
      <c r="G2627" s="94"/>
      <c r="H2627" s="94"/>
      <c r="I2627" s="94"/>
      <c r="J2627" s="94"/>
      <c r="K2627" s="94"/>
      <c r="L2627" s="94"/>
      <c r="M2627" s="94"/>
      <c r="N2627" s="94"/>
      <c r="O2627" s="94"/>
      <c r="P2627" s="27"/>
      <c r="Q2627" s="136">
        <f t="shared" si="459"/>
        <v>0</v>
      </c>
    </row>
    <row r="2628" spans="1:17">
      <c r="A2628" s="150"/>
      <c r="B2628" s="153"/>
      <c r="C2628" s="6" t="s">
        <v>4</v>
      </c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32"/>
      <c r="Q2628" s="132">
        <f t="shared" si="459"/>
        <v>0</v>
      </c>
    </row>
    <row r="2629" spans="1:17">
      <c r="A2629" s="150"/>
      <c r="B2629" s="153"/>
      <c r="C2629" s="6" t="s">
        <v>17</v>
      </c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32"/>
      <c r="Q2629" s="132">
        <f t="shared" si="459"/>
        <v>0</v>
      </c>
    </row>
    <row r="2630" spans="1:17">
      <c r="A2630" s="150"/>
      <c r="B2630" s="153"/>
      <c r="C2630" s="6" t="s">
        <v>18</v>
      </c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32"/>
      <c r="Q2630" s="132">
        <f t="shared" si="459"/>
        <v>0</v>
      </c>
    </row>
    <row r="2631" spans="1:17">
      <c r="A2631" s="150"/>
      <c r="B2631" s="153"/>
      <c r="C2631" s="6" t="s">
        <v>60</v>
      </c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32"/>
      <c r="Q2631" s="135">
        <f t="shared" si="459"/>
        <v>0</v>
      </c>
    </row>
    <row r="2632" spans="1:17">
      <c r="A2632" s="150"/>
      <c r="B2632" s="155" t="s">
        <v>13</v>
      </c>
      <c r="C2632" s="5" t="s">
        <v>10</v>
      </c>
      <c r="D2632" s="94"/>
      <c r="E2632" s="94"/>
      <c r="F2632" s="94"/>
      <c r="G2632" s="94"/>
      <c r="H2632" s="94"/>
      <c r="I2632" s="94"/>
      <c r="J2632" s="94"/>
      <c r="K2632" s="94"/>
      <c r="L2632" s="94"/>
      <c r="M2632" s="94"/>
      <c r="N2632" s="94"/>
      <c r="O2632" s="94"/>
      <c r="P2632" s="27"/>
      <c r="Q2632" s="131">
        <f t="shared" si="459"/>
        <v>0</v>
      </c>
    </row>
    <row r="2633" spans="1:17">
      <c r="A2633" s="150"/>
      <c r="B2633" s="153"/>
      <c r="C2633" s="116" t="s">
        <v>55</v>
      </c>
      <c r="D2633" s="89"/>
      <c r="E2633" s="89"/>
      <c r="F2633" s="89"/>
      <c r="G2633" s="89"/>
      <c r="H2633" s="89"/>
      <c r="I2633" s="89"/>
      <c r="J2633" s="89"/>
      <c r="K2633" s="89"/>
      <c r="L2633" s="89"/>
      <c r="M2633" s="89"/>
      <c r="N2633" s="89"/>
      <c r="O2633" s="89"/>
      <c r="P2633" s="28"/>
      <c r="Q2633" s="132">
        <f t="shared" si="459"/>
        <v>0</v>
      </c>
    </row>
    <row r="2634" spans="1:17">
      <c r="A2634" s="150"/>
      <c r="B2634" s="153"/>
      <c r="C2634" s="8" t="s">
        <v>56</v>
      </c>
      <c r="D2634" s="89"/>
      <c r="E2634" s="89"/>
      <c r="F2634" s="89"/>
      <c r="G2634" s="89"/>
      <c r="H2634" s="89"/>
      <c r="I2634" s="89"/>
      <c r="J2634" s="89"/>
      <c r="K2634" s="89"/>
      <c r="L2634" s="89"/>
      <c r="M2634" s="89"/>
      <c r="N2634" s="89"/>
      <c r="O2634" s="89"/>
      <c r="P2634" s="28"/>
      <c r="Q2634" s="132">
        <f t="shared" si="459"/>
        <v>0</v>
      </c>
    </row>
    <row r="2635" spans="1:17" ht="14.25" thickBot="1">
      <c r="A2635" s="150"/>
      <c r="B2635" s="154"/>
      <c r="C2635" s="4" t="s">
        <v>61</v>
      </c>
      <c r="D2635" s="92"/>
      <c r="E2635" s="92"/>
      <c r="F2635" s="92"/>
      <c r="G2635" s="92"/>
      <c r="H2635" s="92"/>
      <c r="I2635" s="92"/>
      <c r="J2635" s="92"/>
      <c r="K2635" s="92"/>
      <c r="L2635" s="92"/>
      <c r="M2635" s="92"/>
      <c r="N2635" s="92"/>
      <c r="O2635" s="92"/>
      <c r="P2635" s="33"/>
      <c r="Q2635" s="133">
        <f t="shared" si="459"/>
        <v>0</v>
      </c>
    </row>
    <row r="2636" spans="1:17" ht="14.25" thickBot="1">
      <c r="A2636" s="150"/>
      <c r="B2636" s="156" t="s">
        <v>54</v>
      </c>
      <c r="C2636" s="157"/>
      <c r="D2636" s="56">
        <f>SUM(D2622:D2626)-SUM(D2630:D2631)</f>
        <v>0</v>
      </c>
      <c r="E2636" s="56">
        <f t="shared" ref="E2636:O2636" si="461">SUM(E2622:E2626)-SUM(E2630:E2631)</f>
        <v>0</v>
      </c>
      <c r="F2636" s="56">
        <f t="shared" si="461"/>
        <v>0</v>
      </c>
      <c r="G2636" s="56">
        <f t="shared" si="461"/>
        <v>0</v>
      </c>
      <c r="H2636" s="56">
        <f t="shared" si="461"/>
        <v>0</v>
      </c>
      <c r="I2636" s="56">
        <f t="shared" si="461"/>
        <v>0</v>
      </c>
      <c r="J2636" s="56">
        <f t="shared" si="461"/>
        <v>0</v>
      </c>
      <c r="K2636" s="56">
        <f t="shared" si="461"/>
        <v>0</v>
      </c>
      <c r="L2636" s="56">
        <f t="shared" si="461"/>
        <v>0</v>
      </c>
      <c r="M2636" s="56">
        <f t="shared" si="461"/>
        <v>0</v>
      </c>
      <c r="N2636" s="56">
        <f t="shared" si="461"/>
        <v>0</v>
      </c>
      <c r="O2636" s="56">
        <f t="shared" si="461"/>
        <v>0</v>
      </c>
      <c r="P2636" s="58">
        <f>SUM(P2620:P2626)-SUM(P2630:P2631)</f>
        <v>0</v>
      </c>
      <c r="Q2636" s="130">
        <f t="shared" si="459"/>
        <v>0</v>
      </c>
    </row>
    <row r="2637" spans="1:17" ht="14.25" thickBot="1">
      <c r="A2637" s="151"/>
      <c r="B2637" s="147" t="s">
        <v>5</v>
      </c>
      <c r="C2637" s="148"/>
      <c r="D2637" s="42">
        <f>SUM(D2622:D2626)-SUM(D2627:D2631)+SUM(D2632:D2635)</f>
        <v>0</v>
      </c>
      <c r="E2637" s="42">
        <f t="shared" ref="E2637:O2637" si="462">SUM(E2622:E2626)-SUM(E2627:E2631)+SUM(E2632:E2635)</f>
        <v>0</v>
      </c>
      <c r="F2637" s="42">
        <f t="shared" si="462"/>
        <v>0</v>
      </c>
      <c r="G2637" s="42">
        <f t="shared" si="462"/>
        <v>0</v>
      </c>
      <c r="H2637" s="42">
        <f t="shared" si="462"/>
        <v>0</v>
      </c>
      <c r="I2637" s="42">
        <f t="shared" si="462"/>
        <v>0</v>
      </c>
      <c r="J2637" s="42">
        <f t="shared" si="462"/>
        <v>0</v>
      </c>
      <c r="K2637" s="42">
        <f t="shared" si="462"/>
        <v>0</v>
      </c>
      <c r="L2637" s="42">
        <f t="shared" si="462"/>
        <v>0</v>
      </c>
      <c r="M2637" s="42">
        <f t="shared" si="462"/>
        <v>0</v>
      </c>
      <c r="N2637" s="42">
        <f t="shared" si="462"/>
        <v>0</v>
      </c>
      <c r="O2637" s="42">
        <f t="shared" si="462"/>
        <v>0</v>
      </c>
      <c r="P2637" s="44">
        <f>SUM(P2620:P2626)-SUM(P2627:P2631)+SUM(P2632:P2635)</f>
        <v>0</v>
      </c>
      <c r="Q2637" s="46">
        <f>SUM(D2637:P2637)</f>
        <v>0</v>
      </c>
    </row>
    <row r="2638" spans="1:17">
      <c r="A2638" s="149"/>
      <c r="B2638" s="152" t="s">
        <v>12</v>
      </c>
      <c r="C2638" s="114" t="s">
        <v>84</v>
      </c>
      <c r="D2638" s="87"/>
      <c r="E2638" s="87"/>
      <c r="F2638" s="87"/>
      <c r="G2638" s="87"/>
      <c r="H2638" s="87"/>
      <c r="I2638" s="87"/>
      <c r="J2638" s="87"/>
      <c r="K2638" s="87"/>
      <c r="L2638" s="87"/>
      <c r="M2638" s="87"/>
      <c r="N2638" s="87"/>
      <c r="O2638" s="87"/>
      <c r="P2638" s="30"/>
      <c r="Q2638" s="134">
        <f>SUM(D2638:P2638)</f>
        <v>0</v>
      </c>
    </row>
    <row r="2639" spans="1:17">
      <c r="A2639" s="150"/>
      <c r="B2639" s="153"/>
      <c r="C2639" s="115" t="s">
        <v>85</v>
      </c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28"/>
      <c r="Q2639" s="132">
        <f t="shared" ref="Q2639:Q2654" si="463">SUM(D2639:P2639)</f>
        <v>0</v>
      </c>
    </row>
    <row r="2640" spans="1:17">
      <c r="A2640" s="150"/>
      <c r="B2640" s="153"/>
      <c r="C2640" s="116" t="s">
        <v>86</v>
      </c>
      <c r="D2640" s="91">
        <f t="shared" ref="D2640:O2640" si="464">D2638*D2639</f>
        <v>0</v>
      </c>
      <c r="E2640" s="91">
        <f t="shared" si="464"/>
        <v>0</v>
      </c>
      <c r="F2640" s="91">
        <f t="shared" si="464"/>
        <v>0</v>
      </c>
      <c r="G2640" s="91">
        <f t="shared" si="464"/>
        <v>0</v>
      </c>
      <c r="H2640" s="91">
        <f t="shared" si="464"/>
        <v>0</v>
      </c>
      <c r="I2640" s="91">
        <f t="shared" si="464"/>
        <v>0</v>
      </c>
      <c r="J2640" s="91">
        <f t="shared" si="464"/>
        <v>0</v>
      </c>
      <c r="K2640" s="91">
        <f t="shared" si="464"/>
        <v>0</v>
      </c>
      <c r="L2640" s="91">
        <f t="shared" si="464"/>
        <v>0</v>
      </c>
      <c r="M2640" s="91">
        <f t="shared" si="464"/>
        <v>0</v>
      </c>
      <c r="N2640" s="91">
        <f t="shared" si="464"/>
        <v>0</v>
      </c>
      <c r="O2640" s="91">
        <f t="shared" si="464"/>
        <v>0</v>
      </c>
      <c r="P2640" s="32"/>
      <c r="Q2640" s="132">
        <f t="shared" si="463"/>
        <v>0</v>
      </c>
    </row>
    <row r="2641" spans="1:17">
      <c r="A2641" s="150"/>
      <c r="B2641" s="153"/>
      <c r="C2641" s="117" t="s">
        <v>9</v>
      </c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32"/>
      <c r="Q2641" s="132">
        <f t="shared" si="463"/>
        <v>0</v>
      </c>
    </row>
    <row r="2642" spans="1:17">
      <c r="A2642" s="150"/>
      <c r="B2642" s="153"/>
      <c r="C2642" s="117" t="s">
        <v>38</v>
      </c>
      <c r="D2642" s="89"/>
      <c r="E2642" s="89"/>
      <c r="F2642" s="89"/>
      <c r="G2642" s="89"/>
      <c r="H2642" s="89"/>
      <c r="I2642" s="89"/>
      <c r="J2642" s="89"/>
      <c r="K2642" s="89"/>
      <c r="L2642" s="89"/>
      <c r="M2642" s="89"/>
      <c r="N2642" s="89"/>
      <c r="O2642" s="89"/>
      <c r="P2642" s="28"/>
      <c r="Q2642" s="132">
        <f t="shared" si="463"/>
        <v>0</v>
      </c>
    </row>
    <row r="2643" spans="1:17">
      <c r="A2643" s="150"/>
      <c r="B2643" s="153"/>
      <c r="C2643" s="62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91"/>
      <c r="O2643" s="91"/>
      <c r="P2643" s="32"/>
      <c r="Q2643" s="132">
        <f t="shared" si="463"/>
        <v>0</v>
      </c>
    </row>
    <row r="2644" spans="1:17">
      <c r="A2644" s="150"/>
      <c r="B2644" s="154"/>
      <c r="C2644" s="6" t="s">
        <v>42</v>
      </c>
      <c r="D2644" s="92"/>
      <c r="E2644" s="92"/>
      <c r="F2644" s="92"/>
      <c r="G2644" s="92"/>
      <c r="H2644" s="92"/>
      <c r="I2644" s="92"/>
      <c r="J2644" s="92"/>
      <c r="K2644" s="92"/>
      <c r="L2644" s="92"/>
      <c r="M2644" s="92"/>
      <c r="N2644" s="92"/>
      <c r="O2644" s="92"/>
      <c r="P2644" s="33"/>
      <c r="Q2644" s="135">
        <f t="shared" si="463"/>
        <v>0</v>
      </c>
    </row>
    <row r="2645" spans="1:17">
      <c r="A2645" s="150"/>
      <c r="B2645" s="155" t="s">
        <v>11</v>
      </c>
      <c r="C2645" s="5" t="s">
        <v>7</v>
      </c>
      <c r="D2645" s="94"/>
      <c r="E2645" s="94"/>
      <c r="F2645" s="94"/>
      <c r="G2645" s="94"/>
      <c r="H2645" s="94"/>
      <c r="I2645" s="94"/>
      <c r="J2645" s="94"/>
      <c r="K2645" s="94"/>
      <c r="L2645" s="94"/>
      <c r="M2645" s="94"/>
      <c r="N2645" s="94"/>
      <c r="O2645" s="94"/>
      <c r="P2645" s="27"/>
      <c r="Q2645" s="136">
        <f t="shared" si="463"/>
        <v>0</v>
      </c>
    </row>
    <row r="2646" spans="1:17">
      <c r="A2646" s="150"/>
      <c r="B2646" s="153"/>
      <c r="C2646" s="6" t="s">
        <v>4</v>
      </c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32"/>
      <c r="Q2646" s="132">
        <f t="shared" si="463"/>
        <v>0</v>
      </c>
    </row>
    <row r="2647" spans="1:17">
      <c r="A2647" s="150"/>
      <c r="B2647" s="153"/>
      <c r="C2647" s="6" t="s">
        <v>17</v>
      </c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91"/>
      <c r="O2647" s="91"/>
      <c r="P2647" s="32"/>
      <c r="Q2647" s="132">
        <f t="shared" si="463"/>
        <v>0</v>
      </c>
    </row>
    <row r="2648" spans="1:17">
      <c r="A2648" s="150"/>
      <c r="B2648" s="153"/>
      <c r="C2648" s="6" t="s">
        <v>18</v>
      </c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32"/>
      <c r="Q2648" s="132">
        <f t="shared" si="463"/>
        <v>0</v>
      </c>
    </row>
    <row r="2649" spans="1:17">
      <c r="A2649" s="150"/>
      <c r="B2649" s="153"/>
      <c r="C2649" s="6" t="s">
        <v>60</v>
      </c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91"/>
      <c r="O2649" s="91"/>
      <c r="P2649" s="32"/>
      <c r="Q2649" s="135">
        <f t="shared" si="463"/>
        <v>0</v>
      </c>
    </row>
    <row r="2650" spans="1:17">
      <c r="A2650" s="150"/>
      <c r="B2650" s="155" t="s">
        <v>13</v>
      </c>
      <c r="C2650" s="5" t="s">
        <v>10</v>
      </c>
      <c r="D2650" s="94"/>
      <c r="E2650" s="94"/>
      <c r="F2650" s="94"/>
      <c r="G2650" s="94"/>
      <c r="H2650" s="94"/>
      <c r="I2650" s="94"/>
      <c r="J2650" s="94"/>
      <c r="K2650" s="94"/>
      <c r="L2650" s="94"/>
      <c r="M2650" s="94"/>
      <c r="N2650" s="94"/>
      <c r="O2650" s="94"/>
      <c r="P2650" s="27"/>
      <c r="Q2650" s="131">
        <f t="shared" si="463"/>
        <v>0</v>
      </c>
    </row>
    <row r="2651" spans="1:17">
      <c r="A2651" s="150"/>
      <c r="B2651" s="153"/>
      <c r="C2651" s="116" t="s">
        <v>55</v>
      </c>
      <c r="D2651" s="89"/>
      <c r="E2651" s="89"/>
      <c r="F2651" s="89"/>
      <c r="G2651" s="89"/>
      <c r="H2651" s="89"/>
      <c r="I2651" s="89"/>
      <c r="J2651" s="89"/>
      <c r="K2651" s="89"/>
      <c r="L2651" s="89"/>
      <c r="M2651" s="89"/>
      <c r="N2651" s="89"/>
      <c r="O2651" s="89"/>
      <c r="P2651" s="28"/>
      <c r="Q2651" s="132">
        <f t="shared" si="463"/>
        <v>0</v>
      </c>
    </row>
    <row r="2652" spans="1:17">
      <c r="A2652" s="150"/>
      <c r="B2652" s="153"/>
      <c r="C2652" s="8" t="s">
        <v>56</v>
      </c>
      <c r="D2652" s="89"/>
      <c r="E2652" s="89"/>
      <c r="F2652" s="89"/>
      <c r="G2652" s="89"/>
      <c r="H2652" s="89"/>
      <c r="I2652" s="89"/>
      <c r="J2652" s="89"/>
      <c r="K2652" s="89"/>
      <c r="L2652" s="89"/>
      <c r="M2652" s="89"/>
      <c r="N2652" s="89"/>
      <c r="O2652" s="89"/>
      <c r="P2652" s="28"/>
      <c r="Q2652" s="132">
        <f t="shared" si="463"/>
        <v>0</v>
      </c>
    </row>
    <row r="2653" spans="1:17" ht="14.25" thickBot="1">
      <c r="A2653" s="150"/>
      <c r="B2653" s="154"/>
      <c r="C2653" s="4" t="s">
        <v>61</v>
      </c>
      <c r="D2653" s="92"/>
      <c r="E2653" s="92"/>
      <c r="F2653" s="92"/>
      <c r="G2653" s="92"/>
      <c r="H2653" s="92"/>
      <c r="I2653" s="92"/>
      <c r="J2653" s="92"/>
      <c r="K2653" s="92"/>
      <c r="L2653" s="92"/>
      <c r="M2653" s="92"/>
      <c r="N2653" s="92"/>
      <c r="O2653" s="92"/>
      <c r="P2653" s="33"/>
      <c r="Q2653" s="133">
        <f t="shared" si="463"/>
        <v>0</v>
      </c>
    </row>
    <row r="2654" spans="1:17" ht="14.25" thickBot="1">
      <c r="A2654" s="150"/>
      <c r="B2654" s="156" t="s">
        <v>54</v>
      </c>
      <c r="C2654" s="157"/>
      <c r="D2654" s="56">
        <f>SUM(D2640:D2644)-SUM(D2648:D2649)</f>
        <v>0</v>
      </c>
      <c r="E2654" s="56">
        <f t="shared" ref="E2654:O2654" si="465">SUM(E2640:E2644)-SUM(E2648:E2649)</f>
        <v>0</v>
      </c>
      <c r="F2654" s="56">
        <f t="shared" si="465"/>
        <v>0</v>
      </c>
      <c r="G2654" s="56">
        <f t="shared" si="465"/>
        <v>0</v>
      </c>
      <c r="H2654" s="56">
        <f t="shared" si="465"/>
        <v>0</v>
      </c>
      <c r="I2654" s="56">
        <f t="shared" si="465"/>
        <v>0</v>
      </c>
      <c r="J2654" s="56">
        <f t="shared" si="465"/>
        <v>0</v>
      </c>
      <c r="K2654" s="56">
        <f t="shared" si="465"/>
        <v>0</v>
      </c>
      <c r="L2654" s="56">
        <f t="shared" si="465"/>
        <v>0</v>
      </c>
      <c r="M2654" s="56">
        <f t="shared" si="465"/>
        <v>0</v>
      </c>
      <c r="N2654" s="56">
        <f t="shared" si="465"/>
        <v>0</v>
      </c>
      <c r="O2654" s="56">
        <f t="shared" si="465"/>
        <v>0</v>
      </c>
      <c r="P2654" s="58">
        <f>SUM(P2638:P2644)-SUM(P2648:P2649)</f>
        <v>0</v>
      </c>
      <c r="Q2654" s="130">
        <f t="shared" si="463"/>
        <v>0</v>
      </c>
    </row>
    <row r="2655" spans="1:17" ht="14.25" thickBot="1">
      <c r="A2655" s="151"/>
      <c r="B2655" s="147" t="s">
        <v>5</v>
      </c>
      <c r="C2655" s="148"/>
      <c r="D2655" s="42">
        <f>SUM(D2640:D2644)-SUM(D2645:D2649)+SUM(D2650:D2653)</f>
        <v>0</v>
      </c>
      <c r="E2655" s="42">
        <f t="shared" ref="E2655:O2655" si="466">SUM(E2640:E2644)-SUM(E2645:E2649)+SUM(E2650:E2653)</f>
        <v>0</v>
      </c>
      <c r="F2655" s="42">
        <f t="shared" si="466"/>
        <v>0</v>
      </c>
      <c r="G2655" s="42">
        <f t="shared" si="466"/>
        <v>0</v>
      </c>
      <c r="H2655" s="42">
        <f t="shared" si="466"/>
        <v>0</v>
      </c>
      <c r="I2655" s="42">
        <f t="shared" si="466"/>
        <v>0</v>
      </c>
      <c r="J2655" s="42">
        <f t="shared" si="466"/>
        <v>0</v>
      </c>
      <c r="K2655" s="42">
        <f t="shared" si="466"/>
        <v>0</v>
      </c>
      <c r="L2655" s="42">
        <f t="shared" si="466"/>
        <v>0</v>
      </c>
      <c r="M2655" s="42">
        <f t="shared" si="466"/>
        <v>0</v>
      </c>
      <c r="N2655" s="42">
        <f t="shared" si="466"/>
        <v>0</v>
      </c>
      <c r="O2655" s="42">
        <f t="shared" si="466"/>
        <v>0</v>
      </c>
      <c r="P2655" s="44">
        <f>SUM(P2638:P2644)-SUM(P2645:P2649)+SUM(P2650:P2653)</f>
        <v>0</v>
      </c>
      <c r="Q2655" s="46">
        <f>SUM(D2655:P2655)</f>
        <v>0</v>
      </c>
    </row>
    <row r="2656" spans="1:17">
      <c r="A2656" s="149"/>
      <c r="B2656" s="152" t="s">
        <v>12</v>
      </c>
      <c r="C2656" s="114" t="s">
        <v>84</v>
      </c>
      <c r="D2656" s="87"/>
      <c r="E2656" s="87"/>
      <c r="F2656" s="87"/>
      <c r="G2656" s="87"/>
      <c r="H2656" s="87"/>
      <c r="I2656" s="87"/>
      <c r="J2656" s="87"/>
      <c r="K2656" s="87"/>
      <c r="L2656" s="87"/>
      <c r="M2656" s="87"/>
      <c r="N2656" s="87"/>
      <c r="O2656" s="87"/>
      <c r="P2656" s="30"/>
      <c r="Q2656" s="134">
        <f>SUM(D2656:P2656)</f>
        <v>0</v>
      </c>
    </row>
    <row r="2657" spans="1:17">
      <c r="A2657" s="150"/>
      <c r="B2657" s="153"/>
      <c r="C2657" s="115" t="s">
        <v>85</v>
      </c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28"/>
      <c r="Q2657" s="132">
        <f t="shared" ref="Q2657:Q2672" si="467">SUM(D2657:P2657)</f>
        <v>0</v>
      </c>
    </row>
    <row r="2658" spans="1:17">
      <c r="A2658" s="150"/>
      <c r="B2658" s="153"/>
      <c r="C2658" s="116" t="s">
        <v>86</v>
      </c>
      <c r="D2658" s="91">
        <f t="shared" ref="D2658:O2658" si="468">D2656*D2657</f>
        <v>0</v>
      </c>
      <c r="E2658" s="91">
        <f t="shared" si="468"/>
        <v>0</v>
      </c>
      <c r="F2658" s="91">
        <f t="shared" si="468"/>
        <v>0</v>
      </c>
      <c r="G2658" s="91">
        <f t="shared" si="468"/>
        <v>0</v>
      </c>
      <c r="H2658" s="91">
        <f t="shared" si="468"/>
        <v>0</v>
      </c>
      <c r="I2658" s="91">
        <f t="shared" si="468"/>
        <v>0</v>
      </c>
      <c r="J2658" s="91">
        <f t="shared" si="468"/>
        <v>0</v>
      </c>
      <c r="K2658" s="91">
        <f t="shared" si="468"/>
        <v>0</v>
      </c>
      <c r="L2658" s="91">
        <f t="shared" si="468"/>
        <v>0</v>
      </c>
      <c r="M2658" s="91">
        <f t="shared" si="468"/>
        <v>0</v>
      </c>
      <c r="N2658" s="91">
        <f t="shared" si="468"/>
        <v>0</v>
      </c>
      <c r="O2658" s="91">
        <f t="shared" si="468"/>
        <v>0</v>
      </c>
      <c r="P2658" s="32"/>
      <c r="Q2658" s="132">
        <f t="shared" si="467"/>
        <v>0</v>
      </c>
    </row>
    <row r="2659" spans="1:17">
      <c r="A2659" s="150"/>
      <c r="B2659" s="153"/>
      <c r="C2659" s="117" t="s">
        <v>9</v>
      </c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32"/>
      <c r="Q2659" s="132">
        <f t="shared" si="467"/>
        <v>0</v>
      </c>
    </row>
    <row r="2660" spans="1:17">
      <c r="A2660" s="150"/>
      <c r="B2660" s="153"/>
      <c r="C2660" s="117" t="s">
        <v>38</v>
      </c>
      <c r="D2660" s="89"/>
      <c r="E2660" s="89"/>
      <c r="F2660" s="89"/>
      <c r="G2660" s="89"/>
      <c r="H2660" s="89"/>
      <c r="I2660" s="89"/>
      <c r="J2660" s="89"/>
      <c r="K2660" s="89"/>
      <c r="L2660" s="89"/>
      <c r="M2660" s="89"/>
      <c r="N2660" s="89"/>
      <c r="O2660" s="89"/>
      <c r="P2660" s="28"/>
      <c r="Q2660" s="132">
        <f t="shared" si="467"/>
        <v>0</v>
      </c>
    </row>
    <row r="2661" spans="1:17">
      <c r="A2661" s="150"/>
      <c r="B2661" s="153"/>
      <c r="C2661" s="62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32"/>
      <c r="Q2661" s="132">
        <f t="shared" si="467"/>
        <v>0</v>
      </c>
    </row>
    <row r="2662" spans="1:17">
      <c r="A2662" s="150"/>
      <c r="B2662" s="154"/>
      <c r="C2662" s="6" t="s">
        <v>42</v>
      </c>
      <c r="D2662" s="92"/>
      <c r="E2662" s="92"/>
      <c r="F2662" s="92"/>
      <c r="G2662" s="92"/>
      <c r="H2662" s="92"/>
      <c r="I2662" s="92"/>
      <c r="J2662" s="92"/>
      <c r="K2662" s="92"/>
      <c r="L2662" s="92"/>
      <c r="M2662" s="92"/>
      <c r="N2662" s="92"/>
      <c r="O2662" s="92"/>
      <c r="P2662" s="33"/>
      <c r="Q2662" s="135">
        <f t="shared" si="467"/>
        <v>0</v>
      </c>
    </row>
    <row r="2663" spans="1:17">
      <c r="A2663" s="150"/>
      <c r="B2663" s="155" t="s">
        <v>11</v>
      </c>
      <c r="C2663" s="5" t="s">
        <v>7</v>
      </c>
      <c r="D2663" s="94"/>
      <c r="E2663" s="94"/>
      <c r="F2663" s="94"/>
      <c r="G2663" s="94"/>
      <c r="H2663" s="94"/>
      <c r="I2663" s="94"/>
      <c r="J2663" s="94"/>
      <c r="K2663" s="94"/>
      <c r="L2663" s="94"/>
      <c r="M2663" s="94"/>
      <c r="N2663" s="94"/>
      <c r="O2663" s="94"/>
      <c r="P2663" s="27"/>
      <c r="Q2663" s="136">
        <f t="shared" si="467"/>
        <v>0</v>
      </c>
    </row>
    <row r="2664" spans="1:17">
      <c r="A2664" s="150"/>
      <c r="B2664" s="153"/>
      <c r="C2664" s="6" t="s">
        <v>4</v>
      </c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32"/>
      <c r="Q2664" s="132">
        <f t="shared" si="467"/>
        <v>0</v>
      </c>
    </row>
    <row r="2665" spans="1:17">
      <c r="A2665" s="150"/>
      <c r="B2665" s="153"/>
      <c r="C2665" s="6" t="s">
        <v>17</v>
      </c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32"/>
      <c r="Q2665" s="132">
        <f t="shared" si="467"/>
        <v>0</v>
      </c>
    </row>
    <row r="2666" spans="1:17">
      <c r="A2666" s="150"/>
      <c r="B2666" s="153"/>
      <c r="C2666" s="6" t="s">
        <v>18</v>
      </c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32"/>
      <c r="Q2666" s="132">
        <f t="shared" si="467"/>
        <v>0</v>
      </c>
    </row>
    <row r="2667" spans="1:17">
      <c r="A2667" s="150"/>
      <c r="B2667" s="153"/>
      <c r="C2667" s="6" t="s">
        <v>60</v>
      </c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32"/>
      <c r="Q2667" s="135">
        <f t="shared" si="467"/>
        <v>0</v>
      </c>
    </row>
    <row r="2668" spans="1:17">
      <c r="A2668" s="150"/>
      <c r="B2668" s="155" t="s">
        <v>13</v>
      </c>
      <c r="C2668" s="5" t="s">
        <v>10</v>
      </c>
      <c r="D2668" s="94"/>
      <c r="E2668" s="94"/>
      <c r="F2668" s="94"/>
      <c r="G2668" s="94"/>
      <c r="H2668" s="94"/>
      <c r="I2668" s="94"/>
      <c r="J2668" s="94"/>
      <c r="K2668" s="94"/>
      <c r="L2668" s="94"/>
      <c r="M2668" s="94"/>
      <c r="N2668" s="94"/>
      <c r="O2668" s="94"/>
      <c r="P2668" s="27"/>
      <c r="Q2668" s="131">
        <f t="shared" si="467"/>
        <v>0</v>
      </c>
    </row>
    <row r="2669" spans="1:17">
      <c r="A2669" s="150"/>
      <c r="B2669" s="153"/>
      <c r="C2669" s="116" t="s">
        <v>55</v>
      </c>
      <c r="D2669" s="89"/>
      <c r="E2669" s="89"/>
      <c r="F2669" s="89"/>
      <c r="G2669" s="89"/>
      <c r="H2669" s="89"/>
      <c r="I2669" s="89"/>
      <c r="J2669" s="89"/>
      <c r="K2669" s="89"/>
      <c r="L2669" s="89"/>
      <c r="M2669" s="89"/>
      <c r="N2669" s="89"/>
      <c r="O2669" s="89"/>
      <c r="P2669" s="28"/>
      <c r="Q2669" s="132">
        <f t="shared" si="467"/>
        <v>0</v>
      </c>
    </row>
    <row r="2670" spans="1:17">
      <c r="A2670" s="150"/>
      <c r="B2670" s="153"/>
      <c r="C2670" s="8" t="s">
        <v>56</v>
      </c>
      <c r="D2670" s="89"/>
      <c r="E2670" s="89"/>
      <c r="F2670" s="89"/>
      <c r="G2670" s="89"/>
      <c r="H2670" s="89"/>
      <c r="I2670" s="89"/>
      <c r="J2670" s="89"/>
      <c r="K2670" s="89"/>
      <c r="L2670" s="89"/>
      <c r="M2670" s="89"/>
      <c r="N2670" s="89"/>
      <c r="O2670" s="89"/>
      <c r="P2670" s="28"/>
      <c r="Q2670" s="132">
        <f t="shared" si="467"/>
        <v>0</v>
      </c>
    </row>
    <row r="2671" spans="1:17" ht="14.25" thickBot="1">
      <c r="A2671" s="150"/>
      <c r="B2671" s="154"/>
      <c r="C2671" s="4" t="s">
        <v>61</v>
      </c>
      <c r="D2671" s="92"/>
      <c r="E2671" s="92"/>
      <c r="F2671" s="92"/>
      <c r="G2671" s="92"/>
      <c r="H2671" s="92"/>
      <c r="I2671" s="92"/>
      <c r="J2671" s="92"/>
      <c r="K2671" s="92"/>
      <c r="L2671" s="92"/>
      <c r="M2671" s="92"/>
      <c r="N2671" s="92"/>
      <c r="O2671" s="92"/>
      <c r="P2671" s="33"/>
      <c r="Q2671" s="133">
        <f t="shared" si="467"/>
        <v>0</v>
      </c>
    </row>
    <row r="2672" spans="1:17" ht="14.25" thickBot="1">
      <c r="A2672" s="150"/>
      <c r="B2672" s="156" t="s">
        <v>54</v>
      </c>
      <c r="C2672" s="157"/>
      <c r="D2672" s="56">
        <f>SUM(D2658:D2662)-SUM(D2666:D2667)</f>
        <v>0</v>
      </c>
      <c r="E2672" s="56">
        <f t="shared" ref="E2672:O2672" si="469">SUM(E2658:E2662)-SUM(E2666:E2667)</f>
        <v>0</v>
      </c>
      <c r="F2672" s="56">
        <f t="shared" si="469"/>
        <v>0</v>
      </c>
      <c r="G2672" s="56">
        <f t="shared" si="469"/>
        <v>0</v>
      </c>
      <c r="H2672" s="56">
        <f t="shared" si="469"/>
        <v>0</v>
      </c>
      <c r="I2672" s="56">
        <f t="shared" si="469"/>
        <v>0</v>
      </c>
      <c r="J2672" s="56">
        <f t="shared" si="469"/>
        <v>0</v>
      </c>
      <c r="K2672" s="56">
        <f t="shared" si="469"/>
        <v>0</v>
      </c>
      <c r="L2672" s="56">
        <f t="shared" si="469"/>
        <v>0</v>
      </c>
      <c r="M2672" s="56">
        <f t="shared" si="469"/>
        <v>0</v>
      </c>
      <c r="N2672" s="56">
        <f t="shared" si="469"/>
        <v>0</v>
      </c>
      <c r="O2672" s="56">
        <f t="shared" si="469"/>
        <v>0</v>
      </c>
      <c r="P2672" s="58">
        <f>SUM(P2656:P2662)-SUM(P2666:P2667)</f>
        <v>0</v>
      </c>
      <c r="Q2672" s="130">
        <f t="shared" si="467"/>
        <v>0</v>
      </c>
    </row>
    <row r="2673" spans="1:17" ht="14.25" thickBot="1">
      <c r="A2673" s="151"/>
      <c r="B2673" s="147" t="s">
        <v>5</v>
      </c>
      <c r="C2673" s="148"/>
      <c r="D2673" s="42">
        <f>SUM(D2658:D2662)-SUM(D2663:D2667)+SUM(D2668:D2671)</f>
        <v>0</v>
      </c>
      <c r="E2673" s="42">
        <f t="shared" ref="E2673:O2673" si="470">SUM(E2658:E2662)-SUM(E2663:E2667)+SUM(E2668:E2671)</f>
        <v>0</v>
      </c>
      <c r="F2673" s="42">
        <f t="shared" si="470"/>
        <v>0</v>
      </c>
      <c r="G2673" s="42">
        <f t="shared" si="470"/>
        <v>0</v>
      </c>
      <c r="H2673" s="42">
        <f t="shared" si="470"/>
        <v>0</v>
      </c>
      <c r="I2673" s="42">
        <f t="shared" si="470"/>
        <v>0</v>
      </c>
      <c r="J2673" s="42">
        <f t="shared" si="470"/>
        <v>0</v>
      </c>
      <c r="K2673" s="42">
        <f t="shared" si="470"/>
        <v>0</v>
      </c>
      <c r="L2673" s="42">
        <f t="shared" si="470"/>
        <v>0</v>
      </c>
      <c r="M2673" s="42">
        <f t="shared" si="470"/>
        <v>0</v>
      </c>
      <c r="N2673" s="42">
        <f t="shared" si="470"/>
        <v>0</v>
      </c>
      <c r="O2673" s="42">
        <f t="shared" si="470"/>
        <v>0</v>
      </c>
      <c r="P2673" s="44">
        <f>SUM(P2656:P2662)-SUM(P2663:P2667)+SUM(P2668:P2671)</f>
        <v>0</v>
      </c>
      <c r="Q2673" s="46">
        <f>SUM(D2673:P2673)</f>
        <v>0</v>
      </c>
    </row>
    <row r="2674" spans="1:17">
      <c r="A2674" s="149"/>
      <c r="B2674" s="152" t="s">
        <v>12</v>
      </c>
      <c r="C2674" s="114" t="s">
        <v>84</v>
      </c>
      <c r="D2674" s="87"/>
      <c r="E2674" s="87"/>
      <c r="F2674" s="87"/>
      <c r="G2674" s="87"/>
      <c r="H2674" s="87"/>
      <c r="I2674" s="87"/>
      <c r="J2674" s="87"/>
      <c r="K2674" s="87"/>
      <c r="L2674" s="87"/>
      <c r="M2674" s="87"/>
      <c r="N2674" s="87"/>
      <c r="O2674" s="87"/>
      <c r="P2674" s="30"/>
      <c r="Q2674" s="134">
        <f>SUM(D2674:P2674)</f>
        <v>0</v>
      </c>
    </row>
    <row r="2675" spans="1:17">
      <c r="A2675" s="150"/>
      <c r="B2675" s="153"/>
      <c r="C2675" s="115" t="s">
        <v>85</v>
      </c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28"/>
      <c r="Q2675" s="132">
        <f t="shared" ref="Q2675:Q2690" si="471">SUM(D2675:P2675)</f>
        <v>0</v>
      </c>
    </row>
    <row r="2676" spans="1:17">
      <c r="A2676" s="150"/>
      <c r="B2676" s="153"/>
      <c r="C2676" s="116" t="s">
        <v>86</v>
      </c>
      <c r="D2676" s="91">
        <f t="shared" ref="D2676:O2676" si="472">D2674*D2675</f>
        <v>0</v>
      </c>
      <c r="E2676" s="91">
        <f t="shared" si="472"/>
        <v>0</v>
      </c>
      <c r="F2676" s="91">
        <f t="shared" si="472"/>
        <v>0</v>
      </c>
      <c r="G2676" s="91">
        <f t="shared" si="472"/>
        <v>0</v>
      </c>
      <c r="H2676" s="91">
        <f t="shared" si="472"/>
        <v>0</v>
      </c>
      <c r="I2676" s="91">
        <f t="shared" si="472"/>
        <v>0</v>
      </c>
      <c r="J2676" s="91">
        <f t="shared" si="472"/>
        <v>0</v>
      </c>
      <c r="K2676" s="91">
        <f t="shared" si="472"/>
        <v>0</v>
      </c>
      <c r="L2676" s="91">
        <f t="shared" si="472"/>
        <v>0</v>
      </c>
      <c r="M2676" s="91">
        <f t="shared" si="472"/>
        <v>0</v>
      </c>
      <c r="N2676" s="91">
        <f t="shared" si="472"/>
        <v>0</v>
      </c>
      <c r="O2676" s="91">
        <f t="shared" si="472"/>
        <v>0</v>
      </c>
      <c r="P2676" s="32"/>
      <c r="Q2676" s="132">
        <f t="shared" si="471"/>
        <v>0</v>
      </c>
    </row>
    <row r="2677" spans="1:17">
      <c r="A2677" s="150"/>
      <c r="B2677" s="153"/>
      <c r="C2677" s="117" t="s">
        <v>9</v>
      </c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91"/>
      <c r="O2677" s="91"/>
      <c r="P2677" s="32"/>
      <c r="Q2677" s="132">
        <f t="shared" si="471"/>
        <v>0</v>
      </c>
    </row>
    <row r="2678" spans="1:17">
      <c r="A2678" s="150"/>
      <c r="B2678" s="153"/>
      <c r="C2678" s="117" t="s">
        <v>38</v>
      </c>
      <c r="D2678" s="89"/>
      <c r="E2678" s="89"/>
      <c r="F2678" s="89"/>
      <c r="G2678" s="89"/>
      <c r="H2678" s="89"/>
      <c r="I2678" s="89"/>
      <c r="J2678" s="89"/>
      <c r="K2678" s="89"/>
      <c r="L2678" s="89"/>
      <c r="M2678" s="89"/>
      <c r="N2678" s="89"/>
      <c r="O2678" s="89"/>
      <c r="P2678" s="28"/>
      <c r="Q2678" s="132">
        <f t="shared" si="471"/>
        <v>0</v>
      </c>
    </row>
    <row r="2679" spans="1:17">
      <c r="A2679" s="150"/>
      <c r="B2679" s="153"/>
      <c r="C2679" s="62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91"/>
      <c r="O2679" s="91"/>
      <c r="P2679" s="32"/>
      <c r="Q2679" s="132">
        <f t="shared" si="471"/>
        <v>0</v>
      </c>
    </row>
    <row r="2680" spans="1:17">
      <c r="A2680" s="150"/>
      <c r="B2680" s="154"/>
      <c r="C2680" s="6" t="s">
        <v>42</v>
      </c>
      <c r="D2680" s="92"/>
      <c r="E2680" s="92"/>
      <c r="F2680" s="92"/>
      <c r="G2680" s="92"/>
      <c r="H2680" s="92"/>
      <c r="I2680" s="92"/>
      <c r="J2680" s="92"/>
      <c r="K2680" s="92"/>
      <c r="L2680" s="92"/>
      <c r="M2680" s="92"/>
      <c r="N2680" s="92"/>
      <c r="O2680" s="92"/>
      <c r="P2680" s="33"/>
      <c r="Q2680" s="135">
        <f t="shared" si="471"/>
        <v>0</v>
      </c>
    </row>
    <row r="2681" spans="1:17">
      <c r="A2681" s="150"/>
      <c r="B2681" s="155" t="s">
        <v>11</v>
      </c>
      <c r="C2681" s="5" t="s">
        <v>7</v>
      </c>
      <c r="D2681" s="94"/>
      <c r="E2681" s="94"/>
      <c r="F2681" s="94"/>
      <c r="G2681" s="94"/>
      <c r="H2681" s="94"/>
      <c r="I2681" s="94"/>
      <c r="J2681" s="94"/>
      <c r="K2681" s="94"/>
      <c r="L2681" s="94"/>
      <c r="M2681" s="94"/>
      <c r="N2681" s="94"/>
      <c r="O2681" s="94"/>
      <c r="P2681" s="27"/>
      <c r="Q2681" s="136">
        <f t="shared" si="471"/>
        <v>0</v>
      </c>
    </row>
    <row r="2682" spans="1:17">
      <c r="A2682" s="150"/>
      <c r="B2682" s="153"/>
      <c r="C2682" s="6" t="s">
        <v>4</v>
      </c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32"/>
      <c r="Q2682" s="132">
        <f t="shared" si="471"/>
        <v>0</v>
      </c>
    </row>
    <row r="2683" spans="1:17">
      <c r="A2683" s="150"/>
      <c r="B2683" s="153"/>
      <c r="C2683" s="6" t="s">
        <v>17</v>
      </c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91"/>
      <c r="O2683" s="91"/>
      <c r="P2683" s="32"/>
      <c r="Q2683" s="132">
        <f t="shared" si="471"/>
        <v>0</v>
      </c>
    </row>
    <row r="2684" spans="1:17">
      <c r="A2684" s="150"/>
      <c r="B2684" s="153"/>
      <c r="C2684" s="6" t="s">
        <v>18</v>
      </c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32"/>
      <c r="Q2684" s="132">
        <f t="shared" si="471"/>
        <v>0</v>
      </c>
    </row>
    <row r="2685" spans="1:17">
      <c r="A2685" s="150"/>
      <c r="B2685" s="153"/>
      <c r="C2685" s="6" t="s">
        <v>60</v>
      </c>
      <c r="D2685" s="91"/>
      <c r="E2685" s="91"/>
      <c r="F2685" s="91"/>
      <c r="G2685" s="91"/>
      <c r="H2685" s="91"/>
      <c r="I2685" s="91"/>
      <c r="J2685" s="91"/>
      <c r="K2685" s="91"/>
      <c r="L2685" s="91"/>
      <c r="M2685" s="91"/>
      <c r="N2685" s="91"/>
      <c r="O2685" s="91"/>
      <c r="P2685" s="32"/>
      <c r="Q2685" s="135">
        <f t="shared" si="471"/>
        <v>0</v>
      </c>
    </row>
    <row r="2686" spans="1:17">
      <c r="A2686" s="150"/>
      <c r="B2686" s="155" t="s">
        <v>13</v>
      </c>
      <c r="C2686" s="5" t="s">
        <v>10</v>
      </c>
      <c r="D2686" s="94"/>
      <c r="E2686" s="94"/>
      <c r="F2686" s="94"/>
      <c r="G2686" s="94"/>
      <c r="H2686" s="94"/>
      <c r="I2686" s="94"/>
      <c r="J2686" s="94"/>
      <c r="K2686" s="94"/>
      <c r="L2686" s="94"/>
      <c r="M2686" s="94"/>
      <c r="N2686" s="94"/>
      <c r="O2686" s="94"/>
      <c r="P2686" s="27"/>
      <c r="Q2686" s="131">
        <f t="shared" si="471"/>
        <v>0</v>
      </c>
    </row>
    <row r="2687" spans="1:17">
      <c r="A2687" s="150"/>
      <c r="B2687" s="153"/>
      <c r="C2687" s="116" t="s">
        <v>55</v>
      </c>
      <c r="D2687" s="89"/>
      <c r="E2687" s="89"/>
      <c r="F2687" s="89"/>
      <c r="G2687" s="89"/>
      <c r="H2687" s="89"/>
      <c r="I2687" s="89"/>
      <c r="J2687" s="89"/>
      <c r="K2687" s="89"/>
      <c r="L2687" s="89"/>
      <c r="M2687" s="89"/>
      <c r="N2687" s="89"/>
      <c r="O2687" s="89"/>
      <c r="P2687" s="28"/>
      <c r="Q2687" s="132">
        <f t="shared" si="471"/>
        <v>0</v>
      </c>
    </row>
    <row r="2688" spans="1:17">
      <c r="A2688" s="150"/>
      <c r="B2688" s="153"/>
      <c r="C2688" s="8" t="s">
        <v>56</v>
      </c>
      <c r="D2688" s="89"/>
      <c r="E2688" s="89"/>
      <c r="F2688" s="89"/>
      <c r="G2688" s="89"/>
      <c r="H2688" s="89"/>
      <c r="I2688" s="89"/>
      <c r="J2688" s="89"/>
      <c r="K2688" s="89"/>
      <c r="L2688" s="89"/>
      <c r="M2688" s="89"/>
      <c r="N2688" s="89"/>
      <c r="O2688" s="89"/>
      <c r="P2688" s="28"/>
      <c r="Q2688" s="132">
        <f t="shared" si="471"/>
        <v>0</v>
      </c>
    </row>
    <row r="2689" spans="1:17" ht="14.25" thickBot="1">
      <c r="A2689" s="150"/>
      <c r="B2689" s="154"/>
      <c r="C2689" s="4" t="s">
        <v>61</v>
      </c>
      <c r="D2689" s="92"/>
      <c r="E2689" s="92"/>
      <c r="F2689" s="92"/>
      <c r="G2689" s="92"/>
      <c r="H2689" s="92"/>
      <c r="I2689" s="92"/>
      <c r="J2689" s="92"/>
      <c r="K2689" s="92"/>
      <c r="L2689" s="92"/>
      <c r="M2689" s="92"/>
      <c r="N2689" s="92"/>
      <c r="O2689" s="92"/>
      <c r="P2689" s="33"/>
      <c r="Q2689" s="133">
        <f t="shared" si="471"/>
        <v>0</v>
      </c>
    </row>
    <row r="2690" spans="1:17" ht="14.25" thickBot="1">
      <c r="A2690" s="150"/>
      <c r="B2690" s="156" t="s">
        <v>54</v>
      </c>
      <c r="C2690" s="157"/>
      <c r="D2690" s="56">
        <f>SUM(D2676:D2680)-SUM(D2684:D2685)</f>
        <v>0</v>
      </c>
      <c r="E2690" s="56">
        <f t="shared" ref="E2690:O2690" si="473">SUM(E2676:E2680)-SUM(E2684:E2685)</f>
        <v>0</v>
      </c>
      <c r="F2690" s="56">
        <f t="shared" si="473"/>
        <v>0</v>
      </c>
      <c r="G2690" s="56">
        <f t="shared" si="473"/>
        <v>0</v>
      </c>
      <c r="H2690" s="56">
        <f t="shared" si="473"/>
        <v>0</v>
      </c>
      <c r="I2690" s="56">
        <f t="shared" si="473"/>
        <v>0</v>
      </c>
      <c r="J2690" s="56">
        <f t="shared" si="473"/>
        <v>0</v>
      </c>
      <c r="K2690" s="56">
        <f t="shared" si="473"/>
        <v>0</v>
      </c>
      <c r="L2690" s="56">
        <f t="shared" si="473"/>
        <v>0</v>
      </c>
      <c r="M2690" s="56">
        <f t="shared" si="473"/>
        <v>0</v>
      </c>
      <c r="N2690" s="56">
        <f t="shared" si="473"/>
        <v>0</v>
      </c>
      <c r="O2690" s="56">
        <f t="shared" si="473"/>
        <v>0</v>
      </c>
      <c r="P2690" s="58">
        <f>SUM(P2674:P2680)-SUM(P2684:P2685)</f>
        <v>0</v>
      </c>
      <c r="Q2690" s="130">
        <f t="shared" si="471"/>
        <v>0</v>
      </c>
    </row>
    <row r="2691" spans="1:17" ht="14.25" thickBot="1">
      <c r="A2691" s="151"/>
      <c r="B2691" s="147" t="s">
        <v>5</v>
      </c>
      <c r="C2691" s="148"/>
      <c r="D2691" s="42">
        <f>SUM(D2676:D2680)-SUM(D2681:D2685)+SUM(D2686:D2689)</f>
        <v>0</v>
      </c>
      <c r="E2691" s="42">
        <f t="shared" ref="E2691:O2691" si="474">SUM(E2676:E2680)-SUM(E2681:E2685)+SUM(E2686:E2689)</f>
        <v>0</v>
      </c>
      <c r="F2691" s="42">
        <f t="shared" si="474"/>
        <v>0</v>
      </c>
      <c r="G2691" s="42">
        <f t="shared" si="474"/>
        <v>0</v>
      </c>
      <c r="H2691" s="42">
        <f t="shared" si="474"/>
        <v>0</v>
      </c>
      <c r="I2691" s="42">
        <f t="shared" si="474"/>
        <v>0</v>
      </c>
      <c r="J2691" s="42">
        <f t="shared" si="474"/>
        <v>0</v>
      </c>
      <c r="K2691" s="42">
        <f t="shared" si="474"/>
        <v>0</v>
      </c>
      <c r="L2691" s="42">
        <f t="shared" si="474"/>
        <v>0</v>
      </c>
      <c r="M2691" s="42">
        <f t="shared" si="474"/>
        <v>0</v>
      </c>
      <c r="N2691" s="42">
        <f t="shared" si="474"/>
        <v>0</v>
      </c>
      <c r="O2691" s="42">
        <f t="shared" si="474"/>
        <v>0</v>
      </c>
      <c r="P2691" s="44">
        <f>SUM(P2674:P2680)-SUM(P2681:P2685)+SUM(P2686:P2689)</f>
        <v>0</v>
      </c>
      <c r="Q2691" s="46">
        <f>SUM(D2691:P2691)</f>
        <v>0</v>
      </c>
    </row>
    <row r="2692" spans="1:17">
      <c r="A2692" s="149"/>
      <c r="B2692" s="152" t="s">
        <v>12</v>
      </c>
      <c r="C2692" s="114" t="s">
        <v>84</v>
      </c>
      <c r="D2692" s="87"/>
      <c r="E2692" s="87"/>
      <c r="F2692" s="87"/>
      <c r="G2692" s="87"/>
      <c r="H2692" s="87"/>
      <c r="I2692" s="87"/>
      <c r="J2692" s="87"/>
      <c r="K2692" s="87"/>
      <c r="L2692" s="87"/>
      <c r="M2692" s="87"/>
      <c r="N2692" s="87"/>
      <c r="O2692" s="87"/>
      <c r="P2692" s="30"/>
      <c r="Q2692" s="134">
        <f>SUM(D2692:P2692)</f>
        <v>0</v>
      </c>
    </row>
    <row r="2693" spans="1:17">
      <c r="A2693" s="150"/>
      <c r="B2693" s="153"/>
      <c r="C2693" s="115" t="s">
        <v>85</v>
      </c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28"/>
      <c r="Q2693" s="132">
        <f t="shared" ref="Q2693:Q2708" si="475">SUM(D2693:P2693)</f>
        <v>0</v>
      </c>
    </row>
    <row r="2694" spans="1:17">
      <c r="A2694" s="150"/>
      <c r="B2694" s="153"/>
      <c r="C2694" s="116" t="s">
        <v>86</v>
      </c>
      <c r="D2694" s="91">
        <f t="shared" ref="D2694:O2694" si="476">D2692*D2693</f>
        <v>0</v>
      </c>
      <c r="E2694" s="91">
        <f t="shared" si="476"/>
        <v>0</v>
      </c>
      <c r="F2694" s="91">
        <f t="shared" si="476"/>
        <v>0</v>
      </c>
      <c r="G2694" s="91">
        <f t="shared" si="476"/>
        <v>0</v>
      </c>
      <c r="H2694" s="91">
        <f t="shared" si="476"/>
        <v>0</v>
      </c>
      <c r="I2694" s="91">
        <f t="shared" si="476"/>
        <v>0</v>
      </c>
      <c r="J2694" s="91">
        <f t="shared" si="476"/>
        <v>0</v>
      </c>
      <c r="K2694" s="91">
        <f t="shared" si="476"/>
        <v>0</v>
      </c>
      <c r="L2694" s="91">
        <f t="shared" si="476"/>
        <v>0</v>
      </c>
      <c r="M2694" s="91">
        <f t="shared" si="476"/>
        <v>0</v>
      </c>
      <c r="N2694" s="91">
        <f t="shared" si="476"/>
        <v>0</v>
      </c>
      <c r="O2694" s="91">
        <f t="shared" si="476"/>
        <v>0</v>
      </c>
      <c r="P2694" s="32"/>
      <c r="Q2694" s="132">
        <f t="shared" si="475"/>
        <v>0</v>
      </c>
    </row>
    <row r="2695" spans="1:17">
      <c r="A2695" s="150"/>
      <c r="B2695" s="153"/>
      <c r="C2695" s="117" t="s">
        <v>9</v>
      </c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32"/>
      <c r="Q2695" s="132">
        <f t="shared" si="475"/>
        <v>0</v>
      </c>
    </row>
    <row r="2696" spans="1:17">
      <c r="A2696" s="150"/>
      <c r="B2696" s="153"/>
      <c r="C2696" s="117" t="s">
        <v>38</v>
      </c>
      <c r="D2696" s="89"/>
      <c r="E2696" s="89"/>
      <c r="F2696" s="89"/>
      <c r="G2696" s="89"/>
      <c r="H2696" s="89"/>
      <c r="I2696" s="89"/>
      <c r="J2696" s="89"/>
      <c r="K2696" s="89"/>
      <c r="L2696" s="89"/>
      <c r="M2696" s="89"/>
      <c r="N2696" s="89"/>
      <c r="O2696" s="89"/>
      <c r="P2696" s="28"/>
      <c r="Q2696" s="132">
        <f t="shared" si="475"/>
        <v>0</v>
      </c>
    </row>
    <row r="2697" spans="1:17">
      <c r="A2697" s="150"/>
      <c r="B2697" s="153"/>
      <c r="C2697" s="62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32"/>
      <c r="Q2697" s="132">
        <f t="shared" si="475"/>
        <v>0</v>
      </c>
    </row>
    <row r="2698" spans="1:17">
      <c r="A2698" s="150"/>
      <c r="B2698" s="154"/>
      <c r="C2698" s="6" t="s">
        <v>42</v>
      </c>
      <c r="D2698" s="92"/>
      <c r="E2698" s="92"/>
      <c r="F2698" s="92"/>
      <c r="G2698" s="92"/>
      <c r="H2698" s="92"/>
      <c r="I2698" s="92"/>
      <c r="J2698" s="92"/>
      <c r="K2698" s="92"/>
      <c r="L2698" s="92"/>
      <c r="M2698" s="92"/>
      <c r="N2698" s="92"/>
      <c r="O2698" s="92"/>
      <c r="P2698" s="33"/>
      <c r="Q2698" s="135">
        <f t="shared" si="475"/>
        <v>0</v>
      </c>
    </row>
    <row r="2699" spans="1:17">
      <c r="A2699" s="150"/>
      <c r="B2699" s="155" t="s">
        <v>11</v>
      </c>
      <c r="C2699" s="5" t="s">
        <v>7</v>
      </c>
      <c r="D2699" s="94"/>
      <c r="E2699" s="94"/>
      <c r="F2699" s="94"/>
      <c r="G2699" s="94"/>
      <c r="H2699" s="94"/>
      <c r="I2699" s="94"/>
      <c r="J2699" s="94"/>
      <c r="K2699" s="94"/>
      <c r="L2699" s="94"/>
      <c r="M2699" s="94"/>
      <c r="N2699" s="94"/>
      <c r="O2699" s="94"/>
      <c r="P2699" s="27"/>
      <c r="Q2699" s="136">
        <f t="shared" si="475"/>
        <v>0</v>
      </c>
    </row>
    <row r="2700" spans="1:17">
      <c r="A2700" s="150"/>
      <c r="B2700" s="153"/>
      <c r="C2700" s="6" t="s">
        <v>4</v>
      </c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32"/>
      <c r="Q2700" s="132">
        <f t="shared" si="475"/>
        <v>0</v>
      </c>
    </row>
    <row r="2701" spans="1:17">
      <c r="A2701" s="150"/>
      <c r="B2701" s="153"/>
      <c r="C2701" s="6" t="s">
        <v>17</v>
      </c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32"/>
      <c r="Q2701" s="132">
        <f t="shared" si="475"/>
        <v>0</v>
      </c>
    </row>
    <row r="2702" spans="1:17">
      <c r="A2702" s="150"/>
      <c r="B2702" s="153"/>
      <c r="C2702" s="6" t="s">
        <v>18</v>
      </c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32"/>
      <c r="Q2702" s="132">
        <f t="shared" si="475"/>
        <v>0</v>
      </c>
    </row>
    <row r="2703" spans="1:17">
      <c r="A2703" s="150"/>
      <c r="B2703" s="153"/>
      <c r="C2703" s="6" t="s">
        <v>60</v>
      </c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91"/>
      <c r="O2703" s="91"/>
      <c r="P2703" s="32"/>
      <c r="Q2703" s="135">
        <f t="shared" si="475"/>
        <v>0</v>
      </c>
    </row>
    <row r="2704" spans="1:17">
      <c r="A2704" s="150"/>
      <c r="B2704" s="155" t="s">
        <v>13</v>
      </c>
      <c r="C2704" s="5" t="s">
        <v>10</v>
      </c>
      <c r="D2704" s="94"/>
      <c r="E2704" s="94"/>
      <c r="F2704" s="94"/>
      <c r="G2704" s="94"/>
      <c r="H2704" s="94"/>
      <c r="I2704" s="94"/>
      <c r="J2704" s="94"/>
      <c r="K2704" s="94"/>
      <c r="L2704" s="94"/>
      <c r="M2704" s="94"/>
      <c r="N2704" s="94"/>
      <c r="O2704" s="94"/>
      <c r="P2704" s="27"/>
      <c r="Q2704" s="131">
        <f t="shared" si="475"/>
        <v>0</v>
      </c>
    </row>
    <row r="2705" spans="1:17">
      <c r="A2705" s="150"/>
      <c r="B2705" s="153"/>
      <c r="C2705" s="116" t="s">
        <v>55</v>
      </c>
      <c r="D2705" s="89"/>
      <c r="E2705" s="89"/>
      <c r="F2705" s="89"/>
      <c r="G2705" s="89"/>
      <c r="H2705" s="89"/>
      <c r="I2705" s="89"/>
      <c r="J2705" s="89"/>
      <c r="K2705" s="89"/>
      <c r="L2705" s="89"/>
      <c r="M2705" s="89"/>
      <c r="N2705" s="89"/>
      <c r="O2705" s="89"/>
      <c r="P2705" s="28"/>
      <c r="Q2705" s="132">
        <f t="shared" si="475"/>
        <v>0</v>
      </c>
    </row>
    <row r="2706" spans="1:17">
      <c r="A2706" s="150"/>
      <c r="B2706" s="153"/>
      <c r="C2706" s="8" t="s">
        <v>56</v>
      </c>
      <c r="D2706" s="89"/>
      <c r="E2706" s="89"/>
      <c r="F2706" s="89"/>
      <c r="G2706" s="89"/>
      <c r="H2706" s="89"/>
      <c r="I2706" s="89"/>
      <c r="J2706" s="89"/>
      <c r="K2706" s="89"/>
      <c r="L2706" s="89"/>
      <c r="M2706" s="89"/>
      <c r="N2706" s="89"/>
      <c r="O2706" s="89"/>
      <c r="P2706" s="28"/>
      <c r="Q2706" s="132">
        <f t="shared" si="475"/>
        <v>0</v>
      </c>
    </row>
    <row r="2707" spans="1:17" ht="14.25" thickBot="1">
      <c r="A2707" s="150"/>
      <c r="B2707" s="154"/>
      <c r="C2707" s="4" t="s">
        <v>61</v>
      </c>
      <c r="D2707" s="92"/>
      <c r="E2707" s="92"/>
      <c r="F2707" s="92"/>
      <c r="G2707" s="92"/>
      <c r="H2707" s="92"/>
      <c r="I2707" s="92"/>
      <c r="J2707" s="92"/>
      <c r="K2707" s="92"/>
      <c r="L2707" s="92"/>
      <c r="M2707" s="92"/>
      <c r="N2707" s="92"/>
      <c r="O2707" s="92"/>
      <c r="P2707" s="33"/>
      <c r="Q2707" s="133">
        <f t="shared" si="475"/>
        <v>0</v>
      </c>
    </row>
    <row r="2708" spans="1:17" ht="14.25" thickBot="1">
      <c r="A2708" s="150"/>
      <c r="B2708" s="156" t="s">
        <v>54</v>
      </c>
      <c r="C2708" s="157"/>
      <c r="D2708" s="56">
        <f>SUM(D2694:D2698)-SUM(D2702:D2703)</f>
        <v>0</v>
      </c>
      <c r="E2708" s="56">
        <f t="shared" ref="E2708:O2708" si="477">SUM(E2694:E2698)-SUM(E2702:E2703)</f>
        <v>0</v>
      </c>
      <c r="F2708" s="56">
        <f t="shared" si="477"/>
        <v>0</v>
      </c>
      <c r="G2708" s="56">
        <f t="shared" si="477"/>
        <v>0</v>
      </c>
      <c r="H2708" s="56">
        <f t="shared" si="477"/>
        <v>0</v>
      </c>
      <c r="I2708" s="56">
        <f t="shared" si="477"/>
        <v>0</v>
      </c>
      <c r="J2708" s="56">
        <f t="shared" si="477"/>
        <v>0</v>
      </c>
      <c r="K2708" s="56">
        <f t="shared" si="477"/>
        <v>0</v>
      </c>
      <c r="L2708" s="56">
        <f t="shared" si="477"/>
        <v>0</v>
      </c>
      <c r="M2708" s="56">
        <f t="shared" si="477"/>
        <v>0</v>
      </c>
      <c r="N2708" s="56">
        <f t="shared" si="477"/>
        <v>0</v>
      </c>
      <c r="O2708" s="56">
        <f t="shared" si="477"/>
        <v>0</v>
      </c>
      <c r="P2708" s="58">
        <f>SUM(P2692:P2698)-SUM(P2702:P2703)</f>
        <v>0</v>
      </c>
      <c r="Q2708" s="130">
        <f t="shared" si="475"/>
        <v>0</v>
      </c>
    </row>
    <row r="2709" spans="1:17" ht="14.25" thickBot="1">
      <c r="A2709" s="151"/>
      <c r="B2709" s="147" t="s">
        <v>5</v>
      </c>
      <c r="C2709" s="148"/>
      <c r="D2709" s="42">
        <f>SUM(D2694:D2698)-SUM(D2699:D2703)+SUM(D2704:D2707)</f>
        <v>0</v>
      </c>
      <c r="E2709" s="42">
        <f t="shared" ref="E2709:O2709" si="478">SUM(E2694:E2698)-SUM(E2699:E2703)+SUM(E2704:E2707)</f>
        <v>0</v>
      </c>
      <c r="F2709" s="42">
        <f t="shared" si="478"/>
        <v>0</v>
      </c>
      <c r="G2709" s="42">
        <f t="shared" si="478"/>
        <v>0</v>
      </c>
      <c r="H2709" s="42">
        <f t="shared" si="478"/>
        <v>0</v>
      </c>
      <c r="I2709" s="42">
        <f t="shared" si="478"/>
        <v>0</v>
      </c>
      <c r="J2709" s="42">
        <f t="shared" si="478"/>
        <v>0</v>
      </c>
      <c r="K2709" s="42">
        <f t="shared" si="478"/>
        <v>0</v>
      </c>
      <c r="L2709" s="42">
        <f t="shared" si="478"/>
        <v>0</v>
      </c>
      <c r="M2709" s="42">
        <f t="shared" si="478"/>
        <v>0</v>
      </c>
      <c r="N2709" s="42">
        <f t="shared" si="478"/>
        <v>0</v>
      </c>
      <c r="O2709" s="42">
        <f t="shared" si="478"/>
        <v>0</v>
      </c>
      <c r="P2709" s="44">
        <f>SUM(P2692:P2698)-SUM(P2699:P2703)+SUM(P2704:P2707)</f>
        <v>0</v>
      </c>
      <c r="Q2709" s="46">
        <f>SUM(D2709:P2709)</f>
        <v>0</v>
      </c>
    </row>
    <row r="2710" spans="1:17">
      <c r="A2710" s="149"/>
      <c r="B2710" s="152" t="s">
        <v>12</v>
      </c>
      <c r="C2710" s="114" t="s">
        <v>84</v>
      </c>
      <c r="D2710" s="87"/>
      <c r="E2710" s="87"/>
      <c r="F2710" s="87"/>
      <c r="G2710" s="87"/>
      <c r="H2710" s="87"/>
      <c r="I2710" s="87"/>
      <c r="J2710" s="87"/>
      <c r="K2710" s="87"/>
      <c r="L2710" s="87"/>
      <c r="M2710" s="87"/>
      <c r="N2710" s="87"/>
      <c r="O2710" s="87"/>
      <c r="P2710" s="30"/>
      <c r="Q2710" s="134">
        <f>SUM(D2710:P2710)</f>
        <v>0</v>
      </c>
    </row>
    <row r="2711" spans="1:17">
      <c r="A2711" s="150"/>
      <c r="B2711" s="153"/>
      <c r="C2711" s="115" t="s">
        <v>85</v>
      </c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28"/>
      <c r="Q2711" s="132">
        <f t="shared" ref="Q2711:Q2726" si="479">SUM(D2711:P2711)</f>
        <v>0</v>
      </c>
    </row>
    <row r="2712" spans="1:17">
      <c r="A2712" s="150"/>
      <c r="B2712" s="153"/>
      <c r="C2712" s="116" t="s">
        <v>86</v>
      </c>
      <c r="D2712" s="91">
        <f t="shared" ref="D2712:O2712" si="480">D2710*D2711</f>
        <v>0</v>
      </c>
      <c r="E2712" s="91">
        <f t="shared" si="480"/>
        <v>0</v>
      </c>
      <c r="F2712" s="91">
        <f t="shared" si="480"/>
        <v>0</v>
      </c>
      <c r="G2712" s="91">
        <f t="shared" si="480"/>
        <v>0</v>
      </c>
      <c r="H2712" s="91">
        <f t="shared" si="480"/>
        <v>0</v>
      </c>
      <c r="I2712" s="91">
        <f t="shared" si="480"/>
        <v>0</v>
      </c>
      <c r="J2712" s="91">
        <f t="shared" si="480"/>
        <v>0</v>
      </c>
      <c r="K2712" s="91">
        <f t="shared" si="480"/>
        <v>0</v>
      </c>
      <c r="L2712" s="91">
        <f t="shared" si="480"/>
        <v>0</v>
      </c>
      <c r="M2712" s="91">
        <f t="shared" si="480"/>
        <v>0</v>
      </c>
      <c r="N2712" s="91">
        <f t="shared" si="480"/>
        <v>0</v>
      </c>
      <c r="O2712" s="91">
        <f t="shared" si="480"/>
        <v>0</v>
      </c>
      <c r="P2712" s="32"/>
      <c r="Q2712" s="132">
        <f t="shared" si="479"/>
        <v>0</v>
      </c>
    </row>
    <row r="2713" spans="1:17">
      <c r="A2713" s="150"/>
      <c r="B2713" s="153"/>
      <c r="C2713" s="117" t="s">
        <v>9</v>
      </c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91"/>
      <c r="O2713" s="91"/>
      <c r="P2713" s="32"/>
      <c r="Q2713" s="132">
        <f t="shared" si="479"/>
        <v>0</v>
      </c>
    </row>
    <row r="2714" spans="1:17">
      <c r="A2714" s="150"/>
      <c r="B2714" s="153"/>
      <c r="C2714" s="117" t="s">
        <v>38</v>
      </c>
      <c r="D2714" s="89"/>
      <c r="E2714" s="89"/>
      <c r="F2714" s="89"/>
      <c r="G2714" s="89"/>
      <c r="H2714" s="89"/>
      <c r="I2714" s="89"/>
      <c r="J2714" s="89"/>
      <c r="K2714" s="89"/>
      <c r="L2714" s="89"/>
      <c r="M2714" s="89"/>
      <c r="N2714" s="89"/>
      <c r="O2714" s="89"/>
      <c r="P2714" s="28"/>
      <c r="Q2714" s="132">
        <f t="shared" si="479"/>
        <v>0</v>
      </c>
    </row>
    <row r="2715" spans="1:17">
      <c r="A2715" s="150"/>
      <c r="B2715" s="153"/>
      <c r="C2715" s="62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91"/>
      <c r="O2715" s="91"/>
      <c r="P2715" s="32"/>
      <c r="Q2715" s="132">
        <f t="shared" si="479"/>
        <v>0</v>
      </c>
    </row>
    <row r="2716" spans="1:17">
      <c r="A2716" s="150"/>
      <c r="B2716" s="154"/>
      <c r="C2716" s="6" t="s">
        <v>42</v>
      </c>
      <c r="D2716" s="92"/>
      <c r="E2716" s="92"/>
      <c r="F2716" s="92"/>
      <c r="G2716" s="92"/>
      <c r="H2716" s="92"/>
      <c r="I2716" s="92"/>
      <c r="J2716" s="92"/>
      <c r="K2716" s="92"/>
      <c r="L2716" s="92"/>
      <c r="M2716" s="92"/>
      <c r="N2716" s="92"/>
      <c r="O2716" s="92"/>
      <c r="P2716" s="33"/>
      <c r="Q2716" s="135">
        <f t="shared" si="479"/>
        <v>0</v>
      </c>
    </row>
    <row r="2717" spans="1:17">
      <c r="A2717" s="150"/>
      <c r="B2717" s="155" t="s">
        <v>11</v>
      </c>
      <c r="C2717" s="5" t="s">
        <v>7</v>
      </c>
      <c r="D2717" s="94"/>
      <c r="E2717" s="94"/>
      <c r="F2717" s="94"/>
      <c r="G2717" s="94"/>
      <c r="H2717" s="94"/>
      <c r="I2717" s="94"/>
      <c r="J2717" s="94"/>
      <c r="K2717" s="94"/>
      <c r="L2717" s="94"/>
      <c r="M2717" s="94"/>
      <c r="N2717" s="94"/>
      <c r="O2717" s="94"/>
      <c r="P2717" s="27"/>
      <c r="Q2717" s="136">
        <f t="shared" si="479"/>
        <v>0</v>
      </c>
    </row>
    <row r="2718" spans="1:17">
      <c r="A2718" s="150"/>
      <c r="B2718" s="153"/>
      <c r="C2718" s="6" t="s">
        <v>4</v>
      </c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32"/>
      <c r="Q2718" s="132">
        <f t="shared" si="479"/>
        <v>0</v>
      </c>
    </row>
    <row r="2719" spans="1:17">
      <c r="A2719" s="150"/>
      <c r="B2719" s="153"/>
      <c r="C2719" s="6" t="s">
        <v>17</v>
      </c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32"/>
      <c r="Q2719" s="132">
        <f t="shared" si="479"/>
        <v>0</v>
      </c>
    </row>
    <row r="2720" spans="1:17">
      <c r="A2720" s="150"/>
      <c r="B2720" s="153"/>
      <c r="C2720" s="6" t="s">
        <v>18</v>
      </c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32"/>
      <c r="Q2720" s="132">
        <f t="shared" si="479"/>
        <v>0</v>
      </c>
    </row>
    <row r="2721" spans="1:17">
      <c r="A2721" s="150"/>
      <c r="B2721" s="153"/>
      <c r="C2721" s="6" t="s">
        <v>60</v>
      </c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32"/>
      <c r="Q2721" s="135">
        <f t="shared" si="479"/>
        <v>0</v>
      </c>
    </row>
    <row r="2722" spans="1:17">
      <c r="A2722" s="150"/>
      <c r="B2722" s="155" t="s">
        <v>13</v>
      </c>
      <c r="C2722" s="5" t="s">
        <v>10</v>
      </c>
      <c r="D2722" s="94"/>
      <c r="E2722" s="94"/>
      <c r="F2722" s="94"/>
      <c r="G2722" s="94"/>
      <c r="H2722" s="94"/>
      <c r="I2722" s="94"/>
      <c r="J2722" s="94"/>
      <c r="K2722" s="94"/>
      <c r="L2722" s="94"/>
      <c r="M2722" s="94"/>
      <c r="N2722" s="94"/>
      <c r="O2722" s="94"/>
      <c r="P2722" s="27"/>
      <c r="Q2722" s="131">
        <f t="shared" si="479"/>
        <v>0</v>
      </c>
    </row>
    <row r="2723" spans="1:17">
      <c r="A2723" s="150"/>
      <c r="B2723" s="153"/>
      <c r="C2723" s="116" t="s">
        <v>55</v>
      </c>
      <c r="D2723" s="89"/>
      <c r="E2723" s="89"/>
      <c r="F2723" s="89"/>
      <c r="G2723" s="89"/>
      <c r="H2723" s="89"/>
      <c r="I2723" s="89"/>
      <c r="J2723" s="89"/>
      <c r="K2723" s="89"/>
      <c r="L2723" s="89"/>
      <c r="M2723" s="89"/>
      <c r="N2723" s="89"/>
      <c r="O2723" s="89"/>
      <c r="P2723" s="28"/>
      <c r="Q2723" s="132">
        <f t="shared" si="479"/>
        <v>0</v>
      </c>
    </row>
    <row r="2724" spans="1:17">
      <c r="A2724" s="150"/>
      <c r="B2724" s="153"/>
      <c r="C2724" s="8" t="s">
        <v>56</v>
      </c>
      <c r="D2724" s="89"/>
      <c r="E2724" s="89"/>
      <c r="F2724" s="89"/>
      <c r="G2724" s="89"/>
      <c r="H2724" s="89"/>
      <c r="I2724" s="89"/>
      <c r="J2724" s="89"/>
      <c r="K2724" s="89"/>
      <c r="L2724" s="89"/>
      <c r="M2724" s="89"/>
      <c r="N2724" s="89"/>
      <c r="O2724" s="89"/>
      <c r="P2724" s="28"/>
      <c r="Q2724" s="132">
        <f t="shared" si="479"/>
        <v>0</v>
      </c>
    </row>
    <row r="2725" spans="1:17" ht="14.25" thickBot="1">
      <c r="A2725" s="150"/>
      <c r="B2725" s="154"/>
      <c r="C2725" s="4" t="s">
        <v>61</v>
      </c>
      <c r="D2725" s="92"/>
      <c r="E2725" s="92"/>
      <c r="F2725" s="92"/>
      <c r="G2725" s="92"/>
      <c r="H2725" s="92"/>
      <c r="I2725" s="92"/>
      <c r="J2725" s="92"/>
      <c r="K2725" s="92"/>
      <c r="L2725" s="92"/>
      <c r="M2725" s="92"/>
      <c r="N2725" s="92"/>
      <c r="O2725" s="92"/>
      <c r="P2725" s="33"/>
      <c r="Q2725" s="133">
        <f t="shared" si="479"/>
        <v>0</v>
      </c>
    </row>
    <row r="2726" spans="1:17" ht="14.25" thickBot="1">
      <c r="A2726" s="150"/>
      <c r="B2726" s="156" t="s">
        <v>54</v>
      </c>
      <c r="C2726" s="157"/>
      <c r="D2726" s="56">
        <f>SUM(D2712:D2716)-SUM(D2720:D2721)</f>
        <v>0</v>
      </c>
      <c r="E2726" s="56">
        <f t="shared" ref="E2726:O2726" si="481">SUM(E2712:E2716)-SUM(E2720:E2721)</f>
        <v>0</v>
      </c>
      <c r="F2726" s="56">
        <f t="shared" si="481"/>
        <v>0</v>
      </c>
      <c r="G2726" s="56">
        <f t="shared" si="481"/>
        <v>0</v>
      </c>
      <c r="H2726" s="56">
        <f t="shared" si="481"/>
        <v>0</v>
      </c>
      <c r="I2726" s="56">
        <f t="shared" si="481"/>
        <v>0</v>
      </c>
      <c r="J2726" s="56">
        <f t="shared" si="481"/>
        <v>0</v>
      </c>
      <c r="K2726" s="56">
        <f t="shared" si="481"/>
        <v>0</v>
      </c>
      <c r="L2726" s="56">
        <f t="shared" si="481"/>
        <v>0</v>
      </c>
      <c r="M2726" s="56">
        <f t="shared" si="481"/>
        <v>0</v>
      </c>
      <c r="N2726" s="56">
        <f t="shared" si="481"/>
        <v>0</v>
      </c>
      <c r="O2726" s="56">
        <f t="shared" si="481"/>
        <v>0</v>
      </c>
      <c r="P2726" s="58">
        <f>SUM(P2710:P2716)-SUM(P2720:P2721)</f>
        <v>0</v>
      </c>
      <c r="Q2726" s="130">
        <f t="shared" si="479"/>
        <v>0</v>
      </c>
    </row>
    <row r="2727" spans="1:17" ht="14.25" thickBot="1">
      <c r="A2727" s="151"/>
      <c r="B2727" s="147" t="s">
        <v>5</v>
      </c>
      <c r="C2727" s="148"/>
      <c r="D2727" s="42">
        <f>SUM(D2712:D2716)-SUM(D2717:D2721)+SUM(D2722:D2725)</f>
        <v>0</v>
      </c>
      <c r="E2727" s="42">
        <f t="shared" ref="E2727:O2727" si="482">SUM(E2712:E2716)-SUM(E2717:E2721)+SUM(E2722:E2725)</f>
        <v>0</v>
      </c>
      <c r="F2727" s="42">
        <f t="shared" si="482"/>
        <v>0</v>
      </c>
      <c r="G2727" s="42">
        <f t="shared" si="482"/>
        <v>0</v>
      </c>
      <c r="H2727" s="42">
        <f t="shared" si="482"/>
        <v>0</v>
      </c>
      <c r="I2727" s="42">
        <f t="shared" si="482"/>
        <v>0</v>
      </c>
      <c r="J2727" s="42">
        <f t="shared" si="482"/>
        <v>0</v>
      </c>
      <c r="K2727" s="42">
        <f t="shared" si="482"/>
        <v>0</v>
      </c>
      <c r="L2727" s="42">
        <f t="shared" si="482"/>
        <v>0</v>
      </c>
      <c r="M2727" s="42">
        <f t="shared" si="482"/>
        <v>0</v>
      </c>
      <c r="N2727" s="42">
        <f t="shared" si="482"/>
        <v>0</v>
      </c>
      <c r="O2727" s="42">
        <f t="shared" si="482"/>
        <v>0</v>
      </c>
      <c r="P2727" s="44">
        <f>SUM(P2710:P2716)-SUM(P2717:P2721)+SUM(P2722:P2725)</f>
        <v>0</v>
      </c>
      <c r="Q2727" s="46">
        <f>SUM(D2727:P2727)</f>
        <v>0</v>
      </c>
    </row>
    <row r="2728" spans="1:17">
      <c r="A2728" s="149"/>
      <c r="B2728" s="152" t="s">
        <v>12</v>
      </c>
      <c r="C2728" s="114" t="s">
        <v>84</v>
      </c>
      <c r="D2728" s="87"/>
      <c r="E2728" s="87"/>
      <c r="F2728" s="87"/>
      <c r="G2728" s="87"/>
      <c r="H2728" s="87"/>
      <c r="I2728" s="87"/>
      <c r="J2728" s="87"/>
      <c r="K2728" s="87"/>
      <c r="L2728" s="87"/>
      <c r="M2728" s="87"/>
      <c r="N2728" s="87"/>
      <c r="O2728" s="87"/>
      <c r="P2728" s="30"/>
      <c r="Q2728" s="134">
        <f>SUM(D2728:P2728)</f>
        <v>0</v>
      </c>
    </row>
    <row r="2729" spans="1:17">
      <c r="A2729" s="150"/>
      <c r="B2729" s="153"/>
      <c r="C2729" s="115" t="s">
        <v>85</v>
      </c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28"/>
      <c r="Q2729" s="132">
        <f t="shared" ref="Q2729:Q2744" si="483">SUM(D2729:P2729)</f>
        <v>0</v>
      </c>
    </row>
    <row r="2730" spans="1:17">
      <c r="A2730" s="150"/>
      <c r="B2730" s="153"/>
      <c r="C2730" s="116" t="s">
        <v>86</v>
      </c>
      <c r="D2730" s="91">
        <f t="shared" ref="D2730:O2730" si="484">D2728*D2729</f>
        <v>0</v>
      </c>
      <c r="E2730" s="91">
        <f t="shared" si="484"/>
        <v>0</v>
      </c>
      <c r="F2730" s="91">
        <f t="shared" si="484"/>
        <v>0</v>
      </c>
      <c r="G2730" s="91">
        <f t="shared" si="484"/>
        <v>0</v>
      </c>
      <c r="H2730" s="91">
        <f t="shared" si="484"/>
        <v>0</v>
      </c>
      <c r="I2730" s="91">
        <f t="shared" si="484"/>
        <v>0</v>
      </c>
      <c r="J2730" s="91">
        <f t="shared" si="484"/>
        <v>0</v>
      </c>
      <c r="K2730" s="91">
        <f t="shared" si="484"/>
        <v>0</v>
      </c>
      <c r="L2730" s="91">
        <f t="shared" si="484"/>
        <v>0</v>
      </c>
      <c r="M2730" s="91">
        <f t="shared" si="484"/>
        <v>0</v>
      </c>
      <c r="N2730" s="91">
        <f t="shared" si="484"/>
        <v>0</v>
      </c>
      <c r="O2730" s="91">
        <f t="shared" si="484"/>
        <v>0</v>
      </c>
      <c r="P2730" s="32"/>
      <c r="Q2730" s="132">
        <f t="shared" si="483"/>
        <v>0</v>
      </c>
    </row>
    <row r="2731" spans="1:17">
      <c r="A2731" s="150"/>
      <c r="B2731" s="153"/>
      <c r="C2731" s="117" t="s">
        <v>9</v>
      </c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32"/>
      <c r="Q2731" s="132">
        <f t="shared" si="483"/>
        <v>0</v>
      </c>
    </row>
    <row r="2732" spans="1:17">
      <c r="A2732" s="150"/>
      <c r="B2732" s="153"/>
      <c r="C2732" s="117" t="s">
        <v>38</v>
      </c>
      <c r="D2732" s="89"/>
      <c r="E2732" s="89"/>
      <c r="F2732" s="89"/>
      <c r="G2732" s="89"/>
      <c r="H2732" s="89"/>
      <c r="I2732" s="89"/>
      <c r="J2732" s="89"/>
      <c r="K2732" s="89"/>
      <c r="L2732" s="89"/>
      <c r="M2732" s="89"/>
      <c r="N2732" s="89"/>
      <c r="O2732" s="89"/>
      <c r="P2732" s="28"/>
      <c r="Q2732" s="132">
        <f t="shared" si="483"/>
        <v>0</v>
      </c>
    </row>
    <row r="2733" spans="1:17">
      <c r="A2733" s="150"/>
      <c r="B2733" s="153"/>
      <c r="C2733" s="62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91"/>
      <c r="O2733" s="91"/>
      <c r="P2733" s="32"/>
      <c r="Q2733" s="132">
        <f t="shared" si="483"/>
        <v>0</v>
      </c>
    </row>
    <row r="2734" spans="1:17">
      <c r="A2734" s="150"/>
      <c r="B2734" s="154"/>
      <c r="C2734" s="6" t="s">
        <v>42</v>
      </c>
      <c r="D2734" s="92"/>
      <c r="E2734" s="92"/>
      <c r="F2734" s="92"/>
      <c r="G2734" s="92"/>
      <c r="H2734" s="92"/>
      <c r="I2734" s="92"/>
      <c r="J2734" s="92"/>
      <c r="K2734" s="92"/>
      <c r="L2734" s="92"/>
      <c r="M2734" s="92"/>
      <c r="N2734" s="92"/>
      <c r="O2734" s="92"/>
      <c r="P2734" s="33"/>
      <c r="Q2734" s="135">
        <f t="shared" si="483"/>
        <v>0</v>
      </c>
    </row>
    <row r="2735" spans="1:17">
      <c r="A2735" s="150"/>
      <c r="B2735" s="155" t="s">
        <v>11</v>
      </c>
      <c r="C2735" s="5" t="s">
        <v>7</v>
      </c>
      <c r="D2735" s="94"/>
      <c r="E2735" s="94"/>
      <c r="F2735" s="94"/>
      <c r="G2735" s="94"/>
      <c r="H2735" s="94"/>
      <c r="I2735" s="94"/>
      <c r="J2735" s="94"/>
      <c r="K2735" s="94"/>
      <c r="L2735" s="94"/>
      <c r="M2735" s="94"/>
      <c r="N2735" s="94"/>
      <c r="O2735" s="94"/>
      <c r="P2735" s="27"/>
      <c r="Q2735" s="136">
        <f t="shared" si="483"/>
        <v>0</v>
      </c>
    </row>
    <row r="2736" spans="1:17">
      <c r="A2736" s="150"/>
      <c r="B2736" s="153"/>
      <c r="C2736" s="6" t="s">
        <v>4</v>
      </c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32"/>
      <c r="Q2736" s="132">
        <f t="shared" si="483"/>
        <v>0</v>
      </c>
    </row>
    <row r="2737" spans="1:17">
      <c r="A2737" s="150"/>
      <c r="B2737" s="153"/>
      <c r="C2737" s="6" t="s">
        <v>17</v>
      </c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91"/>
      <c r="O2737" s="91"/>
      <c r="P2737" s="32"/>
      <c r="Q2737" s="132">
        <f t="shared" si="483"/>
        <v>0</v>
      </c>
    </row>
    <row r="2738" spans="1:17">
      <c r="A2738" s="150"/>
      <c r="B2738" s="153"/>
      <c r="C2738" s="6" t="s">
        <v>18</v>
      </c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32"/>
      <c r="Q2738" s="132">
        <f t="shared" si="483"/>
        <v>0</v>
      </c>
    </row>
    <row r="2739" spans="1:17">
      <c r="A2739" s="150"/>
      <c r="B2739" s="153"/>
      <c r="C2739" s="6" t="s">
        <v>60</v>
      </c>
      <c r="D2739" s="91"/>
      <c r="E2739" s="91"/>
      <c r="F2739" s="91"/>
      <c r="G2739" s="91"/>
      <c r="H2739" s="91"/>
      <c r="I2739" s="91"/>
      <c r="J2739" s="91"/>
      <c r="K2739" s="91"/>
      <c r="L2739" s="91"/>
      <c r="M2739" s="91"/>
      <c r="N2739" s="91"/>
      <c r="O2739" s="91"/>
      <c r="P2739" s="32"/>
      <c r="Q2739" s="135">
        <f t="shared" si="483"/>
        <v>0</v>
      </c>
    </row>
    <row r="2740" spans="1:17">
      <c r="A2740" s="150"/>
      <c r="B2740" s="155" t="s">
        <v>13</v>
      </c>
      <c r="C2740" s="5" t="s">
        <v>10</v>
      </c>
      <c r="D2740" s="94"/>
      <c r="E2740" s="94"/>
      <c r="F2740" s="94"/>
      <c r="G2740" s="94"/>
      <c r="H2740" s="94"/>
      <c r="I2740" s="94"/>
      <c r="J2740" s="94"/>
      <c r="K2740" s="94"/>
      <c r="L2740" s="94"/>
      <c r="M2740" s="94"/>
      <c r="N2740" s="94"/>
      <c r="O2740" s="94"/>
      <c r="P2740" s="27"/>
      <c r="Q2740" s="131">
        <f t="shared" si="483"/>
        <v>0</v>
      </c>
    </row>
    <row r="2741" spans="1:17">
      <c r="A2741" s="150"/>
      <c r="B2741" s="153"/>
      <c r="C2741" s="116" t="s">
        <v>55</v>
      </c>
      <c r="D2741" s="89"/>
      <c r="E2741" s="89"/>
      <c r="F2741" s="89"/>
      <c r="G2741" s="89"/>
      <c r="H2741" s="89"/>
      <c r="I2741" s="89"/>
      <c r="J2741" s="89"/>
      <c r="K2741" s="89"/>
      <c r="L2741" s="89"/>
      <c r="M2741" s="89"/>
      <c r="N2741" s="89"/>
      <c r="O2741" s="89"/>
      <c r="P2741" s="28"/>
      <c r="Q2741" s="132">
        <f t="shared" si="483"/>
        <v>0</v>
      </c>
    </row>
    <row r="2742" spans="1:17">
      <c r="A2742" s="150"/>
      <c r="B2742" s="153"/>
      <c r="C2742" s="8" t="s">
        <v>56</v>
      </c>
      <c r="D2742" s="89"/>
      <c r="E2742" s="89"/>
      <c r="F2742" s="89"/>
      <c r="G2742" s="89"/>
      <c r="H2742" s="89"/>
      <c r="I2742" s="89"/>
      <c r="J2742" s="89"/>
      <c r="K2742" s="89"/>
      <c r="L2742" s="89"/>
      <c r="M2742" s="89"/>
      <c r="N2742" s="89"/>
      <c r="O2742" s="89"/>
      <c r="P2742" s="28"/>
      <c r="Q2742" s="132">
        <f t="shared" si="483"/>
        <v>0</v>
      </c>
    </row>
    <row r="2743" spans="1:17" ht="14.25" thickBot="1">
      <c r="A2743" s="150"/>
      <c r="B2743" s="154"/>
      <c r="C2743" s="4" t="s">
        <v>61</v>
      </c>
      <c r="D2743" s="92"/>
      <c r="E2743" s="92"/>
      <c r="F2743" s="92"/>
      <c r="G2743" s="92"/>
      <c r="H2743" s="92"/>
      <c r="I2743" s="92"/>
      <c r="J2743" s="92"/>
      <c r="K2743" s="92"/>
      <c r="L2743" s="92"/>
      <c r="M2743" s="92"/>
      <c r="N2743" s="92"/>
      <c r="O2743" s="92"/>
      <c r="P2743" s="33"/>
      <c r="Q2743" s="133">
        <f t="shared" si="483"/>
        <v>0</v>
      </c>
    </row>
    <row r="2744" spans="1:17" ht="14.25" thickBot="1">
      <c r="A2744" s="150"/>
      <c r="B2744" s="156" t="s">
        <v>54</v>
      </c>
      <c r="C2744" s="157"/>
      <c r="D2744" s="56">
        <f>SUM(D2730:D2734)-SUM(D2738:D2739)</f>
        <v>0</v>
      </c>
      <c r="E2744" s="56">
        <f t="shared" ref="E2744:O2744" si="485">SUM(E2730:E2734)-SUM(E2738:E2739)</f>
        <v>0</v>
      </c>
      <c r="F2744" s="56">
        <f t="shared" si="485"/>
        <v>0</v>
      </c>
      <c r="G2744" s="56">
        <f t="shared" si="485"/>
        <v>0</v>
      </c>
      <c r="H2744" s="56">
        <f t="shared" si="485"/>
        <v>0</v>
      </c>
      <c r="I2744" s="56">
        <f t="shared" si="485"/>
        <v>0</v>
      </c>
      <c r="J2744" s="56">
        <f t="shared" si="485"/>
        <v>0</v>
      </c>
      <c r="K2744" s="56">
        <f t="shared" si="485"/>
        <v>0</v>
      </c>
      <c r="L2744" s="56">
        <f t="shared" si="485"/>
        <v>0</v>
      </c>
      <c r="M2744" s="56">
        <f t="shared" si="485"/>
        <v>0</v>
      </c>
      <c r="N2744" s="56">
        <f t="shared" si="485"/>
        <v>0</v>
      </c>
      <c r="O2744" s="56">
        <f t="shared" si="485"/>
        <v>0</v>
      </c>
      <c r="P2744" s="58">
        <f>SUM(P2728:P2734)-SUM(P2738:P2739)</f>
        <v>0</v>
      </c>
      <c r="Q2744" s="130">
        <f t="shared" si="483"/>
        <v>0</v>
      </c>
    </row>
    <row r="2745" spans="1:17" ht="14.25" thickBot="1">
      <c r="A2745" s="151"/>
      <c r="B2745" s="147" t="s">
        <v>5</v>
      </c>
      <c r="C2745" s="148"/>
      <c r="D2745" s="42">
        <f>SUM(D2730:D2734)-SUM(D2735:D2739)+SUM(D2740:D2743)</f>
        <v>0</v>
      </c>
      <c r="E2745" s="42">
        <f t="shared" ref="E2745:O2745" si="486">SUM(E2730:E2734)-SUM(E2735:E2739)+SUM(E2740:E2743)</f>
        <v>0</v>
      </c>
      <c r="F2745" s="42">
        <f t="shared" si="486"/>
        <v>0</v>
      </c>
      <c r="G2745" s="42">
        <f t="shared" si="486"/>
        <v>0</v>
      </c>
      <c r="H2745" s="42">
        <f t="shared" si="486"/>
        <v>0</v>
      </c>
      <c r="I2745" s="42">
        <f t="shared" si="486"/>
        <v>0</v>
      </c>
      <c r="J2745" s="42">
        <f t="shared" si="486"/>
        <v>0</v>
      </c>
      <c r="K2745" s="42">
        <f t="shared" si="486"/>
        <v>0</v>
      </c>
      <c r="L2745" s="42">
        <f t="shared" si="486"/>
        <v>0</v>
      </c>
      <c r="M2745" s="42">
        <f t="shared" si="486"/>
        <v>0</v>
      </c>
      <c r="N2745" s="42">
        <f t="shared" si="486"/>
        <v>0</v>
      </c>
      <c r="O2745" s="42">
        <f t="shared" si="486"/>
        <v>0</v>
      </c>
      <c r="P2745" s="44">
        <f>SUM(P2728:P2734)-SUM(P2735:P2739)+SUM(P2740:P2743)</f>
        <v>0</v>
      </c>
      <c r="Q2745" s="46">
        <f>SUM(D2745:P2745)</f>
        <v>0</v>
      </c>
    </row>
    <row r="2746" spans="1:17">
      <c r="A2746" s="149"/>
      <c r="B2746" s="152" t="s">
        <v>12</v>
      </c>
      <c r="C2746" s="114" t="s">
        <v>84</v>
      </c>
      <c r="D2746" s="87"/>
      <c r="E2746" s="87"/>
      <c r="F2746" s="87"/>
      <c r="G2746" s="87"/>
      <c r="H2746" s="87"/>
      <c r="I2746" s="87"/>
      <c r="J2746" s="87"/>
      <c r="K2746" s="87"/>
      <c r="L2746" s="87"/>
      <c r="M2746" s="87"/>
      <c r="N2746" s="87"/>
      <c r="O2746" s="87"/>
      <c r="P2746" s="30"/>
      <c r="Q2746" s="134">
        <f>SUM(D2746:P2746)</f>
        <v>0</v>
      </c>
    </row>
    <row r="2747" spans="1:17">
      <c r="A2747" s="150"/>
      <c r="B2747" s="153"/>
      <c r="C2747" s="115" t="s">
        <v>85</v>
      </c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28"/>
      <c r="Q2747" s="132">
        <f t="shared" ref="Q2747:Q2762" si="487">SUM(D2747:P2747)</f>
        <v>0</v>
      </c>
    </row>
    <row r="2748" spans="1:17">
      <c r="A2748" s="150"/>
      <c r="B2748" s="153"/>
      <c r="C2748" s="116" t="s">
        <v>86</v>
      </c>
      <c r="D2748" s="91">
        <f t="shared" ref="D2748:O2748" si="488">D2746*D2747</f>
        <v>0</v>
      </c>
      <c r="E2748" s="91">
        <f t="shared" si="488"/>
        <v>0</v>
      </c>
      <c r="F2748" s="91">
        <f t="shared" si="488"/>
        <v>0</v>
      </c>
      <c r="G2748" s="91">
        <f t="shared" si="488"/>
        <v>0</v>
      </c>
      <c r="H2748" s="91">
        <f t="shared" si="488"/>
        <v>0</v>
      </c>
      <c r="I2748" s="91">
        <f t="shared" si="488"/>
        <v>0</v>
      </c>
      <c r="J2748" s="91">
        <f t="shared" si="488"/>
        <v>0</v>
      </c>
      <c r="K2748" s="91">
        <f t="shared" si="488"/>
        <v>0</v>
      </c>
      <c r="L2748" s="91">
        <f t="shared" si="488"/>
        <v>0</v>
      </c>
      <c r="M2748" s="91">
        <f t="shared" si="488"/>
        <v>0</v>
      </c>
      <c r="N2748" s="91">
        <f t="shared" si="488"/>
        <v>0</v>
      </c>
      <c r="O2748" s="91">
        <f t="shared" si="488"/>
        <v>0</v>
      </c>
      <c r="P2748" s="32"/>
      <c r="Q2748" s="132">
        <f t="shared" si="487"/>
        <v>0</v>
      </c>
    </row>
    <row r="2749" spans="1:17">
      <c r="A2749" s="150"/>
      <c r="B2749" s="153"/>
      <c r="C2749" s="117" t="s">
        <v>9</v>
      </c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32"/>
      <c r="Q2749" s="132">
        <f t="shared" si="487"/>
        <v>0</v>
      </c>
    </row>
    <row r="2750" spans="1:17">
      <c r="A2750" s="150"/>
      <c r="B2750" s="153"/>
      <c r="C2750" s="117" t="s">
        <v>38</v>
      </c>
      <c r="D2750" s="89"/>
      <c r="E2750" s="89"/>
      <c r="F2750" s="89"/>
      <c r="G2750" s="89"/>
      <c r="H2750" s="89"/>
      <c r="I2750" s="89"/>
      <c r="J2750" s="89"/>
      <c r="K2750" s="89"/>
      <c r="L2750" s="89"/>
      <c r="M2750" s="89"/>
      <c r="N2750" s="89"/>
      <c r="O2750" s="89"/>
      <c r="P2750" s="28"/>
      <c r="Q2750" s="132">
        <f t="shared" si="487"/>
        <v>0</v>
      </c>
    </row>
    <row r="2751" spans="1:17">
      <c r="A2751" s="150"/>
      <c r="B2751" s="153"/>
      <c r="C2751" s="62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32"/>
      <c r="Q2751" s="132">
        <f t="shared" si="487"/>
        <v>0</v>
      </c>
    </row>
    <row r="2752" spans="1:17">
      <c r="A2752" s="150"/>
      <c r="B2752" s="154"/>
      <c r="C2752" s="6" t="s">
        <v>42</v>
      </c>
      <c r="D2752" s="92"/>
      <c r="E2752" s="92"/>
      <c r="F2752" s="92"/>
      <c r="G2752" s="92"/>
      <c r="H2752" s="92"/>
      <c r="I2752" s="92"/>
      <c r="J2752" s="92"/>
      <c r="K2752" s="92"/>
      <c r="L2752" s="92"/>
      <c r="M2752" s="92"/>
      <c r="N2752" s="92"/>
      <c r="O2752" s="92"/>
      <c r="P2752" s="33"/>
      <c r="Q2752" s="135">
        <f t="shared" si="487"/>
        <v>0</v>
      </c>
    </row>
    <row r="2753" spans="1:17">
      <c r="A2753" s="150"/>
      <c r="B2753" s="155" t="s">
        <v>11</v>
      </c>
      <c r="C2753" s="5" t="s">
        <v>7</v>
      </c>
      <c r="D2753" s="94"/>
      <c r="E2753" s="94"/>
      <c r="F2753" s="94"/>
      <c r="G2753" s="94"/>
      <c r="H2753" s="94"/>
      <c r="I2753" s="94"/>
      <c r="J2753" s="94"/>
      <c r="K2753" s="94"/>
      <c r="L2753" s="94"/>
      <c r="M2753" s="94"/>
      <c r="N2753" s="94"/>
      <c r="O2753" s="94"/>
      <c r="P2753" s="27"/>
      <c r="Q2753" s="136">
        <f t="shared" si="487"/>
        <v>0</v>
      </c>
    </row>
    <row r="2754" spans="1:17">
      <c r="A2754" s="150"/>
      <c r="B2754" s="153"/>
      <c r="C2754" s="6" t="s">
        <v>4</v>
      </c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32"/>
      <c r="Q2754" s="132">
        <f t="shared" si="487"/>
        <v>0</v>
      </c>
    </row>
    <row r="2755" spans="1:17">
      <c r="A2755" s="150"/>
      <c r="B2755" s="153"/>
      <c r="C2755" s="6" t="s">
        <v>17</v>
      </c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32"/>
      <c r="Q2755" s="132">
        <f t="shared" si="487"/>
        <v>0</v>
      </c>
    </row>
    <row r="2756" spans="1:17">
      <c r="A2756" s="150"/>
      <c r="B2756" s="153"/>
      <c r="C2756" s="6" t="s">
        <v>18</v>
      </c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32"/>
      <c r="Q2756" s="132">
        <f t="shared" si="487"/>
        <v>0</v>
      </c>
    </row>
    <row r="2757" spans="1:17">
      <c r="A2757" s="150"/>
      <c r="B2757" s="153"/>
      <c r="C2757" s="6" t="s">
        <v>60</v>
      </c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32"/>
      <c r="Q2757" s="135">
        <f t="shared" si="487"/>
        <v>0</v>
      </c>
    </row>
    <row r="2758" spans="1:17">
      <c r="A2758" s="150"/>
      <c r="B2758" s="155" t="s">
        <v>13</v>
      </c>
      <c r="C2758" s="5" t="s">
        <v>10</v>
      </c>
      <c r="D2758" s="94"/>
      <c r="E2758" s="94"/>
      <c r="F2758" s="94"/>
      <c r="G2758" s="94"/>
      <c r="H2758" s="94"/>
      <c r="I2758" s="94"/>
      <c r="J2758" s="94"/>
      <c r="K2758" s="94"/>
      <c r="L2758" s="94"/>
      <c r="M2758" s="94"/>
      <c r="N2758" s="94"/>
      <c r="O2758" s="94"/>
      <c r="P2758" s="27"/>
      <c r="Q2758" s="131">
        <f t="shared" si="487"/>
        <v>0</v>
      </c>
    </row>
    <row r="2759" spans="1:17">
      <c r="A2759" s="150"/>
      <c r="B2759" s="153"/>
      <c r="C2759" s="116" t="s">
        <v>55</v>
      </c>
      <c r="D2759" s="89"/>
      <c r="E2759" s="89"/>
      <c r="F2759" s="89"/>
      <c r="G2759" s="89"/>
      <c r="H2759" s="89"/>
      <c r="I2759" s="89"/>
      <c r="J2759" s="89"/>
      <c r="K2759" s="89"/>
      <c r="L2759" s="89"/>
      <c r="M2759" s="89"/>
      <c r="N2759" s="89"/>
      <c r="O2759" s="89"/>
      <c r="P2759" s="28"/>
      <c r="Q2759" s="132">
        <f t="shared" si="487"/>
        <v>0</v>
      </c>
    </row>
    <row r="2760" spans="1:17">
      <c r="A2760" s="150"/>
      <c r="B2760" s="153"/>
      <c r="C2760" s="8" t="s">
        <v>56</v>
      </c>
      <c r="D2760" s="89"/>
      <c r="E2760" s="89"/>
      <c r="F2760" s="89"/>
      <c r="G2760" s="89"/>
      <c r="H2760" s="89"/>
      <c r="I2760" s="89"/>
      <c r="J2760" s="89"/>
      <c r="K2760" s="89"/>
      <c r="L2760" s="89"/>
      <c r="M2760" s="89"/>
      <c r="N2760" s="89"/>
      <c r="O2760" s="89"/>
      <c r="P2760" s="28"/>
      <c r="Q2760" s="132">
        <f t="shared" si="487"/>
        <v>0</v>
      </c>
    </row>
    <row r="2761" spans="1:17" ht="14.25" thickBot="1">
      <c r="A2761" s="150"/>
      <c r="B2761" s="154"/>
      <c r="C2761" s="4" t="s">
        <v>61</v>
      </c>
      <c r="D2761" s="92"/>
      <c r="E2761" s="92"/>
      <c r="F2761" s="92"/>
      <c r="G2761" s="92"/>
      <c r="H2761" s="92"/>
      <c r="I2761" s="92"/>
      <c r="J2761" s="92"/>
      <c r="K2761" s="92"/>
      <c r="L2761" s="92"/>
      <c r="M2761" s="92"/>
      <c r="N2761" s="92"/>
      <c r="O2761" s="92"/>
      <c r="P2761" s="33"/>
      <c r="Q2761" s="133">
        <f t="shared" si="487"/>
        <v>0</v>
      </c>
    </row>
    <row r="2762" spans="1:17" ht="14.25" thickBot="1">
      <c r="A2762" s="150"/>
      <c r="B2762" s="156" t="s">
        <v>54</v>
      </c>
      <c r="C2762" s="157"/>
      <c r="D2762" s="56">
        <f>SUM(D2748:D2752)-SUM(D2756:D2757)</f>
        <v>0</v>
      </c>
      <c r="E2762" s="56">
        <f t="shared" ref="E2762:O2762" si="489">SUM(E2748:E2752)-SUM(E2756:E2757)</f>
        <v>0</v>
      </c>
      <c r="F2762" s="56">
        <f t="shared" si="489"/>
        <v>0</v>
      </c>
      <c r="G2762" s="56">
        <f t="shared" si="489"/>
        <v>0</v>
      </c>
      <c r="H2762" s="56">
        <f t="shared" si="489"/>
        <v>0</v>
      </c>
      <c r="I2762" s="56">
        <f t="shared" si="489"/>
        <v>0</v>
      </c>
      <c r="J2762" s="56">
        <f t="shared" si="489"/>
        <v>0</v>
      </c>
      <c r="K2762" s="56">
        <f t="shared" si="489"/>
        <v>0</v>
      </c>
      <c r="L2762" s="56">
        <f t="shared" si="489"/>
        <v>0</v>
      </c>
      <c r="M2762" s="56">
        <f t="shared" si="489"/>
        <v>0</v>
      </c>
      <c r="N2762" s="56">
        <f t="shared" si="489"/>
        <v>0</v>
      </c>
      <c r="O2762" s="56">
        <f t="shared" si="489"/>
        <v>0</v>
      </c>
      <c r="P2762" s="58">
        <f>SUM(P2746:P2752)-SUM(P2756:P2757)</f>
        <v>0</v>
      </c>
      <c r="Q2762" s="130">
        <f t="shared" si="487"/>
        <v>0</v>
      </c>
    </row>
    <row r="2763" spans="1:17" ht="14.25" thickBot="1">
      <c r="A2763" s="151"/>
      <c r="B2763" s="147" t="s">
        <v>5</v>
      </c>
      <c r="C2763" s="148"/>
      <c r="D2763" s="42">
        <f>SUM(D2748:D2752)-SUM(D2753:D2757)+SUM(D2758:D2761)</f>
        <v>0</v>
      </c>
      <c r="E2763" s="42">
        <f t="shared" ref="E2763:O2763" si="490">SUM(E2748:E2752)-SUM(E2753:E2757)+SUM(E2758:E2761)</f>
        <v>0</v>
      </c>
      <c r="F2763" s="42">
        <f t="shared" si="490"/>
        <v>0</v>
      </c>
      <c r="G2763" s="42">
        <f t="shared" si="490"/>
        <v>0</v>
      </c>
      <c r="H2763" s="42">
        <f t="shared" si="490"/>
        <v>0</v>
      </c>
      <c r="I2763" s="42">
        <f t="shared" si="490"/>
        <v>0</v>
      </c>
      <c r="J2763" s="42">
        <f t="shared" si="490"/>
        <v>0</v>
      </c>
      <c r="K2763" s="42">
        <f t="shared" si="490"/>
        <v>0</v>
      </c>
      <c r="L2763" s="42">
        <f t="shared" si="490"/>
        <v>0</v>
      </c>
      <c r="M2763" s="42">
        <f t="shared" si="490"/>
        <v>0</v>
      </c>
      <c r="N2763" s="42">
        <f t="shared" si="490"/>
        <v>0</v>
      </c>
      <c r="O2763" s="42">
        <f t="shared" si="490"/>
        <v>0</v>
      </c>
      <c r="P2763" s="44">
        <f>SUM(P2746:P2752)-SUM(P2753:P2757)+SUM(P2758:P2761)</f>
        <v>0</v>
      </c>
      <c r="Q2763" s="46">
        <f>SUM(D2763:P2763)</f>
        <v>0</v>
      </c>
    </row>
    <row r="2764" spans="1:17">
      <c r="A2764" s="149"/>
      <c r="B2764" s="152" t="s">
        <v>12</v>
      </c>
      <c r="C2764" s="114" t="s">
        <v>84</v>
      </c>
      <c r="D2764" s="87"/>
      <c r="E2764" s="87"/>
      <c r="F2764" s="87"/>
      <c r="G2764" s="87"/>
      <c r="H2764" s="87"/>
      <c r="I2764" s="87"/>
      <c r="J2764" s="87"/>
      <c r="K2764" s="87"/>
      <c r="L2764" s="87"/>
      <c r="M2764" s="87"/>
      <c r="N2764" s="87"/>
      <c r="O2764" s="87"/>
      <c r="P2764" s="30"/>
      <c r="Q2764" s="134">
        <f>SUM(D2764:P2764)</f>
        <v>0</v>
      </c>
    </row>
    <row r="2765" spans="1:17">
      <c r="A2765" s="150"/>
      <c r="B2765" s="153"/>
      <c r="C2765" s="115" t="s">
        <v>85</v>
      </c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28"/>
      <c r="Q2765" s="132">
        <f t="shared" ref="Q2765:Q2780" si="491">SUM(D2765:P2765)</f>
        <v>0</v>
      </c>
    </row>
    <row r="2766" spans="1:17">
      <c r="A2766" s="150"/>
      <c r="B2766" s="153"/>
      <c r="C2766" s="116" t="s">
        <v>86</v>
      </c>
      <c r="D2766" s="91">
        <f t="shared" ref="D2766:O2766" si="492">D2764*D2765</f>
        <v>0</v>
      </c>
      <c r="E2766" s="91">
        <f t="shared" si="492"/>
        <v>0</v>
      </c>
      <c r="F2766" s="91">
        <f t="shared" si="492"/>
        <v>0</v>
      </c>
      <c r="G2766" s="91">
        <f t="shared" si="492"/>
        <v>0</v>
      </c>
      <c r="H2766" s="91">
        <f t="shared" si="492"/>
        <v>0</v>
      </c>
      <c r="I2766" s="91">
        <f t="shared" si="492"/>
        <v>0</v>
      </c>
      <c r="J2766" s="91">
        <f t="shared" si="492"/>
        <v>0</v>
      </c>
      <c r="K2766" s="91">
        <f t="shared" si="492"/>
        <v>0</v>
      </c>
      <c r="L2766" s="91">
        <f t="shared" si="492"/>
        <v>0</v>
      </c>
      <c r="M2766" s="91">
        <f t="shared" si="492"/>
        <v>0</v>
      </c>
      <c r="N2766" s="91">
        <f t="shared" si="492"/>
        <v>0</v>
      </c>
      <c r="O2766" s="91">
        <f t="shared" si="492"/>
        <v>0</v>
      </c>
      <c r="P2766" s="32"/>
      <c r="Q2766" s="132">
        <f t="shared" si="491"/>
        <v>0</v>
      </c>
    </row>
    <row r="2767" spans="1:17">
      <c r="A2767" s="150"/>
      <c r="B2767" s="153"/>
      <c r="C2767" s="117" t="s">
        <v>9</v>
      </c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91"/>
      <c r="O2767" s="91"/>
      <c r="P2767" s="32"/>
      <c r="Q2767" s="132">
        <f t="shared" si="491"/>
        <v>0</v>
      </c>
    </row>
    <row r="2768" spans="1:17">
      <c r="A2768" s="150"/>
      <c r="B2768" s="153"/>
      <c r="C2768" s="117" t="s">
        <v>38</v>
      </c>
      <c r="D2768" s="89"/>
      <c r="E2768" s="89"/>
      <c r="F2768" s="89"/>
      <c r="G2768" s="89"/>
      <c r="H2768" s="89"/>
      <c r="I2768" s="89"/>
      <c r="J2768" s="89"/>
      <c r="K2768" s="89"/>
      <c r="L2768" s="89"/>
      <c r="M2768" s="89"/>
      <c r="N2768" s="89"/>
      <c r="O2768" s="89"/>
      <c r="P2768" s="28"/>
      <c r="Q2768" s="132">
        <f t="shared" si="491"/>
        <v>0</v>
      </c>
    </row>
    <row r="2769" spans="1:17">
      <c r="A2769" s="150"/>
      <c r="B2769" s="153"/>
      <c r="C2769" s="62"/>
      <c r="D2769" s="91"/>
      <c r="E2769" s="91"/>
      <c r="F2769" s="91"/>
      <c r="G2769" s="91"/>
      <c r="H2769" s="91"/>
      <c r="I2769" s="91"/>
      <c r="J2769" s="91"/>
      <c r="K2769" s="91"/>
      <c r="L2769" s="91"/>
      <c r="M2769" s="91"/>
      <c r="N2769" s="91"/>
      <c r="O2769" s="91"/>
      <c r="P2769" s="32"/>
      <c r="Q2769" s="132">
        <f t="shared" si="491"/>
        <v>0</v>
      </c>
    </row>
    <row r="2770" spans="1:17">
      <c r="A2770" s="150"/>
      <c r="B2770" s="154"/>
      <c r="C2770" s="6" t="s">
        <v>42</v>
      </c>
      <c r="D2770" s="92"/>
      <c r="E2770" s="92"/>
      <c r="F2770" s="92"/>
      <c r="G2770" s="92"/>
      <c r="H2770" s="92"/>
      <c r="I2770" s="92"/>
      <c r="J2770" s="92"/>
      <c r="K2770" s="92"/>
      <c r="L2770" s="92"/>
      <c r="M2770" s="92"/>
      <c r="N2770" s="92"/>
      <c r="O2770" s="92"/>
      <c r="P2770" s="33"/>
      <c r="Q2770" s="135">
        <f t="shared" si="491"/>
        <v>0</v>
      </c>
    </row>
    <row r="2771" spans="1:17">
      <c r="A2771" s="150"/>
      <c r="B2771" s="155" t="s">
        <v>11</v>
      </c>
      <c r="C2771" s="5" t="s">
        <v>7</v>
      </c>
      <c r="D2771" s="94"/>
      <c r="E2771" s="94"/>
      <c r="F2771" s="94"/>
      <c r="G2771" s="94"/>
      <c r="H2771" s="94"/>
      <c r="I2771" s="94"/>
      <c r="J2771" s="94"/>
      <c r="K2771" s="94"/>
      <c r="L2771" s="94"/>
      <c r="M2771" s="94"/>
      <c r="N2771" s="94"/>
      <c r="O2771" s="94"/>
      <c r="P2771" s="27"/>
      <c r="Q2771" s="136">
        <f t="shared" si="491"/>
        <v>0</v>
      </c>
    </row>
    <row r="2772" spans="1:17">
      <c r="A2772" s="150"/>
      <c r="B2772" s="153"/>
      <c r="C2772" s="6" t="s">
        <v>4</v>
      </c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32"/>
      <c r="Q2772" s="132">
        <f t="shared" si="491"/>
        <v>0</v>
      </c>
    </row>
    <row r="2773" spans="1:17">
      <c r="A2773" s="150"/>
      <c r="B2773" s="153"/>
      <c r="C2773" s="6" t="s">
        <v>17</v>
      </c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91"/>
      <c r="O2773" s="91"/>
      <c r="P2773" s="32"/>
      <c r="Q2773" s="132">
        <f t="shared" si="491"/>
        <v>0</v>
      </c>
    </row>
    <row r="2774" spans="1:17">
      <c r="A2774" s="150"/>
      <c r="B2774" s="153"/>
      <c r="C2774" s="6" t="s">
        <v>18</v>
      </c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32"/>
      <c r="Q2774" s="132">
        <f t="shared" si="491"/>
        <v>0</v>
      </c>
    </row>
    <row r="2775" spans="1:17">
      <c r="A2775" s="150"/>
      <c r="B2775" s="153"/>
      <c r="C2775" s="6" t="s">
        <v>60</v>
      </c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91"/>
      <c r="O2775" s="91"/>
      <c r="P2775" s="32"/>
      <c r="Q2775" s="135">
        <f t="shared" si="491"/>
        <v>0</v>
      </c>
    </row>
    <row r="2776" spans="1:17">
      <c r="A2776" s="150"/>
      <c r="B2776" s="155" t="s">
        <v>13</v>
      </c>
      <c r="C2776" s="5" t="s">
        <v>10</v>
      </c>
      <c r="D2776" s="94"/>
      <c r="E2776" s="94"/>
      <c r="F2776" s="94"/>
      <c r="G2776" s="94"/>
      <c r="H2776" s="94"/>
      <c r="I2776" s="94"/>
      <c r="J2776" s="94"/>
      <c r="K2776" s="94"/>
      <c r="L2776" s="94"/>
      <c r="M2776" s="94"/>
      <c r="N2776" s="94"/>
      <c r="O2776" s="94"/>
      <c r="P2776" s="27"/>
      <c r="Q2776" s="131">
        <f t="shared" si="491"/>
        <v>0</v>
      </c>
    </row>
    <row r="2777" spans="1:17">
      <c r="A2777" s="150"/>
      <c r="B2777" s="153"/>
      <c r="C2777" s="116" t="s">
        <v>55</v>
      </c>
      <c r="D2777" s="89"/>
      <c r="E2777" s="89"/>
      <c r="F2777" s="89"/>
      <c r="G2777" s="89"/>
      <c r="H2777" s="89"/>
      <c r="I2777" s="89"/>
      <c r="J2777" s="89"/>
      <c r="K2777" s="89"/>
      <c r="L2777" s="89"/>
      <c r="M2777" s="89"/>
      <c r="N2777" s="89"/>
      <c r="O2777" s="89"/>
      <c r="P2777" s="28"/>
      <c r="Q2777" s="132">
        <f t="shared" si="491"/>
        <v>0</v>
      </c>
    </row>
    <row r="2778" spans="1:17">
      <c r="A2778" s="150"/>
      <c r="B2778" s="153"/>
      <c r="C2778" s="8" t="s">
        <v>56</v>
      </c>
      <c r="D2778" s="89"/>
      <c r="E2778" s="89"/>
      <c r="F2778" s="89"/>
      <c r="G2778" s="89"/>
      <c r="H2778" s="89"/>
      <c r="I2778" s="89"/>
      <c r="J2778" s="89"/>
      <c r="K2778" s="89"/>
      <c r="L2778" s="89"/>
      <c r="M2778" s="89"/>
      <c r="N2778" s="89"/>
      <c r="O2778" s="89"/>
      <c r="P2778" s="28"/>
      <c r="Q2778" s="132">
        <f t="shared" si="491"/>
        <v>0</v>
      </c>
    </row>
    <row r="2779" spans="1:17" ht="14.25" thickBot="1">
      <c r="A2779" s="150"/>
      <c r="B2779" s="154"/>
      <c r="C2779" s="4" t="s">
        <v>61</v>
      </c>
      <c r="D2779" s="92"/>
      <c r="E2779" s="92"/>
      <c r="F2779" s="92"/>
      <c r="G2779" s="92"/>
      <c r="H2779" s="92"/>
      <c r="I2779" s="92"/>
      <c r="J2779" s="92"/>
      <c r="K2779" s="92"/>
      <c r="L2779" s="92"/>
      <c r="M2779" s="92"/>
      <c r="N2779" s="92"/>
      <c r="O2779" s="92"/>
      <c r="P2779" s="33"/>
      <c r="Q2779" s="133">
        <f t="shared" si="491"/>
        <v>0</v>
      </c>
    </row>
    <row r="2780" spans="1:17" ht="14.25" thickBot="1">
      <c r="A2780" s="150"/>
      <c r="B2780" s="156" t="s">
        <v>54</v>
      </c>
      <c r="C2780" s="157"/>
      <c r="D2780" s="56">
        <f>SUM(D2766:D2770)-SUM(D2774:D2775)</f>
        <v>0</v>
      </c>
      <c r="E2780" s="56">
        <f t="shared" ref="E2780:O2780" si="493">SUM(E2766:E2770)-SUM(E2774:E2775)</f>
        <v>0</v>
      </c>
      <c r="F2780" s="56">
        <f t="shared" si="493"/>
        <v>0</v>
      </c>
      <c r="G2780" s="56">
        <f t="shared" si="493"/>
        <v>0</v>
      </c>
      <c r="H2780" s="56">
        <f t="shared" si="493"/>
        <v>0</v>
      </c>
      <c r="I2780" s="56">
        <f t="shared" si="493"/>
        <v>0</v>
      </c>
      <c r="J2780" s="56">
        <f t="shared" si="493"/>
        <v>0</v>
      </c>
      <c r="K2780" s="56">
        <f t="shared" si="493"/>
        <v>0</v>
      </c>
      <c r="L2780" s="56">
        <f t="shared" si="493"/>
        <v>0</v>
      </c>
      <c r="M2780" s="56">
        <f t="shared" si="493"/>
        <v>0</v>
      </c>
      <c r="N2780" s="56">
        <f t="shared" si="493"/>
        <v>0</v>
      </c>
      <c r="O2780" s="56">
        <f t="shared" si="493"/>
        <v>0</v>
      </c>
      <c r="P2780" s="58">
        <f>SUM(P2764:P2770)-SUM(P2774:P2775)</f>
        <v>0</v>
      </c>
      <c r="Q2780" s="130">
        <f t="shared" si="491"/>
        <v>0</v>
      </c>
    </row>
    <row r="2781" spans="1:17" ht="14.25" thickBot="1">
      <c r="A2781" s="151"/>
      <c r="B2781" s="147" t="s">
        <v>5</v>
      </c>
      <c r="C2781" s="148"/>
      <c r="D2781" s="42">
        <f>SUM(D2766:D2770)-SUM(D2771:D2775)+SUM(D2776:D2779)</f>
        <v>0</v>
      </c>
      <c r="E2781" s="42">
        <f t="shared" ref="E2781:O2781" si="494">SUM(E2766:E2770)-SUM(E2771:E2775)+SUM(E2776:E2779)</f>
        <v>0</v>
      </c>
      <c r="F2781" s="42">
        <f t="shared" si="494"/>
        <v>0</v>
      </c>
      <c r="G2781" s="42">
        <f t="shared" si="494"/>
        <v>0</v>
      </c>
      <c r="H2781" s="42">
        <f t="shared" si="494"/>
        <v>0</v>
      </c>
      <c r="I2781" s="42">
        <f t="shared" si="494"/>
        <v>0</v>
      </c>
      <c r="J2781" s="42">
        <f t="shared" si="494"/>
        <v>0</v>
      </c>
      <c r="K2781" s="42">
        <f t="shared" si="494"/>
        <v>0</v>
      </c>
      <c r="L2781" s="42">
        <f t="shared" si="494"/>
        <v>0</v>
      </c>
      <c r="M2781" s="42">
        <f t="shared" si="494"/>
        <v>0</v>
      </c>
      <c r="N2781" s="42">
        <f t="shared" si="494"/>
        <v>0</v>
      </c>
      <c r="O2781" s="42">
        <f t="shared" si="494"/>
        <v>0</v>
      </c>
      <c r="P2781" s="44">
        <f>SUM(P2764:P2770)-SUM(P2771:P2775)+SUM(P2776:P2779)</f>
        <v>0</v>
      </c>
      <c r="Q2781" s="46">
        <f>SUM(D2781:P2781)</f>
        <v>0</v>
      </c>
    </row>
    <row r="2782" spans="1:17">
      <c r="A2782" s="149"/>
      <c r="B2782" s="152" t="s">
        <v>12</v>
      </c>
      <c r="C2782" s="114" t="s">
        <v>84</v>
      </c>
      <c r="D2782" s="87"/>
      <c r="E2782" s="87"/>
      <c r="F2782" s="87"/>
      <c r="G2782" s="87"/>
      <c r="H2782" s="87"/>
      <c r="I2782" s="87"/>
      <c r="J2782" s="87"/>
      <c r="K2782" s="87"/>
      <c r="L2782" s="87"/>
      <c r="M2782" s="87"/>
      <c r="N2782" s="87"/>
      <c r="O2782" s="87"/>
      <c r="P2782" s="30"/>
      <c r="Q2782" s="134">
        <f>SUM(D2782:P2782)</f>
        <v>0</v>
      </c>
    </row>
    <row r="2783" spans="1:17">
      <c r="A2783" s="150"/>
      <c r="B2783" s="153"/>
      <c r="C2783" s="115" t="s">
        <v>85</v>
      </c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28"/>
      <c r="Q2783" s="132">
        <f t="shared" ref="Q2783:Q2798" si="495">SUM(D2783:P2783)</f>
        <v>0</v>
      </c>
    </row>
    <row r="2784" spans="1:17">
      <c r="A2784" s="150"/>
      <c r="B2784" s="153"/>
      <c r="C2784" s="116" t="s">
        <v>86</v>
      </c>
      <c r="D2784" s="91">
        <f t="shared" ref="D2784:O2784" si="496">D2782*D2783</f>
        <v>0</v>
      </c>
      <c r="E2784" s="91">
        <f t="shared" si="496"/>
        <v>0</v>
      </c>
      <c r="F2784" s="91">
        <f t="shared" si="496"/>
        <v>0</v>
      </c>
      <c r="G2784" s="91">
        <f t="shared" si="496"/>
        <v>0</v>
      </c>
      <c r="H2784" s="91">
        <f t="shared" si="496"/>
        <v>0</v>
      </c>
      <c r="I2784" s="91">
        <f t="shared" si="496"/>
        <v>0</v>
      </c>
      <c r="J2784" s="91">
        <f t="shared" si="496"/>
        <v>0</v>
      </c>
      <c r="K2784" s="91">
        <f t="shared" si="496"/>
        <v>0</v>
      </c>
      <c r="L2784" s="91">
        <f t="shared" si="496"/>
        <v>0</v>
      </c>
      <c r="M2784" s="91">
        <f t="shared" si="496"/>
        <v>0</v>
      </c>
      <c r="N2784" s="91">
        <f t="shared" si="496"/>
        <v>0</v>
      </c>
      <c r="O2784" s="91">
        <f t="shared" si="496"/>
        <v>0</v>
      </c>
      <c r="P2784" s="32"/>
      <c r="Q2784" s="132">
        <f t="shared" si="495"/>
        <v>0</v>
      </c>
    </row>
    <row r="2785" spans="1:17">
      <c r="A2785" s="150"/>
      <c r="B2785" s="153"/>
      <c r="C2785" s="117" t="s">
        <v>9</v>
      </c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32"/>
      <c r="Q2785" s="132">
        <f t="shared" si="495"/>
        <v>0</v>
      </c>
    </row>
    <row r="2786" spans="1:17">
      <c r="A2786" s="150"/>
      <c r="B2786" s="153"/>
      <c r="C2786" s="117" t="s">
        <v>38</v>
      </c>
      <c r="D2786" s="89"/>
      <c r="E2786" s="89"/>
      <c r="F2786" s="89"/>
      <c r="G2786" s="89"/>
      <c r="H2786" s="89"/>
      <c r="I2786" s="89"/>
      <c r="J2786" s="89"/>
      <c r="K2786" s="89"/>
      <c r="L2786" s="89"/>
      <c r="M2786" s="89"/>
      <c r="N2786" s="89"/>
      <c r="O2786" s="89"/>
      <c r="P2786" s="28"/>
      <c r="Q2786" s="132">
        <f t="shared" si="495"/>
        <v>0</v>
      </c>
    </row>
    <row r="2787" spans="1:17">
      <c r="A2787" s="150"/>
      <c r="B2787" s="153"/>
      <c r="C2787" s="62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32"/>
      <c r="Q2787" s="132">
        <f t="shared" si="495"/>
        <v>0</v>
      </c>
    </row>
    <row r="2788" spans="1:17">
      <c r="A2788" s="150"/>
      <c r="B2788" s="154"/>
      <c r="C2788" s="6" t="s">
        <v>42</v>
      </c>
      <c r="D2788" s="92"/>
      <c r="E2788" s="92"/>
      <c r="F2788" s="92"/>
      <c r="G2788" s="92"/>
      <c r="H2788" s="92"/>
      <c r="I2788" s="92"/>
      <c r="J2788" s="92"/>
      <c r="K2788" s="92"/>
      <c r="L2788" s="92"/>
      <c r="M2788" s="92"/>
      <c r="N2788" s="92"/>
      <c r="O2788" s="92"/>
      <c r="P2788" s="33"/>
      <c r="Q2788" s="135">
        <f t="shared" si="495"/>
        <v>0</v>
      </c>
    </row>
    <row r="2789" spans="1:17">
      <c r="A2789" s="150"/>
      <c r="B2789" s="155" t="s">
        <v>11</v>
      </c>
      <c r="C2789" s="5" t="s">
        <v>7</v>
      </c>
      <c r="D2789" s="94"/>
      <c r="E2789" s="94"/>
      <c r="F2789" s="94"/>
      <c r="G2789" s="94"/>
      <c r="H2789" s="94"/>
      <c r="I2789" s="94"/>
      <c r="J2789" s="94"/>
      <c r="K2789" s="94"/>
      <c r="L2789" s="94"/>
      <c r="M2789" s="94"/>
      <c r="N2789" s="94"/>
      <c r="O2789" s="94"/>
      <c r="P2789" s="27"/>
      <c r="Q2789" s="136">
        <f t="shared" si="495"/>
        <v>0</v>
      </c>
    </row>
    <row r="2790" spans="1:17">
      <c r="A2790" s="150"/>
      <c r="B2790" s="153"/>
      <c r="C2790" s="6" t="s">
        <v>4</v>
      </c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32"/>
      <c r="Q2790" s="132">
        <f t="shared" si="495"/>
        <v>0</v>
      </c>
    </row>
    <row r="2791" spans="1:17">
      <c r="A2791" s="150"/>
      <c r="B2791" s="153"/>
      <c r="C2791" s="6" t="s">
        <v>17</v>
      </c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32"/>
      <c r="Q2791" s="132">
        <f t="shared" si="495"/>
        <v>0</v>
      </c>
    </row>
    <row r="2792" spans="1:17">
      <c r="A2792" s="150"/>
      <c r="B2792" s="153"/>
      <c r="C2792" s="6" t="s">
        <v>18</v>
      </c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32"/>
      <c r="Q2792" s="132">
        <f t="shared" si="495"/>
        <v>0</v>
      </c>
    </row>
    <row r="2793" spans="1:17">
      <c r="A2793" s="150"/>
      <c r="B2793" s="153"/>
      <c r="C2793" s="6" t="s">
        <v>60</v>
      </c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91"/>
      <c r="O2793" s="91"/>
      <c r="P2793" s="32"/>
      <c r="Q2793" s="135">
        <f t="shared" si="495"/>
        <v>0</v>
      </c>
    </row>
    <row r="2794" spans="1:17">
      <c r="A2794" s="150"/>
      <c r="B2794" s="155" t="s">
        <v>13</v>
      </c>
      <c r="C2794" s="5" t="s">
        <v>10</v>
      </c>
      <c r="D2794" s="94"/>
      <c r="E2794" s="94"/>
      <c r="F2794" s="94"/>
      <c r="G2794" s="94"/>
      <c r="H2794" s="94"/>
      <c r="I2794" s="94"/>
      <c r="J2794" s="94"/>
      <c r="K2794" s="94"/>
      <c r="L2794" s="94"/>
      <c r="M2794" s="94"/>
      <c r="N2794" s="94"/>
      <c r="O2794" s="94"/>
      <c r="P2794" s="27"/>
      <c r="Q2794" s="131">
        <f t="shared" si="495"/>
        <v>0</v>
      </c>
    </row>
    <row r="2795" spans="1:17">
      <c r="A2795" s="150"/>
      <c r="B2795" s="153"/>
      <c r="C2795" s="116" t="s">
        <v>55</v>
      </c>
      <c r="D2795" s="89"/>
      <c r="E2795" s="89"/>
      <c r="F2795" s="89"/>
      <c r="G2795" s="89"/>
      <c r="H2795" s="89"/>
      <c r="I2795" s="89"/>
      <c r="J2795" s="89"/>
      <c r="K2795" s="89"/>
      <c r="L2795" s="89"/>
      <c r="M2795" s="89"/>
      <c r="N2795" s="89"/>
      <c r="O2795" s="89"/>
      <c r="P2795" s="28"/>
      <c r="Q2795" s="132">
        <f t="shared" si="495"/>
        <v>0</v>
      </c>
    </row>
    <row r="2796" spans="1:17">
      <c r="A2796" s="150"/>
      <c r="B2796" s="153"/>
      <c r="C2796" s="8" t="s">
        <v>56</v>
      </c>
      <c r="D2796" s="89"/>
      <c r="E2796" s="89"/>
      <c r="F2796" s="89"/>
      <c r="G2796" s="89"/>
      <c r="H2796" s="89"/>
      <c r="I2796" s="89"/>
      <c r="J2796" s="89"/>
      <c r="K2796" s="89"/>
      <c r="L2796" s="89"/>
      <c r="M2796" s="89"/>
      <c r="N2796" s="89"/>
      <c r="O2796" s="89"/>
      <c r="P2796" s="28"/>
      <c r="Q2796" s="132">
        <f t="shared" si="495"/>
        <v>0</v>
      </c>
    </row>
    <row r="2797" spans="1:17" ht="14.25" thickBot="1">
      <c r="A2797" s="150"/>
      <c r="B2797" s="154"/>
      <c r="C2797" s="4" t="s">
        <v>61</v>
      </c>
      <c r="D2797" s="92"/>
      <c r="E2797" s="92"/>
      <c r="F2797" s="92"/>
      <c r="G2797" s="92"/>
      <c r="H2797" s="92"/>
      <c r="I2797" s="92"/>
      <c r="J2797" s="92"/>
      <c r="K2797" s="92"/>
      <c r="L2797" s="92"/>
      <c r="M2797" s="92"/>
      <c r="N2797" s="92"/>
      <c r="O2797" s="92"/>
      <c r="P2797" s="33"/>
      <c r="Q2797" s="133">
        <f t="shared" si="495"/>
        <v>0</v>
      </c>
    </row>
    <row r="2798" spans="1:17" ht="14.25" thickBot="1">
      <c r="A2798" s="150"/>
      <c r="B2798" s="156" t="s">
        <v>54</v>
      </c>
      <c r="C2798" s="157"/>
      <c r="D2798" s="56">
        <f>SUM(D2784:D2788)-SUM(D2792:D2793)</f>
        <v>0</v>
      </c>
      <c r="E2798" s="56">
        <f t="shared" ref="E2798:O2798" si="497">SUM(E2784:E2788)-SUM(E2792:E2793)</f>
        <v>0</v>
      </c>
      <c r="F2798" s="56">
        <f t="shared" si="497"/>
        <v>0</v>
      </c>
      <c r="G2798" s="56">
        <f t="shared" si="497"/>
        <v>0</v>
      </c>
      <c r="H2798" s="56">
        <f t="shared" si="497"/>
        <v>0</v>
      </c>
      <c r="I2798" s="56">
        <f t="shared" si="497"/>
        <v>0</v>
      </c>
      <c r="J2798" s="56">
        <f t="shared" si="497"/>
        <v>0</v>
      </c>
      <c r="K2798" s="56">
        <f t="shared" si="497"/>
        <v>0</v>
      </c>
      <c r="L2798" s="56">
        <f t="shared" si="497"/>
        <v>0</v>
      </c>
      <c r="M2798" s="56">
        <f t="shared" si="497"/>
        <v>0</v>
      </c>
      <c r="N2798" s="56">
        <f t="shared" si="497"/>
        <v>0</v>
      </c>
      <c r="O2798" s="56">
        <f t="shared" si="497"/>
        <v>0</v>
      </c>
      <c r="P2798" s="58">
        <f>SUM(P2782:P2788)-SUM(P2792:P2793)</f>
        <v>0</v>
      </c>
      <c r="Q2798" s="130">
        <f t="shared" si="495"/>
        <v>0</v>
      </c>
    </row>
    <row r="2799" spans="1:17" ht="14.25" thickBot="1">
      <c r="A2799" s="151"/>
      <c r="B2799" s="147" t="s">
        <v>5</v>
      </c>
      <c r="C2799" s="148"/>
      <c r="D2799" s="42">
        <f>SUM(D2784:D2788)-SUM(D2789:D2793)+SUM(D2794:D2797)</f>
        <v>0</v>
      </c>
      <c r="E2799" s="42">
        <f t="shared" ref="E2799:O2799" si="498">SUM(E2784:E2788)-SUM(E2789:E2793)+SUM(E2794:E2797)</f>
        <v>0</v>
      </c>
      <c r="F2799" s="42">
        <f t="shared" si="498"/>
        <v>0</v>
      </c>
      <c r="G2799" s="42">
        <f t="shared" si="498"/>
        <v>0</v>
      </c>
      <c r="H2799" s="42">
        <f t="shared" si="498"/>
        <v>0</v>
      </c>
      <c r="I2799" s="42">
        <f t="shared" si="498"/>
        <v>0</v>
      </c>
      <c r="J2799" s="42">
        <f t="shared" si="498"/>
        <v>0</v>
      </c>
      <c r="K2799" s="42">
        <f t="shared" si="498"/>
        <v>0</v>
      </c>
      <c r="L2799" s="42">
        <f t="shared" si="498"/>
        <v>0</v>
      </c>
      <c r="M2799" s="42">
        <f t="shared" si="498"/>
        <v>0</v>
      </c>
      <c r="N2799" s="42">
        <f t="shared" si="498"/>
        <v>0</v>
      </c>
      <c r="O2799" s="42">
        <f t="shared" si="498"/>
        <v>0</v>
      </c>
      <c r="P2799" s="44">
        <f>SUM(P2782:P2788)-SUM(P2789:P2793)+SUM(P2794:P2797)</f>
        <v>0</v>
      </c>
      <c r="Q2799" s="46">
        <f>SUM(D2799:P2799)</f>
        <v>0</v>
      </c>
    </row>
    <row r="2800" spans="1:17">
      <c r="A2800" s="149"/>
      <c r="B2800" s="152" t="s">
        <v>12</v>
      </c>
      <c r="C2800" s="114" t="s">
        <v>84</v>
      </c>
      <c r="D2800" s="87"/>
      <c r="E2800" s="87"/>
      <c r="F2800" s="87"/>
      <c r="G2800" s="87"/>
      <c r="H2800" s="87"/>
      <c r="I2800" s="87"/>
      <c r="J2800" s="87"/>
      <c r="K2800" s="87"/>
      <c r="L2800" s="87"/>
      <c r="M2800" s="87"/>
      <c r="N2800" s="87"/>
      <c r="O2800" s="87"/>
      <c r="P2800" s="30"/>
      <c r="Q2800" s="134">
        <f>SUM(D2800:P2800)</f>
        <v>0</v>
      </c>
    </row>
    <row r="2801" spans="1:17">
      <c r="A2801" s="150"/>
      <c r="B2801" s="153"/>
      <c r="C2801" s="115" t="s">
        <v>85</v>
      </c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28"/>
      <c r="Q2801" s="132">
        <f t="shared" ref="Q2801:Q2816" si="499">SUM(D2801:P2801)</f>
        <v>0</v>
      </c>
    </row>
    <row r="2802" spans="1:17">
      <c r="A2802" s="150"/>
      <c r="B2802" s="153"/>
      <c r="C2802" s="116" t="s">
        <v>86</v>
      </c>
      <c r="D2802" s="91">
        <f t="shared" ref="D2802:O2802" si="500">D2800*D2801</f>
        <v>0</v>
      </c>
      <c r="E2802" s="91">
        <f t="shared" si="500"/>
        <v>0</v>
      </c>
      <c r="F2802" s="91">
        <f t="shared" si="500"/>
        <v>0</v>
      </c>
      <c r="G2802" s="91">
        <f t="shared" si="500"/>
        <v>0</v>
      </c>
      <c r="H2802" s="91">
        <f t="shared" si="500"/>
        <v>0</v>
      </c>
      <c r="I2802" s="91">
        <f t="shared" si="500"/>
        <v>0</v>
      </c>
      <c r="J2802" s="91">
        <f t="shared" si="500"/>
        <v>0</v>
      </c>
      <c r="K2802" s="91">
        <f t="shared" si="500"/>
        <v>0</v>
      </c>
      <c r="L2802" s="91">
        <f t="shared" si="500"/>
        <v>0</v>
      </c>
      <c r="M2802" s="91">
        <f t="shared" si="500"/>
        <v>0</v>
      </c>
      <c r="N2802" s="91">
        <f t="shared" si="500"/>
        <v>0</v>
      </c>
      <c r="O2802" s="91">
        <f t="shared" si="500"/>
        <v>0</v>
      </c>
      <c r="P2802" s="32"/>
      <c r="Q2802" s="132">
        <f t="shared" si="499"/>
        <v>0</v>
      </c>
    </row>
    <row r="2803" spans="1:17">
      <c r="A2803" s="150"/>
      <c r="B2803" s="153"/>
      <c r="C2803" s="117" t="s">
        <v>9</v>
      </c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91"/>
      <c r="O2803" s="91"/>
      <c r="P2803" s="32"/>
      <c r="Q2803" s="132">
        <f t="shared" si="499"/>
        <v>0</v>
      </c>
    </row>
    <row r="2804" spans="1:17">
      <c r="A2804" s="150"/>
      <c r="B2804" s="153"/>
      <c r="C2804" s="117" t="s">
        <v>38</v>
      </c>
      <c r="D2804" s="89"/>
      <c r="E2804" s="89"/>
      <c r="F2804" s="89"/>
      <c r="G2804" s="89"/>
      <c r="H2804" s="89"/>
      <c r="I2804" s="89"/>
      <c r="J2804" s="89"/>
      <c r="K2804" s="89"/>
      <c r="L2804" s="89"/>
      <c r="M2804" s="89"/>
      <c r="N2804" s="89"/>
      <c r="O2804" s="89"/>
      <c r="P2804" s="28"/>
      <c r="Q2804" s="132">
        <f t="shared" si="499"/>
        <v>0</v>
      </c>
    </row>
    <row r="2805" spans="1:17">
      <c r="A2805" s="150"/>
      <c r="B2805" s="153"/>
      <c r="C2805" s="62"/>
      <c r="D2805" s="91"/>
      <c r="E2805" s="91"/>
      <c r="F2805" s="91"/>
      <c r="G2805" s="91"/>
      <c r="H2805" s="91"/>
      <c r="I2805" s="91"/>
      <c r="J2805" s="91"/>
      <c r="K2805" s="91"/>
      <c r="L2805" s="91"/>
      <c r="M2805" s="91"/>
      <c r="N2805" s="91"/>
      <c r="O2805" s="91"/>
      <c r="P2805" s="32"/>
      <c r="Q2805" s="132">
        <f t="shared" si="499"/>
        <v>0</v>
      </c>
    </row>
    <row r="2806" spans="1:17">
      <c r="A2806" s="150"/>
      <c r="B2806" s="154"/>
      <c r="C2806" s="6" t="s">
        <v>42</v>
      </c>
      <c r="D2806" s="92"/>
      <c r="E2806" s="92"/>
      <c r="F2806" s="92"/>
      <c r="G2806" s="92"/>
      <c r="H2806" s="92"/>
      <c r="I2806" s="92"/>
      <c r="J2806" s="92"/>
      <c r="K2806" s="92"/>
      <c r="L2806" s="92"/>
      <c r="M2806" s="92"/>
      <c r="N2806" s="92"/>
      <c r="O2806" s="92"/>
      <c r="P2806" s="33"/>
      <c r="Q2806" s="135">
        <f t="shared" si="499"/>
        <v>0</v>
      </c>
    </row>
    <row r="2807" spans="1:17">
      <c r="A2807" s="150"/>
      <c r="B2807" s="155" t="s">
        <v>11</v>
      </c>
      <c r="C2807" s="5" t="s">
        <v>7</v>
      </c>
      <c r="D2807" s="94"/>
      <c r="E2807" s="94"/>
      <c r="F2807" s="94"/>
      <c r="G2807" s="94"/>
      <c r="H2807" s="94"/>
      <c r="I2807" s="94"/>
      <c r="J2807" s="94"/>
      <c r="K2807" s="94"/>
      <c r="L2807" s="94"/>
      <c r="M2807" s="94"/>
      <c r="N2807" s="94"/>
      <c r="O2807" s="94"/>
      <c r="P2807" s="27"/>
      <c r="Q2807" s="136">
        <f t="shared" si="499"/>
        <v>0</v>
      </c>
    </row>
    <row r="2808" spans="1:17">
      <c r="A2808" s="150"/>
      <c r="B2808" s="153"/>
      <c r="C2808" s="6" t="s">
        <v>4</v>
      </c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32"/>
      <c r="Q2808" s="132">
        <f t="shared" si="499"/>
        <v>0</v>
      </c>
    </row>
    <row r="2809" spans="1:17">
      <c r="A2809" s="150"/>
      <c r="B2809" s="153"/>
      <c r="C2809" s="6" t="s">
        <v>17</v>
      </c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32"/>
      <c r="Q2809" s="132">
        <f t="shared" si="499"/>
        <v>0</v>
      </c>
    </row>
    <row r="2810" spans="1:17">
      <c r="A2810" s="150"/>
      <c r="B2810" s="153"/>
      <c r="C2810" s="6" t="s">
        <v>18</v>
      </c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32"/>
      <c r="Q2810" s="132">
        <f t="shared" si="499"/>
        <v>0</v>
      </c>
    </row>
    <row r="2811" spans="1:17">
      <c r="A2811" s="150"/>
      <c r="B2811" s="153"/>
      <c r="C2811" s="6" t="s">
        <v>60</v>
      </c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32"/>
      <c r="Q2811" s="135">
        <f t="shared" si="499"/>
        <v>0</v>
      </c>
    </row>
    <row r="2812" spans="1:17">
      <c r="A2812" s="150"/>
      <c r="B2812" s="155" t="s">
        <v>13</v>
      </c>
      <c r="C2812" s="5" t="s">
        <v>10</v>
      </c>
      <c r="D2812" s="94"/>
      <c r="E2812" s="94"/>
      <c r="F2812" s="94"/>
      <c r="G2812" s="94"/>
      <c r="H2812" s="94"/>
      <c r="I2812" s="94"/>
      <c r="J2812" s="94"/>
      <c r="K2812" s="94"/>
      <c r="L2812" s="94"/>
      <c r="M2812" s="94"/>
      <c r="N2812" s="94"/>
      <c r="O2812" s="94"/>
      <c r="P2812" s="27"/>
      <c r="Q2812" s="131">
        <f t="shared" si="499"/>
        <v>0</v>
      </c>
    </row>
    <row r="2813" spans="1:17">
      <c r="A2813" s="150"/>
      <c r="B2813" s="153"/>
      <c r="C2813" s="116" t="s">
        <v>55</v>
      </c>
      <c r="D2813" s="89"/>
      <c r="E2813" s="89"/>
      <c r="F2813" s="89"/>
      <c r="G2813" s="89"/>
      <c r="H2813" s="89"/>
      <c r="I2813" s="89"/>
      <c r="J2813" s="89"/>
      <c r="K2813" s="89"/>
      <c r="L2813" s="89"/>
      <c r="M2813" s="89"/>
      <c r="N2813" s="89"/>
      <c r="O2813" s="89"/>
      <c r="P2813" s="28"/>
      <c r="Q2813" s="132">
        <f t="shared" si="499"/>
        <v>0</v>
      </c>
    </row>
    <row r="2814" spans="1:17">
      <c r="A2814" s="150"/>
      <c r="B2814" s="153"/>
      <c r="C2814" s="8" t="s">
        <v>56</v>
      </c>
      <c r="D2814" s="89"/>
      <c r="E2814" s="89"/>
      <c r="F2814" s="89"/>
      <c r="G2814" s="89"/>
      <c r="H2814" s="89"/>
      <c r="I2814" s="89"/>
      <c r="J2814" s="89"/>
      <c r="K2814" s="89"/>
      <c r="L2814" s="89"/>
      <c r="M2814" s="89"/>
      <c r="N2814" s="89"/>
      <c r="O2814" s="89"/>
      <c r="P2814" s="28"/>
      <c r="Q2814" s="132">
        <f t="shared" si="499"/>
        <v>0</v>
      </c>
    </row>
    <row r="2815" spans="1:17" ht="14.25" thickBot="1">
      <c r="A2815" s="150"/>
      <c r="B2815" s="154"/>
      <c r="C2815" s="4" t="s">
        <v>61</v>
      </c>
      <c r="D2815" s="92"/>
      <c r="E2815" s="92"/>
      <c r="F2815" s="92"/>
      <c r="G2815" s="92"/>
      <c r="H2815" s="92"/>
      <c r="I2815" s="92"/>
      <c r="J2815" s="92"/>
      <c r="K2815" s="92"/>
      <c r="L2815" s="92"/>
      <c r="M2815" s="92"/>
      <c r="N2815" s="92"/>
      <c r="O2815" s="92"/>
      <c r="P2815" s="33"/>
      <c r="Q2815" s="133">
        <f t="shared" si="499"/>
        <v>0</v>
      </c>
    </row>
    <row r="2816" spans="1:17" ht="14.25" thickBot="1">
      <c r="A2816" s="150"/>
      <c r="B2816" s="156" t="s">
        <v>54</v>
      </c>
      <c r="C2816" s="157"/>
      <c r="D2816" s="56">
        <f>SUM(D2802:D2806)-SUM(D2810:D2811)</f>
        <v>0</v>
      </c>
      <c r="E2816" s="56">
        <f t="shared" ref="E2816:O2816" si="501">SUM(E2802:E2806)-SUM(E2810:E2811)</f>
        <v>0</v>
      </c>
      <c r="F2816" s="56">
        <f t="shared" si="501"/>
        <v>0</v>
      </c>
      <c r="G2816" s="56">
        <f t="shared" si="501"/>
        <v>0</v>
      </c>
      <c r="H2816" s="56">
        <f t="shared" si="501"/>
        <v>0</v>
      </c>
      <c r="I2816" s="56">
        <f t="shared" si="501"/>
        <v>0</v>
      </c>
      <c r="J2816" s="56">
        <f t="shared" si="501"/>
        <v>0</v>
      </c>
      <c r="K2816" s="56">
        <f t="shared" si="501"/>
        <v>0</v>
      </c>
      <c r="L2816" s="56">
        <f t="shared" si="501"/>
        <v>0</v>
      </c>
      <c r="M2816" s="56">
        <f t="shared" si="501"/>
        <v>0</v>
      </c>
      <c r="N2816" s="56">
        <f t="shared" si="501"/>
        <v>0</v>
      </c>
      <c r="O2816" s="56">
        <f t="shared" si="501"/>
        <v>0</v>
      </c>
      <c r="P2816" s="58">
        <f>SUM(P2800:P2806)-SUM(P2810:P2811)</f>
        <v>0</v>
      </c>
      <c r="Q2816" s="130">
        <f t="shared" si="499"/>
        <v>0</v>
      </c>
    </row>
    <row r="2817" spans="1:17" ht="14.25" thickBot="1">
      <c r="A2817" s="151"/>
      <c r="B2817" s="147" t="s">
        <v>5</v>
      </c>
      <c r="C2817" s="148"/>
      <c r="D2817" s="42">
        <f>SUM(D2802:D2806)-SUM(D2807:D2811)+SUM(D2812:D2815)</f>
        <v>0</v>
      </c>
      <c r="E2817" s="42">
        <f t="shared" ref="E2817:O2817" si="502">SUM(E2802:E2806)-SUM(E2807:E2811)+SUM(E2812:E2815)</f>
        <v>0</v>
      </c>
      <c r="F2817" s="42">
        <f t="shared" si="502"/>
        <v>0</v>
      </c>
      <c r="G2817" s="42">
        <f t="shared" si="502"/>
        <v>0</v>
      </c>
      <c r="H2817" s="42">
        <f t="shared" si="502"/>
        <v>0</v>
      </c>
      <c r="I2817" s="42">
        <f t="shared" si="502"/>
        <v>0</v>
      </c>
      <c r="J2817" s="42">
        <f t="shared" si="502"/>
        <v>0</v>
      </c>
      <c r="K2817" s="42">
        <f t="shared" si="502"/>
        <v>0</v>
      </c>
      <c r="L2817" s="42">
        <f t="shared" si="502"/>
        <v>0</v>
      </c>
      <c r="M2817" s="42">
        <f t="shared" si="502"/>
        <v>0</v>
      </c>
      <c r="N2817" s="42">
        <f t="shared" si="502"/>
        <v>0</v>
      </c>
      <c r="O2817" s="42">
        <f t="shared" si="502"/>
        <v>0</v>
      </c>
      <c r="P2817" s="44">
        <f>SUM(P2800:P2806)-SUM(P2807:P2811)+SUM(P2812:P2815)</f>
        <v>0</v>
      </c>
      <c r="Q2817" s="46">
        <f>SUM(D2817:P2817)</f>
        <v>0</v>
      </c>
    </row>
    <row r="2818" spans="1:17">
      <c r="A2818" s="149"/>
      <c r="B2818" s="152" t="s">
        <v>12</v>
      </c>
      <c r="C2818" s="114" t="s">
        <v>84</v>
      </c>
      <c r="D2818" s="87"/>
      <c r="E2818" s="87"/>
      <c r="F2818" s="87"/>
      <c r="G2818" s="87"/>
      <c r="H2818" s="87"/>
      <c r="I2818" s="87"/>
      <c r="J2818" s="87"/>
      <c r="K2818" s="87"/>
      <c r="L2818" s="87"/>
      <c r="M2818" s="87"/>
      <c r="N2818" s="87"/>
      <c r="O2818" s="87"/>
      <c r="P2818" s="30"/>
      <c r="Q2818" s="134">
        <f>SUM(D2818:P2818)</f>
        <v>0</v>
      </c>
    </row>
    <row r="2819" spans="1:17">
      <c r="A2819" s="150"/>
      <c r="B2819" s="153"/>
      <c r="C2819" s="115" t="s">
        <v>85</v>
      </c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28"/>
      <c r="Q2819" s="132">
        <f t="shared" ref="Q2819:Q2834" si="503">SUM(D2819:P2819)</f>
        <v>0</v>
      </c>
    </row>
    <row r="2820" spans="1:17">
      <c r="A2820" s="150"/>
      <c r="B2820" s="153"/>
      <c r="C2820" s="116" t="s">
        <v>86</v>
      </c>
      <c r="D2820" s="91">
        <f t="shared" ref="D2820:O2820" si="504">D2818*D2819</f>
        <v>0</v>
      </c>
      <c r="E2820" s="91">
        <f t="shared" si="504"/>
        <v>0</v>
      </c>
      <c r="F2820" s="91">
        <f t="shared" si="504"/>
        <v>0</v>
      </c>
      <c r="G2820" s="91">
        <f t="shared" si="504"/>
        <v>0</v>
      </c>
      <c r="H2820" s="91">
        <f t="shared" si="504"/>
        <v>0</v>
      </c>
      <c r="I2820" s="91">
        <f t="shared" si="504"/>
        <v>0</v>
      </c>
      <c r="J2820" s="91">
        <f t="shared" si="504"/>
        <v>0</v>
      </c>
      <c r="K2820" s="91">
        <f t="shared" si="504"/>
        <v>0</v>
      </c>
      <c r="L2820" s="91">
        <f t="shared" si="504"/>
        <v>0</v>
      </c>
      <c r="M2820" s="91">
        <f t="shared" si="504"/>
        <v>0</v>
      </c>
      <c r="N2820" s="91">
        <f t="shared" si="504"/>
        <v>0</v>
      </c>
      <c r="O2820" s="91">
        <f t="shared" si="504"/>
        <v>0</v>
      </c>
      <c r="P2820" s="32"/>
      <c r="Q2820" s="132">
        <f t="shared" si="503"/>
        <v>0</v>
      </c>
    </row>
    <row r="2821" spans="1:17">
      <c r="A2821" s="150"/>
      <c r="B2821" s="153"/>
      <c r="C2821" s="117" t="s">
        <v>9</v>
      </c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32"/>
      <c r="Q2821" s="132">
        <f t="shared" si="503"/>
        <v>0</v>
      </c>
    </row>
    <row r="2822" spans="1:17">
      <c r="A2822" s="150"/>
      <c r="B2822" s="153"/>
      <c r="C2822" s="117" t="s">
        <v>38</v>
      </c>
      <c r="D2822" s="89"/>
      <c r="E2822" s="89"/>
      <c r="F2822" s="89"/>
      <c r="G2822" s="89"/>
      <c r="H2822" s="89"/>
      <c r="I2822" s="89"/>
      <c r="J2822" s="89"/>
      <c r="K2822" s="89"/>
      <c r="L2822" s="89"/>
      <c r="M2822" s="89"/>
      <c r="N2822" s="89"/>
      <c r="O2822" s="89"/>
      <c r="P2822" s="28"/>
      <c r="Q2822" s="132">
        <f t="shared" si="503"/>
        <v>0</v>
      </c>
    </row>
    <row r="2823" spans="1:17">
      <c r="A2823" s="150"/>
      <c r="B2823" s="153"/>
      <c r="C2823" s="62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91"/>
      <c r="O2823" s="91"/>
      <c r="P2823" s="32"/>
      <c r="Q2823" s="132">
        <f t="shared" si="503"/>
        <v>0</v>
      </c>
    </row>
    <row r="2824" spans="1:17">
      <c r="A2824" s="150"/>
      <c r="B2824" s="154"/>
      <c r="C2824" s="6" t="s">
        <v>42</v>
      </c>
      <c r="D2824" s="92"/>
      <c r="E2824" s="92"/>
      <c r="F2824" s="92"/>
      <c r="G2824" s="92"/>
      <c r="H2824" s="92"/>
      <c r="I2824" s="92"/>
      <c r="J2824" s="92"/>
      <c r="K2824" s="92"/>
      <c r="L2824" s="92"/>
      <c r="M2824" s="92"/>
      <c r="N2824" s="92"/>
      <c r="O2824" s="92"/>
      <c r="P2824" s="33"/>
      <c r="Q2824" s="135">
        <f t="shared" si="503"/>
        <v>0</v>
      </c>
    </row>
    <row r="2825" spans="1:17">
      <c r="A2825" s="150"/>
      <c r="B2825" s="155" t="s">
        <v>11</v>
      </c>
      <c r="C2825" s="5" t="s">
        <v>7</v>
      </c>
      <c r="D2825" s="94"/>
      <c r="E2825" s="94"/>
      <c r="F2825" s="94"/>
      <c r="G2825" s="94"/>
      <c r="H2825" s="94"/>
      <c r="I2825" s="94"/>
      <c r="J2825" s="94"/>
      <c r="K2825" s="94"/>
      <c r="L2825" s="94"/>
      <c r="M2825" s="94"/>
      <c r="N2825" s="94"/>
      <c r="O2825" s="94"/>
      <c r="P2825" s="27"/>
      <c r="Q2825" s="136">
        <f t="shared" si="503"/>
        <v>0</v>
      </c>
    </row>
    <row r="2826" spans="1:17">
      <c r="A2826" s="150"/>
      <c r="B2826" s="153"/>
      <c r="C2826" s="6" t="s">
        <v>4</v>
      </c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32"/>
      <c r="Q2826" s="132">
        <f t="shared" si="503"/>
        <v>0</v>
      </c>
    </row>
    <row r="2827" spans="1:17">
      <c r="A2827" s="150"/>
      <c r="B2827" s="153"/>
      <c r="C2827" s="6" t="s">
        <v>17</v>
      </c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91"/>
      <c r="O2827" s="91"/>
      <c r="P2827" s="32"/>
      <c r="Q2827" s="132">
        <f t="shared" si="503"/>
        <v>0</v>
      </c>
    </row>
    <row r="2828" spans="1:17">
      <c r="A2828" s="150"/>
      <c r="B2828" s="153"/>
      <c r="C2828" s="6" t="s">
        <v>18</v>
      </c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32"/>
      <c r="Q2828" s="132">
        <f t="shared" si="503"/>
        <v>0</v>
      </c>
    </row>
    <row r="2829" spans="1:17">
      <c r="A2829" s="150"/>
      <c r="B2829" s="153"/>
      <c r="C2829" s="6" t="s">
        <v>60</v>
      </c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91"/>
      <c r="O2829" s="91"/>
      <c r="P2829" s="32"/>
      <c r="Q2829" s="135">
        <f t="shared" si="503"/>
        <v>0</v>
      </c>
    </row>
    <row r="2830" spans="1:17">
      <c r="A2830" s="150"/>
      <c r="B2830" s="155" t="s">
        <v>13</v>
      </c>
      <c r="C2830" s="5" t="s">
        <v>10</v>
      </c>
      <c r="D2830" s="94"/>
      <c r="E2830" s="94"/>
      <c r="F2830" s="94"/>
      <c r="G2830" s="94"/>
      <c r="H2830" s="94"/>
      <c r="I2830" s="94"/>
      <c r="J2830" s="94"/>
      <c r="K2830" s="94"/>
      <c r="L2830" s="94"/>
      <c r="M2830" s="94"/>
      <c r="N2830" s="94"/>
      <c r="O2830" s="94"/>
      <c r="P2830" s="27"/>
      <c r="Q2830" s="131">
        <f t="shared" si="503"/>
        <v>0</v>
      </c>
    </row>
    <row r="2831" spans="1:17">
      <c r="A2831" s="150"/>
      <c r="B2831" s="153"/>
      <c r="C2831" s="116" t="s">
        <v>55</v>
      </c>
      <c r="D2831" s="89"/>
      <c r="E2831" s="89"/>
      <c r="F2831" s="89"/>
      <c r="G2831" s="89"/>
      <c r="H2831" s="89"/>
      <c r="I2831" s="89"/>
      <c r="J2831" s="89"/>
      <c r="K2831" s="89"/>
      <c r="L2831" s="89"/>
      <c r="M2831" s="89"/>
      <c r="N2831" s="89"/>
      <c r="O2831" s="89"/>
      <c r="P2831" s="28"/>
      <c r="Q2831" s="132">
        <f t="shared" si="503"/>
        <v>0</v>
      </c>
    </row>
    <row r="2832" spans="1:17">
      <c r="A2832" s="150"/>
      <c r="B2832" s="153"/>
      <c r="C2832" s="8" t="s">
        <v>56</v>
      </c>
      <c r="D2832" s="89"/>
      <c r="E2832" s="89"/>
      <c r="F2832" s="89"/>
      <c r="G2832" s="89"/>
      <c r="H2832" s="89"/>
      <c r="I2832" s="89"/>
      <c r="J2832" s="89"/>
      <c r="K2832" s="89"/>
      <c r="L2832" s="89"/>
      <c r="M2832" s="89"/>
      <c r="N2832" s="89"/>
      <c r="O2832" s="89"/>
      <c r="P2832" s="28"/>
      <c r="Q2832" s="132">
        <f t="shared" si="503"/>
        <v>0</v>
      </c>
    </row>
    <row r="2833" spans="1:17" ht="14.25" thickBot="1">
      <c r="A2833" s="150"/>
      <c r="B2833" s="154"/>
      <c r="C2833" s="4" t="s">
        <v>61</v>
      </c>
      <c r="D2833" s="92"/>
      <c r="E2833" s="92"/>
      <c r="F2833" s="92"/>
      <c r="G2833" s="92"/>
      <c r="H2833" s="92"/>
      <c r="I2833" s="92"/>
      <c r="J2833" s="92"/>
      <c r="K2833" s="92"/>
      <c r="L2833" s="92"/>
      <c r="M2833" s="92"/>
      <c r="N2833" s="92"/>
      <c r="O2833" s="92"/>
      <c r="P2833" s="33"/>
      <c r="Q2833" s="133">
        <f t="shared" si="503"/>
        <v>0</v>
      </c>
    </row>
    <row r="2834" spans="1:17" ht="14.25" thickBot="1">
      <c r="A2834" s="150"/>
      <c r="B2834" s="156" t="s">
        <v>54</v>
      </c>
      <c r="C2834" s="157"/>
      <c r="D2834" s="56">
        <f>SUM(D2820:D2824)-SUM(D2828:D2829)</f>
        <v>0</v>
      </c>
      <c r="E2834" s="56">
        <f t="shared" ref="E2834:O2834" si="505">SUM(E2820:E2824)-SUM(E2828:E2829)</f>
        <v>0</v>
      </c>
      <c r="F2834" s="56">
        <f t="shared" si="505"/>
        <v>0</v>
      </c>
      <c r="G2834" s="56">
        <f t="shared" si="505"/>
        <v>0</v>
      </c>
      <c r="H2834" s="56">
        <f t="shared" si="505"/>
        <v>0</v>
      </c>
      <c r="I2834" s="56">
        <f t="shared" si="505"/>
        <v>0</v>
      </c>
      <c r="J2834" s="56">
        <f t="shared" si="505"/>
        <v>0</v>
      </c>
      <c r="K2834" s="56">
        <f t="shared" si="505"/>
        <v>0</v>
      </c>
      <c r="L2834" s="56">
        <f t="shared" si="505"/>
        <v>0</v>
      </c>
      <c r="M2834" s="56">
        <f t="shared" si="505"/>
        <v>0</v>
      </c>
      <c r="N2834" s="56">
        <f t="shared" si="505"/>
        <v>0</v>
      </c>
      <c r="O2834" s="56">
        <f t="shared" si="505"/>
        <v>0</v>
      </c>
      <c r="P2834" s="58">
        <f>SUM(P2818:P2824)-SUM(P2828:P2829)</f>
        <v>0</v>
      </c>
      <c r="Q2834" s="130">
        <f t="shared" si="503"/>
        <v>0</v>
      </c>
    </row>
    <row r="2835" spans="1:17" ht="14.25" thickBot="1">
      <c r="A2835" s="151"/>
      <c r="B2835" s="147" t="s">
        <v>5</v>
      </c>
      <c r="C2835" s="148"/>
      <c r="D2835" s="42">
        <f>SUM(D2820:D2824)-SUM(D2825:D2829)+SUM(D2830:D2833)</f>
        <v>0</v>
      </c>
      <c r="E2835" s="42">
        <f t="shared" ref="E2835:O2835" si="506">SUM(E2820:E2824)-SUM(E2825:E2829)+SUM(E2830:E2833)</f>
        <v>0</v>
      </c>
      <c r="F2835" s="42">
        <f t="shared" si="506"/>
        <v>0</v>
      </c>
      <c r="G2835" s="42">
        <f t="shared" si="506"/>
        <v>0</v>
      </c>
      <c r="H2835" s="42">
        <f t="shared" si="506"/>
        <v>0</v>
      </c>
      <c r="I2835" s="42">
        <f t="shared" si="506"/>
        <v>0</v>
      </c>
      <c r="J2835" s="42">
        <f t="shared" si="506"/>
        <v>0</v>
      </c>
      <c r="K2835" s="42">
        <f t="shared" si="506"/>
        <v>0</v>
      </c>
      <c r="L2835" s="42">
        <f t="shared" si="506"/>
        <v>0</v>
      </c>
      <c r="M2835" s="42">
        <f t="shared" si="506"/>
        <v>0</v>
      </c>
      <c r="N2835" s="42">
        <f t="shared" si="506"/>
        <v>0</v>
      </c>
      <c r="O2835" s="42">
        <f t="shared" si="506"/>
        <v>0</v>
      </c>
      <c r="P2835" s="44">
        <f>SUM(P2818:P2824)-SUM(P2825:P2829)+SUM(P2830:P2833)</f>
        <v>0</v>
      </c>
      <c r="Q2835" s="46">
        <f>SUM(D2835:P2835)</f>
        <v>0</v>
      </c>
    </row>
    <row r="2836" spans="1:17">
      <c r="A2836" s="149"/>
      <c r="B2836" s="152" t="s">
        <v>12</v>
      </c>
      <c r="C2836" s="114" t="s">
        <v>84</v>
      </c>
      <c r="D2836" s="87"/>
      <c r="E2836" s="87"/>
      <c r="F2836" s="87"/>
      <c r="G2836" s="87"/>
      <c r="H2836" s="87"/>
      <c r="I2836" s="87"/>
      <c r="J2836" s="87"/>
      <c r="K2836" s="87"/>
      <c r="L2836" s="87"/>
      <c r="M2836" s="87"/>
      <c r="N2836" s="87"/>
      <c r="O2836" s="87"/>
      <c r="P2836" s="30"/>
      <c r="Q2836" s="134">
        <f>SUM(D2836:P2836)</f>
        <v>0</v>
      </c>
    </row>
    <row r="2837" spans="1:17">
      <c r="A2837" s="150"/>
      <c r="B2837" s="153"/>
      <c r="C2837" s="115" t="s">
        <v>85</v>
      </c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28"/>
      <c r="Q2837" s="132">
        <f t="shared" ref="Q2837:Q2852" si="507">SUM(D2837:P2837)</f>
        <v>0</v>
      </c>
    </row>
    <row r="2838" spans="1:17">
      <c r="A2838" s="150"/>
      <c r="B2838" s="153"/>
      <c r="C2838" s="116" t="s">
        <v>86</v>
      </c>
      <c r="D2838" s="91">
        <f t="shared" ref="D2838:O2838" si="508">D2836*D2837</f>
        <v>0</v>
      </c>
      <c r="E2838" s="91">
        <f t="shared" si="508"/>
        <v>0</v>
      </c>
      <c r="F2838" s="91">
        <f t="shared" si="508"/>
        <v>0</v>
      </c>
      <c r="G2838" s="91">
        <f t="shared" si="508"/>
        <v>0</v>
      </c>
      <c r="H2838" s="91">
        <f t="shared" si="508"/>
        <v>0</v>
      </c>
      <c r="I2838" s="91">
        <f t="shared" si="508"/>
        <v>0</v>
      </c>
      <c r="J2838" s="91">
        <f t="shared" si="508"/>
        <v>0</v>
      </c>
      <c r="K2838" s="91">
        <f t="shared" si="508"/>
        <v>0</v>
      </c>
      <c r="L2838" s="91">
        <f t="shared" si="508"/>
        <v>0</v>
      </c>
      <c r="M2838" s="91">
        <f t="shared" si="508"/>
        <v>0</v>
      </c>
      <c r="N2838" s="91">
        <f t="shared" si="508"/>
        <v>0</v>
      </c>
      <c r="O2838" s="91">
        <f t="shared" si="508"/>
        <v>0</v>
      </c>
      <c r="P2838" s="32"/>
      <c r="Q2838" s="132">
        <f t="shared" si="507"/>
        <v>0</v>
      </c>
    </row>
    <row r="2839" spans="1:17">
      <c r="A2839" s="150"/>
      <c r="B2839" s="153"/>
      <c r="C2839" s="117" t="s">
        <v>9</v>
      </c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32"/>
      <c r="Q2839" s="132">
        <f t="shared" si="507"/>
        <v>0</v>
      </c>
    </row>
    <row r="2840" spans="1:17">
      <c r="A2840" s="150"/>
      <c r="B2840" s="153"/>
      <c r="C2840" s="117" t="s">
        <v>38</v>
      </c>
      <c r="D2840" s="89"/>
      <c r="E2840" s="89"/>
      <c r="F2840" s="89"/>
      <c r="G2840" s="89"/>
      <c r="H2840" s="89"/>
      <c r="I2840" s="89"/>
      <c r="J2840" s="89"/>
      <c r="K2840" s="89"/>
      <c r="L2840" s="89"/>
      <c r="M2840" s="89"/>
      <c r="N2840" s="89"/>
      <c r="O2840" s="89"/>
      <c r="P2840" s="28"/>
      <c r="Q2840" s="132">
        <f t="shared" si="507"/>
        <v>0</v>
      </c>
    </row>
    <row r="2841" spans="1:17">
      <c r="A2841" s="150"/>
      <c r="B2841" s="153"/>
      <c r="C2841" s="62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32"/>
      <c r="Q2841" s="132">
        <f t="shared" si="507"/>
        <v>0</v>
      </c>
    </row>
    <row r="2842" spans="1:17">
      <c r="A2842" s="150"/>
      <c r="B2842" s="154"/>
      <c r="C2842" s="6" t="s">
        <v>42</v>
      </c>
      <c r="D2842" s="92"/>
      <c r="E2842" s="92"/>
      <c r="F2842" s="92"/>
      <c r="G2842" s="92"/>
      <c r="H2842" s="92"/>
      <c r="I2842" s="92"/>
      <c r="J2842" s="92"/>
      <c r="K2842" s="92"/>
      <c r="L2842" s="92"/>
      <c r="M2842" s="92"/>
      <c r="N2842" s="92"/>
      <c r="O2842" s="92"/>
      <c r="P2842" s="33"/>
      <c r="Q2842" s="135">
        <f t="shared" si="507"/>
        <v>0</v>
      </c>
    </row>
    <row r="2843" spans="1:17">
      <c r="A2843" s="150"/>
      <c r="B2843" s="155" t="s">
        <v>11</v>
      </c>
      <c r="C2843" s="5" t="s">
        <v>7</v>
      </c>
      <c r="D2843" s="94"/>
      <c r="E2843" s="94"/>
      <c r="F2843" s="94"/>
      <c r="G2843" s="94"/>
      <c r="H2843" s="94"/>
      <c r="I2843" s="94"/>
      <c r="J2843" s="94"/>
      <c r="K2843" s="94"/>
      <c r="L2843" s="94"/>
      <c r="M2843" s="94"/>
      <c r="N2843" s="94"/>
      <c r="O2843" s="94"/>
      <c r="P2843" s="27"/>
      <c r="Q2843" s="136">
        <f t="shared" si="507"/>
        <v>0</v>
      </c>
    </row>
    <row r="2844" spans="1:17">
      <c r="A2844" s="150"/>
      <c r="B2844" s="153"/>
      <c r="C2844" s="6" t="s">
        <v>4</v>
      </c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32"/>
      <c r="Q2844" s="132">
        <f t="shared" si="507"/>
        <v>0</v>
      </c>
    </row>
    <row r="2845" spans="1:17">
      <c r="A2845" s="150"/>
      <c r="B2845" s="153"/>
      <c r="C2845" s="6" t="s">
        <v>17</v>
      </c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32"/>
      <c r="Q2845" s="132">
        <f t="shared" si="507"/>
        <v>0</v>
      </c>
    </row>
    <row r="2846" spans="1:17">
      <c r="A2846" s="150"/>
      <c r="B2846" s="153"/>
      <c r="C2846" s="6" t="s">
        <v>18</v>
      </c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32"/>
      <c r="Q2846" s="132">
        <f t="shared" si="507"/>
        <v>0</v>
      </c>
    </row>
    <row r="2847" spans="1:17">
      <c r="A2847" s="150"/>
      <c r="B2847" s="153"/>
      <c r="C2847" s="6" t="s">
        <v>60</v>
      </c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32"/>
      <c r="Q2847" s="135">
        <f t="shared" si="507"/>
        <v>0</v>
      </c>
    </row>
    <row r="2848" spans="1:17">
      <c r="A2848" s="150"/>
      <c r="B2848" s="155" t="s">
        <v>13</v>
      </c>
      <c r="C2848" s="5" t="s">
        <v>10</v>
      </c>
      <c r="D2848" s="94"/>
      <c r="E2848" s="94"/>
      <c r="F2848" s="94"/>
      <c r="G2848" s="94"/>
      <c r="H2848" s="94"/>
      <c r="I2848" s="94"/>
      <c r="J2848" s="94"/>
      <c r="K2848" s="94"/>
      <c r="L2848" s="94"/>
      <c r="M2848" s="94"/>
      <c r="N2848" s="94"/>
      <c r="O2848" s="94"/>
      <c r="P2848" s="27"/>
      <c r="Q2848" s="131">
        <f t="shared" si="507"/>
        <v>0</v>
      </c>
    </row>
    <row r="2849" spans="1:17">
      <c r="A2849" s="150"/>
      <c r="B2849" s="153"/>
      <c r="C2849" s="116" t="s">
        <v>55</v>
      </c>
      <c r="D2849" s="89"/>
      <c r="E2849" s="89"/>
      <c r="F2849" s="89"/>
      <c r="G2849" s="89"/>
      <c r="H2849" s="89"/>
      <c r="I2849" s="89"/>
      <c r="J2849" s="89"/>
      <c r="K2849" s="89"/>
      <c r="L2849" s="89"/>
      <c r="M2849" s="89"/>
      <c r="N2849" s="89"/>
      <c r="O2849" s="89"/>
      <c r="P2849" s="28"/>
      <c r="Q2849" s="132">
        <f t="shared" si="507"/>
        <v>0</v>
      </c>
    </row>
    <row r="2850" spans="1:17">
      <c r="A2850" s="150"/>
      <c r="B2850" s="153"/>
      <c r="C2850" s="8" t="s">
        <v>56</v>
      </c>
      <c r="D2850" s="89"/>
      <c r="E2850" s="89"/>
      <c r="F2850" s="89"/>
      <c r="G2850" s="89"/>
      <c r="H2850" s="89"/>
      <c r="I2850" s="89"/>
      <c r="J2850" s="89"/>
      <c r="K2850" s="89"/>
      <c r="L2850" s="89"/>
      <c r="M2850" s="89"/>
      <c r="N2850" s="89"/>
      <c r="O2850" s="89"/>
      <c r="P2850" s="28"/>
      <c r="Q2850" s="132">
        <f t="shared" si="507"/>
        <v>0</v>
      </c>
    </row>
    <row r="2851" spans="1:17" ht="14.25" thickBot="1">
      <c r="A2851" s="150"/>
      <c r="B2851" s="154"/>
      <c r="C2851" s="4" t="s">
        <v>61</v>
      </c>
      <c r="D2851" s="92"/>
      <c r="E2851" s="92"/>
      <c r="F2851" s="92"/>
      <c r="G2851" s="92"/>
      <c r="H2851" s="92"/>
      <c r="I2851" s="92"/>
      <c r="J2851" s="92"/>
      <c r="K2851" s="92"/>
      <c r="L2851" s="92"/>
      <c r="M2851" s="92"/>
      <c r="N2851" s="92"/>
      <c r="O2851" s="92"/>
      <c r="P2851" s="33"/>
      <c r="Q2851" s="133">
        <f t="shared" si="507"/>
        <v>0</v>
      </c>
    </row>
    <row r="2852" spans="1:17" ht="14.25" thickBot="1">
      <c r="A2852" s="150"/>
      <c r="B2852" s="156" t="s">
        <v>54</v>
      </c>
      <c r="C2852" s="157"/>
      <c r="D2852" s="56">
        <f>SUM(D2838:D2842)-SUM(D2846:D2847)</f>
        <v>0</v>
      </c>
      <c r="E2852" s="56">
        <f t="shared" ref="E2852:O2852" si="509">SUM(E2838:E2842)-SUM(E2846:E2847)</f>
        <v>0</v>
      </c>
      <c r="F2852" s="56">
        <f t="shared" si="509"/>
        <v>0</v>
      </c>
      <c r="G2852" s="56">
        <f t="shared" si="509"/>
        <v>0</v>
      </c>
      <c r="H2852" s="56">
        <f t="shared" si="509"/>
        <v>0</v>
      </c>
      <c r="I2852" s="56">
        <f t="shared" si="509"/>
        <v>0</v>
      </c>
      <c r="J2852" s="56">
        <f t="shared" si="509"/>
        <v>0</v>
      </c>
      <c r="K2852" s="56">
        <f t="shared" si="509"/>
        <v>0</v>
      </c>
      <c r="L2852" s="56">
        <f t="shared" si="509"/>
        <v>0</v>
      </c>
      <c r="M2852" s="56">
        <f t="shared" si="509"/>
        <v>0</v>
      </c>
      <c r="N2852" s="56">
        <f t="shared" si="509"/>
        <v>0</v>
      </c>
      <c r="O2852" s="56">
        <f t="shared" si="509"/>
        <v>0</v>
      </c>
      <c r="P2852" s="58">
        <f>SUM(P2836:P2842)-SUM(P2846:P2847)</f>
        <v>0</v>
      </c>
      <c r="Q2852" s="130">
        <f t="shared" si="507"/>
        <v>0</v>
      </c>
    </row>
    <row r="2853" spans="1:17" ht="14.25" thickBot="1">
      <c r="A2853" s="151"/>
      <c r="B2853" s="147" t="s">
        <v>5</v>
      </c>
      <c r="C2853" s="148"/>
      <c r="D2853" s="42">
        <f>SUM(D2838:D2842)-SUM(D2843:D2847)+SUM(D2848:D2851)</f>
        <v>0</v>
      </c>
      <c r="E2853" s="42">
        <f t="shared" ref="E2853:O2853" si="510">SUM(E2838:E2842)-SUM(E2843:E2847)+SUM(E2848:E2851)</f>
        <v>0</v>
      </c>
      <c r="F2853" s="42">
        <f t="shared" si="510"/>
        <v>0</v>
      </c>
      <c r="G2853" s="42">
        <f t="shared" si="510"/>
        <v>0</v>
      </c>
      <c r="H2853" s="42">
        <f t="shared" si="510"/>
        <v>0</v>
      </c>
      <c r="I2853" s="42">
        <f t="shared" si="510"/>
        <v>0</v>
      </c>
      <c r="J2853" s="42">
        <f t="shared" si="510"/>
        <v>0</v>
      </c>
      <c r="K2853" s="42">
        <f t="shared" si="510"/>
        <v>0</v>
      </c>
      <c r="L2853" s="42">
        <f t="shared" si="510"/>
        <v>0</v>
      </c>
      <c r="M2853" s="42">
        <f t="shared" si="510"/>
        <v>0</v>
      </c>
      <c r="N2853" s="42">
        <f t="shared" si="510"/>
        <v>0</v>
      </c>
      <c r="O2853" s="42">
        <f t="shared" si="510"/>
        <v>0</v>
      </c>
      <c r="P2853" s="44">
        <f>SUM(P2836:P2842)-SUM(P2843:P2847)+SUM(P2848:P2851)</f>
        <v>0</v>
      </c>
      <c r="Q2853" s="46">
        <f>SUM(D2853:P2853)</f>
        <v>0</v>
      </c>
    </row>
    <row r="2854" spans="1:17">
      <c r="A2854" s="149"/>
      <c r="B2854" s="152" t="s">
        <v>12</v>
      </c>
      <c r="C2854" s="114" t="s">
        <v>84</v>
      </c>
      <c r="D2854" s="87"/>
      <c r="E2854" s="87"/>
      <c r="F2854" s="87"/>
      <c r="G2854" s="87"/>
      <c r="H2854" s="87"/>
      <c r="I2854" s="87"/>
      <c r="J2854" s="87"/>
      <c r="K2854" s="87"/>
      <c r="L2854" s="87"/>
      <c r="M2854" s="87"/>
      <c r="N2854" s="87"/>
      <c r="O2854" s="87"/>
      <c r="P2854" s="30"/>
      <c r="Q2854" s="134">
        <f>SUM(D2854:P2854)</f>
        <v>0</v>
      </c>
    </row>
    <row r="2855" spans="1:17">
      <c r="A2855" s="150"/>
      <c r="B2855" s="153"/>
      <c r="C2855" s="115" t="s">
        <v>85</v>
      </c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28"/>
      <c r="Q2855" s="132">
        <f t="shared" ref="Q2855:Q2870" si="511">SUM(D2855:P2855)</f>
        <v>0</v>
      </c>
    </row>
    <row r="2856" spans="1:17">
      <c r="A2856" s="150"/>
      <c r="B2856" s="153"/>
      <c r="C2856" s="116" t="s">
        <v>86</v>
      </c>
      <c r="D2856" s="91">
        <f t="shared" ref="D2856:O2856" si="512">D2854*D2855</f>
        <v>0</v>
      </c>
      <c r="E2856" s="91">
        <f t="shared" si="512"/>
        <v>0</v>
      </c>
      <c r="F2856" s="91">
        <f t="shared" si="512"/>
        <v>0</v>
      </c>
      <c r="G2856" s="91">
        <f t="shared" si="512"/>
        <v>0</v>
      </c>
      <c r="H2856" s="91">
        <f t="shared" si="512"/>
        <v>0</v>
      </c>
      <c r="I2856" s="91">
        <f t="shared" si="512"/>
        <v>0</v>
      </c>
      <c r="J2856" s="91">
        <f t="shared" si="512"/>
        <v>0</v>
      </c>
      <c r="K2856" s="91">
        <f t="shared" si="512"/>
        <v>0</v>
      </c>
      <c r="L2856" s="91">
        <f t="shared" si="512"/>
        <v>0</v>
      </c>
      <c r="M2856" s="91">
        <f t="shared" si="512"/>
        <v>0</v>
      </c>
      <c r="N2856" s="91">
        <f t="shared" si="512"/>
        <v>0</v>
      </c>
      <c r="O2856" s="91">
        <f t="shared" si="512"/>
        <v>0</v>
      </c>
      <c r="P2856" s="32"/>
      <c r="Q2856" s="132">
        <f t="shared" si="511"/>
        <v>0</v>
      </c>
    </row>
    <row r="2857" spans="1:17">
      <c r="A2857" s="150"/>
      <c r="B2857" s="153"/>
      <c r="C2857" s="117" t="s">
        <v>9</v>
      </c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91"/>
      <c r="O2857" s="91"/>
      <c r="P2857" s="32"/>
      <c r="Q2857" s="132">
        <f t="shared" si="511"/>
        <v>0</v>
      </c>
    </row>
    <row r="2858" spans="1:17">
      <c r="A2858" s="150"/>
      <c r="B2858" s="153"/>
      <c r="C2858" s="117" t="s">
        <v>38</v>
      </c>
      <c r="D2858" s="89"/>
      <c r="E2858" s="89"/>
      <c r="F2858" s="89"/>
      <c r="G2858" s="89"/>
      <c r="H2858" s="89"/>
      <c r="I2858" s="89"/>
      <c r="J2858" s="89"/>
      <c r="K2858" s="89"/>
      <c r="L2858" s="89"/>
      <c r="M2858" s="89"/>
      <c r="N2858" s="89"/>
      <c r="O2858" s="89"/>
      <c r="P2858" s="28"/>
      <c r="Q2858" s="132">
        <f t="shared" si="511"/>
        <v>0</v>
      </c>
    </row>
    <row r="2859" spans="1:17">
      <c r="A2859" s="150"/>
      <c r="B2859" s="153"/>
      <c r="C2859" s="62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91"/>
      <c r="O2859" s="91"/>
      <c r="P2859" s="32"/>
      <c r="Q2859" s="132">
        <f t="shared" si="511"/>
        <v>0</v>
      </c>
    </row>
    <row r="2860" spans="1:17">
      <c r="A2860" s="150"/>
      <c r="B2860" s="154"/>
      <c r="C2860" s="6" t="s">
        <v>42</v>
      </c>
      <c r="D2860" s="92"/>
      <c r="E2860" s="92"/>
      <c r="F2860" s="92"/>
      <c r="G2860" s="92"/>
      <c r="H2860" s="92"/>
      <c r="I2860" s="92"/>
      <c r="J2860" s="92"/>
      <c r="K2860" s="92"/>
      <c r="L2860" s="92"/>
      <c r="M2860" s="92"/>
      <c r="N2860" s="92"/>
      <c r="O2860" s="92"/>
      <c r="P2860" s="33"/>
      <c r="Q2860" s="135">
        <f t="shared" si="511"/>
        <v>0</v>
      </c>
    </row>
    <row r="2861" spans="1:17">
      <c r="A2861" s="150"/>
      <c r="B2861" s="155" t="s">
        <v>11</v>
      </c>
      <c r="C2861" s="5" t="s">
        <v>7</v>
      </c>
      <c r="D2861" s="94"/>
      <c r="E2861" s="94"/>
      <c r="F2861" s="94"/>
      <c r="G2861" s="94"/>
      <c r="H2861" s="94"/>
      <c r="I2861" s="94"/>
      <c r="J2861" s="94"/>
      <c r="K2861" s="94"/>
      <c r="L2861" s="94"/>
      <c r="M2861" s="94"/>
      <c r="N2861" s="94"/>
      <c r="O2861" s="94"/>
      <c r="P2861" s="27"/>
      <c r="Q2861" s="136">
        <f t="shared" si="511"/>
        <v>0</v>
      </c>
    </row>
    <row r="2862" spans="1:17">
      <c r="A2862" s="150"/>
      <c r="B2862" s="153"/>
      <c r="C2862" s="6" t="s">
        <v>4</v>
      </c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32"/>
      <c r="Q2862" s="132">
        <f t="shared" si="511"/>
        <v>0</v>
      </c>
    </row>
    <row r="2863" spans="1:17">
      <c r="A2863" s="150"/>
      <c r="B2863" s="153"/>
      <c r="C2863" s="6" t="s">
        <v>17</v>
      </c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91"/>
      <c r="O2863" s="91"/>
      <c r="P2863" s="32"/>
      <c r="Q2863" s="132">
        <f t="shared" si="511"/>
        <v>0</v>
      </c>
    </row>
    <row r="2864" spans="1:17">
      <c r="A2864" s="150"/>
      <c r="B2864" s="153"/>
      <c r="C2864" s="6" t="s">
        <v>18</v>
      </c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32"/>
      <c r="Q2864" s="132">
        <f t="shared" si="511"/>
        <v>0</v>
      </c>
    </row>
    <row r="2865" spans="1:17">
      <c r="A2865" s="150"/>
      <c r="B2865" s="153"/>
      <c r="C2865" s="6" t="s">
        <v>60</v>
      </c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91"/>
      <c r="O2865" s="91"/>
      <c r="P2865" s="32"/>
      <c r="Q2865" s="135">
        <f t="shared" si="511"/>
        <v>0</v>
      </c>
    </row>
    <row r="2866" spans="1:17">
      <c r="A2866" s="150"/>
      <c r="B2866" s="155" t="s">
        <v>13</v>
      </c>
      <c r="C2866" s="5" t="s">
        <v>10</v>
      </c>
      <c r="D2866" s="94"/>
      <c r="E2866" s="94"/>
      <c r="F2866" s="94"/>
      <c r="G2866" s="94"/>
      <c r="H2866" s="94"/>
      <c r="I2866" s="94"/>
      <c r="J2866" s="94"/>
      <c r="K2866" s="94"/>
      <c r="L2866" s="94"/>
      <c r="M2866" s="94"/>
      <c r="N2866" s="94"/>
      <c r="O2866" s="94"/>
      <c r="P2866" s="27"/>
      <c r="Q2866" s="131">
        <f t="shared" si="511"/>
        <v>0</v>
      </c>
    </row>
    <row r="2867" spans="1:17">
      <c r="A2867" s="150"/>
      <c r="B2867" s="153"/>
      <c r="C2867" s="116" t="s">
        <v>55</v>
      </c>
      <c r="D2867" s="89"/>
      <c r="E2867" s="89"/>
      <c r="F2867" s="89"/>
      <c r="G2867" s="89"/>
      <c r="H2867" s="89"/>
      <c r="I2867" s="89"/>
      <c r="J2867" s="89"/>
      <c r="K2867" s="89"/>
      <c r="L2867" s="89"/>
      <c r="M2867" s="89"/>
      <c r="N2867" s="89"/>
      <c r="O2867" s="89"/>
      <c r="P2867" s="28"/>
      <c r="Q2867" s="132">
        <f t="shared" si="511"/>
        <v>0</v>
      </c>
    </row>
    <row r="2868" spans="1:17">
      <c r="A2868" s="150"/>
      <c r="B2868" s="153"/>
      <c r="C2868" s="8" t="s">
        <v>56</v>
      </c>
      <c r="D2868" s="89"/>
      <c r="E2868" s="89"/>
      <c r="F2868" s="89"/>
      <c r="G2868" s="89"/>
      <c r="H2868" s="89"/>
      <c r="I2868" s="89"/>
      <c r="J2868" s="89"/>
      <c r="K2868" s="89"/>
      <c r="L2868" s="89"/>
      <c r="M2868" s="89"/>
      <c r="N2868" s="89"/>
      <c r="O2868" s="89"/>
      <c r="P2868" s="28"/>
      <c r="Q2868" s="132">
        <f t="shared" si="511"/>
        <v>0</v>
      </c>
    </row>
    <row r="2869" spans="1:17" ht="14.25" thickBot="1">
      <c r="A2869" s="150"/>
      <c r="B2869" s="154"/>
      <c r="C2869" s="4" t="s">
        <v>61</v>
      </c>
      <c r="D2869" s="92"/>
      <c r="E2869" s="92"/>
      <c r="F2869" s="92"/>
      <c r="G2869" s="92"/>
      <c r="H2869" s="92"/>
      <c r="I2869" s="92"/>
      <c r="J2869" s="92"/>
      <c r="K2869" s="92"/>
      <c r="L2869" s="92"/>
      <c r="M2869" s="92"/>
      <c r="N2869" s="92"/>
      <c r="O2869" s="92"/>
      <c r="P2869" s="33"/>
      <c r="Q2869" s="133">
        <f t="shared" si="511"/>
        <v>0</v>
      </c>
    </row>
    <row r="2870" spans="1:17" ht="14.25" thickBot="1">
      <c r="A2870" s="150"/>
      <c r="B2870" s="156" t="s">
        <v>54</v>
      </c>
      <c r="C2870" s="157"/>
      <c r="D2870" s="56">
        <f>SUM(D2856:D2860)-SUM(D2864:D2865)</f>
        <v>0</v>
      </c>
      <c r="E2870" s="56">
        <f t="shared" ref="E2870:O2870" si="513">SUM(E2856:E2860)-SUM(E2864:E2865)</f>
        <v>0</v>
      </c>
      <c r="F2870" s="56">
        <f t="shared" si="513"/>
        <v>0</v>
      </c>
      <c r="G2870" s="56">
        <f t="shared" si="513"/>
        <v>0</v>
      </c>
      <c r="H2870" s="56">
        <f t="shared" si="513"/>
        <v>0</v>
      </c>
      <c r="I2870" s="56">
        <f t="shared" si="513"/>
        <v>0</v>
      </c>
      <c r="J2870" s="56">
        <f t="shared" si="513"/>
        <v>0</v>
      </c>
      <c r="K2870" s="56">
        <f t="shared" si="513"/>
        <v>0</v>
      </c>
      <c r="L2870" s="56">
        <f t="shared" si="513"/>
        <v>0</v>
      </c>
      <c r="M2870" s="56">
        <f t="shared" si="513"/>
        <v>0</v>
      </c>
      <c r="N2870" s="56">
        <f t="shared" si="513"/>
        <v>0</v>
      </c>
      <c r="O2870" s="56">
        <f t="shared" si="513"/>
        <v>0</v>
      </c>
      <c r="P2870" s="58">
        <f>SUM(P2854:P2860)-SUM(P2864:P2865)</f>
        <v>0</v>
      </c>
      <c r="Q2870" s="130">
        <f t="shared" si="511"/>
        <v>0</v>
      </c>
    </row>
    <row r="2871" spans="1:17" ht="14.25" thickBot="1">
      <c r="A2871" s="151"/>
      <c r="B2871" s="147" t="s">
        <v>5</v>
      </c>
      <c r="C2871" s="148"/>
      <c r="D2871" s="42">
        <f>SUM(D2856:D2860)-SUM(D2861:D2865)+SUM(D2866:D2869)</f>
        <v>0</v>
      </c>
      <c r="E2871" s="42">
        <f t="shared" ref="E2871:O2871" si="514">SUM(E2856:E2860)-SUM(E2861:E2865)+SUM(E2866:E2869)</f>
        <v>0</v>
      </c>
      <c r="F2871" s="42">
        <f t="shared" si="514"/>
        <v>0</v>
      </c>
      <c r="G2871" s="42">
        <f t="shared" si="514"/>
        <v>0</v>
      </c>
      <c r="H2871" s="42">
        <f t="shared" si="514"/>
        <v>0</v>
      </c>
      <c r="I2871" s="42">
        <f t="shared" si="514"/>
        <v>0</v>
      </c>
      <c r="J2871" s="42">
        <f t="shared" si="514"/>
        <v>0</v>
      </c>
      <c r="K2871" s="42">
        <f t="shared" si="514"/>
        <v>0</v>
      </c>
      <c r="L2871" s="42">
        <f t="shared" si="514"/>
        <v>0</v>
      </c>
      <c r="M2871" s="42">
        <f t="shared" si="514"/>
        <v>0</v>
      </c>
      <c r="N2871" s="42">
        <f t="shared" si="514"/>
        <v>0</v>
      </c>
      <c r="O2871" s="42">
        <f t="shared" si="514"/>
        <v>0</v>
      </c>
      <c r="P2871" s="44">
        <f>SUM(P2854:P2860)-SUM(P2861:P2865)+SUM(P2866:P2869)</f>
        <v>0</v>
      </c>
      <c r="Q2871" s="46">
        <f>SUM(D2871:P2871)</f>
        <v>0</v>
      </c>
    </row>
    <row r="2872" spans="1:17">
      <c r="A2872" s="149"/>
      <c r="B2872" s="152" t="s">
        <v>12</v>
      </c>
      <c r="C2872" s="114" t="s">
        <v>84</v>
      </c>
      <c r="D2872" s="87"/>
      <c r="E2872" s="87"/>
      <c r="F2872" s="87"/>
      <c r="G2872" s="87"/>
      <c r="H2872" s="87"/>
      <c r="I2872" s="87"/>
      <c r="J2872" s="87"/>
      <c r="K2872" s="87"/>
      <c r="L2872" s="87"/>
      <c r="M2872" s="87"/>
      <c r="N2872" s="87"/>
      <c r="O2872" s="87"/>
      <c r="P2872" s="30"/>
      <c r="Q2872" s="134">
        <f>SUM(D2872:P2872)</f>
        <v>0</v>
      </c>
    </row>
    <row r="2873" spans="1:17">
      <c r="A2873" s="150"/>
      <c r="B2873" s="153"/>
      <c r="C2873" s="115" t="s">
        <v>85</v>
      </c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28"/>
      <c r="Q2873" s="132">
        <f t="shared" ref="Q2873:Q2888" si="515">SUM(D2873:P2873)</f>
        <v>0</v>
      </c>
    </row>
    <row r="2874" spans="1:17">
      <c r="A2874" s="150"/>
      <c r="B2874" s="153"/>
      <c r="C2874" s="116" t="s">
        <v>86</v>
      </c>
      <c r="D2874" s="91">
        <f t="shared" ref="D2874:O2874" si="516">D2872*D2873</f>
        <v>0</v>
      </c>
      <c r="E2874" s="91">
        <f t="shared" si="516"/>
        <v>0</v>
      </c>
      <c r="F2874" s="91">
        <f t="shared" si="516"/>
        <v>0</v>
      </c>
      <c r="G2874" s="91">
        <f t="shared" si="516"/>
        <v>0</v>
      </c>
      <c r="H2874" s="91">
        <f t="shared" si="516"/>
        <v>0</v>
      </c>
      <c r="I2874" s="91">
        <f t="shared" si="516"/>
        <v>0</v>
      </c>
      <c r="J2874" s="91">
        <f t="shared" si="516"/>
        <v>0</v>
      </c>
      <c r="K2874" s="91">
        <f t="shared" si="516"/>
        <v>0</v>
      </c>
      <c r="L2874" s="91">
        <f t="shared" si="516"/>
        <v>0</v>
      </c>
      <c r="M2874" s="91">
        <f t="shared" si="516"/>
        <v>0</v>
      </c>
      <c r="N2874" s="91">
        <f t="shared" si="516"/>
        <v>0</v>
      </c>
      <c r="O2874" s="91">
        <f t="shared" si="516"/>
        <v>0</v>
      </c>
      <c r="P2874" s="32"/>
      <c r="Q2874" s="132">
        <f t="shared" si="515"/>
        <v>0</v>
      </c>
    </row>
    <row r="2875" spans="1:17">
      <c r="A2875" s="150"/>
      <c r="B2875" s="153"/>
      <c r="C2875" s="117" t="s">
        <v>9</v>
      </c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32"/>
      <c r="Q2875" s="132">
        <f t="shared" si="515"/>
        <v>0</v>
      </c>
    </row>
    <row r="2876" spans="1:17">
      <c r="A2876" s="150"/>
      <c r="B2876" s="153"/>
      <c r="C2876" s="117" t="s">
        <v>38</v>
      </c>
      <c r="D2876" s="89"/>
      <c r="E2876" s="89"/>
      <c r="F2876" s="89"/>
      <c r="G2876" s="89"/>
      <c r="H2876" s="89"/>
      <c r="I2876" s="89"/>
      <c r="J2876" s="89"/>
      <c r="K2876" s="89"/>
      <c r="L2876" s="89"/>
      <c r="M2876" s="89"/>
      <c r="N2876" s="89"/>
      <c r="O2876" s="89"/>
      <c r="P2876" s="28"/>
      <c r="Q2876" s="132">
        <f t="shared" si="515"/>
        <v>0</v>
      </c>
    </row>
    <row r="2877" spans="1:17">
      <c r="A2877" s="150"/>
      <c r="B2877" s="153"/>
      <c r="C2877" s="62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32"/>
      <c r="Q2877" s="132">
        <f t="shared" si="515"/>
        <v>0</v>
      </c>
    </row>
    <row r="2878" spans="1:17">
      <c r="A2878" s="150"/>
      <c r="B2878" s="154"/>
      <c r="C2878" s="6" t="s">
        <v>42</v>
      </c>
      <c r="D2878" s="92"/>
      <c r="E2878" s="92"/>
      <c r="F2878" s="92"/>
      <c r="G2878" s="92"/>
      <c r="H2878" s="92"/>
      <c r="I2878" s="92"/>
      <c r="J2878" s="92"/>
      <c r="K2878" s="92"/>
      <c r="L2878" s="92"/>
      <c r="M2878" s="92"/>
      <c r="N2878" s="92"/>
      <c r="O2878" s="92"/>
      <c r="P2878" s="33"/>
      <c r="Q2878" s="135">
        <f t="shared" si="515"/>
        <v>0</v>
      </c>
    </row>
    <row r="2879" spans="1:17">
      <c r="A2879" s="150"/>
      <c r="B2879" s="155" t="s">
        <v>11</v>
      </c>
      <c r="C2879" s="5" t="s">
        <v>7</v>
      </c>
      <c r="D2879" s="94"/>
      <c r="E2879" s="94"/>
      <c r="F2879" s="94"/>
      <c r="G2879" s="94"/>
      <c r="H2879" s="94"/>
      <c r="I2879" s="94"/>
      <c r="J2879" s="94"/>
      <c r="K2879" s="94"/>
      <c r="L2879" s="94"/>
      <c r="M2879" s="94"/>
      <c r="N2879" s="94"/>
      <c r="O2879" s="94"/>
      <c r="P2879" s="27"/>
      <c r="Q2879" s="136">
        <f t="shared" si="515"/>
        <v>0</v>
      </c>
    </row>
    <row r="2880" spans="1:17">
      <c r="A2880" s="150"/>
      <c r="B2880" s="153"/>
      <c r="C2880" s="6" t="s">
        <v>4</v>
      </c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32"/>
      <c r="Q2880" s="132">
        <f t="shared" si="515"/>
        <v>0</v>
      </c>
    </row>
    <row r="2881" spans="1:17">
      <c r="A2881" s="150"/>
      <c r="B2881" s="153"/>
      <c r="C2881" s="6" t="s">
        <v>17</v>
      </c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32"/>
      <c r="Q2881" s="132">
        <f t="shared" si="515"/>
        <v>0</v>
      </c>
    </row>
    <row r="2882" spans="1:17">
      <c r="A2882" s="150"/>
      <c r="B2882" s="153"/>
      <c r="C2882" s="6" t="s">
        <v>18</v>
      </c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32"/>
      <c r="Q2882" s="132">
        <f t="shared" si="515"/>
        <v>0</v>
      </c>
    </row>
    <row r="2883" spans="1:17">
      <c r="A2883" s="150"/>
      <c r="B2883" s="153"/>
      <c r="C2883" s="6" t="s">
        <v>60</v>
      </c>
      <c r="D2883" s="91"/>
      <c r="E2883" s="91"/>
      <c r="F2883" s="91"/>
      <c r="G2883" s="91"/>
      <c r="H2883" s="91"/>
      <c r="I2883" s="91"/>
      <c r="J2883" s="91"/>
      <c r="K2883" s="91"/>
      <c r="L2883" s="91"/>
      <c r="M2883" s="91"/>
      <c r="N2883" s="91"/>
      <c r="O2883" s="91"/>
      <c r="P2883" s="32"/>
      <c r="Q2883" s="135">
        <f t="shared" si="515"/>
        <v>0</v>
      </c>
    </row>
    <row r="2884" spans="1:17">
      <c r="A2884" s="150"/>
      <c r="B2884" s="155" t="s">
        <v>13</v>
      </c>
      <c r="C2884" s="5" t="s">
        <v>10</v>
      </c>
      <c r="D2884" s="94"/>
      <c r="E2884" s="94"/>
      <c r="F2884" s="94"/>
      <c r="G2884" s="94"/>
      <c r="H2884" s="94"/>
      <c r="I2884" s="94"/>
      <c r="J2884" s="94"/>
      <c r="K2884" s="94"/>
      <c r="L2884" s="94"/>
      <c r="M2884" s="94"/>
      <c r="N2884" s="94"/>
      <c r="O2884" s="94"/>
      <c r="P2884" s="27"/>
      <c r="Q2884" s="131">
        <f t="shared" si="515"/>
        <v>0</v>
      </c>
    </row>
    <row r="2885" spans="1:17">
      <c r="A2885" s="150"/>
      <c r="B2885" s="153"/>
      <c r="C2885" s="116" t="s">
        <v>55</v>
      </c>
      <c r="D2885" s="89"/>
      <c r="E2885" s="89"/>
      <c r="F2885" s="89"/>
      <c r="G2885" s="89"/>
      <c r="H2885" s="89"/>
      <c r="I2885" s="89"/>
      <c r="J2885" s="89"/>
      <c r="K2885" s="89"/>
      <c r="L2885" s="89"/>
      <c r="M2885" s="89"/>
      <c r="N2885" s="89"/>
      <c r="O2885" s="89"/>
      <c r="P2885" s="28"/>
      <c r="Q2885" s="132">
        <f t="shared" si="515"/>
        <v>0</v>
      </c>
    </row>
    <row r="2886" spans="1:17">
      <c r="A2886" s="150"/>
      <c r="B2886" s="153"/>
      <c r="C2886" s="8" t="s">
        <v>56</v>
      </c>
      <c r="D2886" s="89"/>
      <c r="E2886" s="89"/>
      <c r="F2886" s="89"/>
      <c r="G2886" s="89"/>
      <c r="H2886" s="89"/>
      <c r="I2886" s="89"/>
      <c r="J2886" s="89"/>
      <c r="K2886" s="89"/>
      <c r="L2886" s="89"/>
      <c r="M2886" s="89"/>
      <c r="N2886" s="89"/>
      <c r="O2886" s="89"/>
      <c r="P2886" s="28"/>
      <c r="Q2886" s="132">
        <f t="shared" si="515"/>
        <v>0</v>
      </c>
    </row>
    <row r="2887" spans="1:17" ht="14.25" thickBot="1">
      <c r="A2887" s="150"/>
      <c r="B2887" s="154"/>
      <c r="C2887" s="4" t="s">
        <v>61</v>
      </c>
      <c r="D2887" s="92"/>
      <c r="E2887" s="92"/>
      <c r="F2887" s="92"/>
      <c r="G2887" s="92"/>
      <c r="H2887" s="92"/>
      <c r="I2887" s="92"/>
      <c r="J2887" s="92"/>
      <c r="K2887" s="92"/>
      <c r="L2887" s="92"/>
      <c r="M2887" s="92"/>
      <c r="N2887" s="92"/>
      <c r="O2887" s="92"/>
      <c r="P2887" s="33"/>
      <c r="Q2887" s="133">
        <f t="shared" si="515"/>
        <v>0</v>
      </c>
    </row>
    <row r="2888" spans="1:17" ht="14.25" thickBot="1">
      <c r="A2888" s="150"/>
      <c r="B2888" s="156" t="s">
        <v>54</v>
      </c>
      <c r="C2888" s="157"/>
      <c r="D2888" s="56">
        <f>SUM(D2874:D2878)-SUM(D2882:D2883)</f>
        <v>0</v>
      </c>
      <c r="E2888" s="56">
        <f t="shared" ref="E2888:O2888" si="517">SUM(E2874:E2878)-SUM(E2882:E2883)</f>
        <v>0</v>
      </c>
      <c r="F2888" s="56">
        <f t="shared" si="517"/>
        <v>0</v>
      </c>
      <c r="G2888" s="56">
        <f t="shared" si="517"/>
        <v>0</v>
      </c>
      <c r="H2888" s="56">
        <f t="shared" si="517"/>
        <v>0</v>
      </c>
      <c r="I2888" s="56">
        <f t="shared" si="517"/>
        <v>0</v>
      </c>
      <c r="J2888" s="56">
        <f t="shared" si="517"/>
        <v>0</v>
      </c>
      <c r="K2888" s="56">
        <f t="shared" si="517"/>
        <v>0</v>
      </c>
      <c r="L2888" s="56">
        <f t="shared" si="517"/>
        <v>0</v>
      </c>
      <c r="M2888" s="56">
        <f t="shared" si="517"/>
        <v>0</v>
      </c>
      <c r="N2888" s="56">
        <f t="shared" si="517"/>
        <v>0</v>
      </c>
      <c r="O2888" s="56">
        <f t="shared" si="517"/>
        <v>0</v>
      </c>
      <c r="P2888" s="58">
        <f>SUM(P2872:P2878)-SUM(P2882:P2883)</f>
        <v>0</v>
      </c>
      <c r="Q2888" s="130">
        <f t="shared" si="515"/>
        <v>0</v>
      </c>
    </row>
    <row r="2889" spans="1:17" ht="14.25" thickBot="1">
      <c r="A2889" s="151"/>
      <c r="B2889" s="147" t="s">
        <v>5</v>
      </c>
      <c r="C2889" s="148"/>
      <c r="D2889" s="42">
        <f>SUM(D2874:D2878)-SUM(D2879:D2883)+SUM(D2884:D2887)</f>
        <v>0</v>
      </c>
      <c r="E2889" s="42">
        <f t="shared" ref="E2889:O2889" si="518">SUM(E2874:E2878)-SUM(E2879:E2883)+SUM(E2884:E2887)</f>
        <v>0</v>
      </c>
      <c r="F2889" s="42">
        <f t="shared" si="518"/>
        <v>0</v>
      </c>
      <c r="G2889" s="42">
        <f t="shared" si="518"/>
        <v>0</v>
      </c>
      <c r="H2889" s="42">
        <f t="shared" si="518"/>
        <v>0</v>
      </c>
      <c r="I2889" s="42">
        <f t="shared" si="518"/>
        <v>0</v>
      </c>
      <c r="J2889" s="42">
        <f t="shared" si="518"/>
        <v>0</v>
      </c>
      <c r="K2889" s="42">
        <f t="shared" si="518"/>
        <v>0</v>
      </c>
      <c r="L2889" s="42">
        <f t="shared" si="518"/>
        <v>0</v>
      </c>
      <c r="M2889" s="42">
        <f t="shared" si="518"/>
        <v>0</v>
      </c>
      <c r="N2889" s="42">
        <f t="shared" si="518"/>
        <v>0</v>
      </c>
      <c r="O2889" s="42">
        <f t="shared" si="518"/>
        <v>0</v>
      </c>
      <c r="P2889" s="44">
        <f>SUM(P2872:P2878)-SUM(P2879:P2883)+SUM(P2884:P2887)</f>
        <v>0</v>
      </c>
      <c r="Q2889" s="46">
        <f>SUM(D2889:P2889)</f>
        <v>0</v>
      </c>
    </row>
    <row r="2890" spans="1:17">
      <c r="A2890" s="149"/>
      <c r="B2890" s="152" t="s">
        <v>12</v>
      </c>
      <c r="C2890" s="114" t="s">
        <v>84</v>
      </c>
      <c r="D2890" s="87"/>
      <c r="E2890" s="87"/>
      <c r="F2890" s="87"/>
      <c r="G2890" s="87"/>
      <c r="H2890" s="87"/>
      <c r="I2890" s="87"/>
      <c r="J2890" s="87"/>
      <c r="K2890" s="87"/>
      <c r="L2890" s="87"/>
      <c r="M2890" s="87"/>
      <c r="N2890" s="87"/>
      <c r="O2890" s="87"/>
      <c r="P2890" s="30"/>
      <c r="Q2890" s="134">
        <f>SUM(D2890:P2890)</f>
        <v>0</v>
      </c>
    </row>
    <row r="2891" spans="1:17">
      <c r="A2891" s="150"/>
      <c r="B2891" s="153"/>
      <c r="C2891" s="115" t="s">
        <v>85</v>
      </c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28"/>
      <c r="Q2891" s="132">
        <f t="shared" ref="Q2891:Q2906" si="519">SUM(D2891:P2891)</f>
        <v>0</v>
      </c>
    </row>
    <row r="2892" spans="1:17">
      <c r="A2892" s="150"/>
      <c r="B2892" s="153"/>
      <c r="C2892" s="116" t="s">
        <v>86</v>
      </c>
      <c r="D2892" s="91">
        <f t="shared" ref="D2892:O2892" si="520">D2890*D2891</f>
        <v>0</v>
      </c>
      <c r="E2892" s="91">
        <f t="shared" si="520"/>
        <v>0</v>
      </c>
      <c r="F2892" s="91">
        <f t="shared" si="520"/>
        <v>0</v>
      </c>
      <c r="G2892" s="91">
        <f t="shared" si="520"/>
        <v>0</v>
      </c>
      <c r="H2892" s="91">
        <f t="shared" si="520"/>
        <v>0</v>
      </c>
      <c r="I2892" s="91">
        <f t="shared" si="520"/>
        <v>0</v>
      </c>
      <c r="J2892" s="91">
        <f t="shared" si="520"/>
        <v>0</v>
      </c>
      <c r="K2892" s="91">
        <f t="shared" si="520"/>
        <v>0</v>
      </c>
      <c r="L2892" s="91">
        <f t="shared" si="520"/>
        <v>0</v>
      </c>
      <c r="M2892" s="91">
        <f t="shared" si="520"/>
        <v>0</v>
      </c>
      <c r="N2892" s="91">
        <f t="shared" si="520"/>
        <v>0</v>
      </c>
      <c r="O2892" s="91">
        <f t="shared" si="520"/>
        <v>0</v>
      </c>
      <c r="P2892" s="32"/>
      <c r="Q2892" s="132">
        <f t="shared" si="519"/>
        <v>0</v>
      </c>
    </row>
    <row r="2893" spans="1:17">
      <c r="A2893" s="150"/>
      <c r="B2893" s="153"/>
      <c r="C2893" s="117" t="s">
        <v>9</v>
      </c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91"/>
      <c r="O2893" s="91"/>
      <c r="P2893" s="32"/>
      <c r="Q2893" s="132">
        <f t="shared" si="519"/>
        <v>0</v>
      </c>
    </row>
    <row r="2894" spans="1:17">
      <c r="A2894" s="150"/>
      <c r="B2894" s="153"/>
      <c r="C2894" s="117" t="s">
        <v>38</v>
      </c>
      <c r="D2894" s="89"/>
      <c r="E2894" s="89"/>
      <c r="F2894" s="89"/>
      <c r="G2894" s="89"/>
      <c r="H2894" s="89"/>
      <c r="I2894" s="89"/>
      <c r="J2894" s="89"/>
      <c r="K2894" s="89"/>
      <c r="L2894" s="89"/>
      <c r="M2894" s="89"/>
      <c r="N2894" s="89"/>
      <c r="O2894" s="89"/>
      <c r="P2894" s="28"/>
      <c r="Q2894" s="132">
        <f t="shared" si="519"/>
        <v>0</v>
      </c>
    </row>
    <row r="2895" spans="1:17">
      <c r="A2895" s="150"/>
      <c r="B2895" s="153"/>
      <c r="C2895" s="62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91"/>
      <c r="O2895" s="91"/>
      <c r="P2895" s="32"/>
      <c r="Q2895" s="132">
        <f t="shared" si="519"/>
        <v>0</v>
      </c>
    </row>
    <row r="2896" spans="1:17">
      <c r="A2896" s="150"/>
      <c r="B2896" s="154"/>
      <c r="C2896" s="6" t="s">
        <v>42</v>
      </c>
      <c r="D2896" s="92"/>
      <c r="E2896" s="92"/>
      <c r="F2896" s="92"/>
      <c r="G2896" s="92"/>
      <c r="H2896" s="92"/>
      <c r="I2896" s="92"/>
      <c r="J2896" s="92"/>
      <c r="K2896" s="92"/>
      <c r="L2896" s="92"/>
      <c r="M2896" s="92"/>
      <c r="N2896" s="92"/>
      <c r="O2896" s="92"/>
      <c r="P2896" s="33"/>
      <c r="Q2896" s="135">
        <f t="shared" si="519"/>
        <v>0</v>
      </c>
    </row>
    <row r="2897" spans="1:17">
      <c r="A2897" s="150"/>
      <c r="B2897" s="155" t="s">
        <v>11</v>
      </c>
      <c r="C2897" s="5" t="s">
        <v>7</v>
      </c>
      <c r="D2897" s="94"/>
      <c r="E2897" s="94"/>
      <c r="F2897" s="94"/>
      <c r="G2897" s="94"/>
      <c r="H2897" s="94"/>
      <c r="I2897" s="94"/>
      <c r="J2897" s="94"/>
      <c r="K2897" s="94"/>
      <c r="L2897" s="94"/>
      <c r="M2897" s="94"/>
      <c r="N2897" s="94"/>
      <c r="O2897" s="94"/>
      <c r="P2897" s="27"/>
      <c r="Q2897" s="136">
        <f t="shared" si="519"/>
        <v>0</v>
      </c>
    </row>
    <row r="2898" spans="1:17">
      <c r="A2898" s="150"/>
      <c r="B2898" s="153"/>
      <c r="C2898" s="6" t="s">
        <v>4</v>
      </c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32"/>
      <c r="Q2898" s="132">
        <f t="shared" si="519"/>
        <v>0</v>
      </c>
    </row>
    <row r="2899" spans="1:17">
      <c r="A2899" s="150"/>
      <c r="B2899" s="153"/>
      <c r="C2899" s="6" t="s">
        <v>17</v>
      </c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32"/>
      <c r="Q2899" s="132">
        <f t="shared" si="519"/>
        <v>0</v>
      </c>
    </row>
    <row r="2900" spans="1:17">
      <c r="A2900" s="150"/>
      <c r="B2900" s="153"/>
      <c r="C2900" s="6" t="s">
        <v>18</v>
      </c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32"/>
      <c r="Q2900" s="132">
        <f t="shared" si="519"/>
        <v>0</v>
      </c>
    </row>
    <row r="2901" spans="1:17">
      <c r="A2901" s="150"/>
      <c r="B2901" s="153"/>
      <c r="C2901" s="6" t="s">
        <v>60</v>
      </c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32"/>
      <c r="Q2901" s="135">
        <f t="shared" si="519"/>
        <v>0</v>
      </c>
    </row>
    <row r="2902" spans="1:17">
      <c r="A2902" s="150"/>
      <c r="B2902" s="155" t="s">
        <v>13</v>
      </c>
      <c r="C2902" s="5" t="s">
        <v>10</v>
      </c>
      <c r="D2902" s="94"/>
      <c r="E2902" s="94"/>
      <c r="F2902" s="94"/>
      <c r="G2902" s="94"/>
      <c r="H2902" s="94"/>
      <c r="I2902" s="94"/>
      <c r="J2902" s="94"/>
      <c r="K2902" s="94"/>
      <c r="L2902" s="94"/>
      <c r="M2902" s="94"/>
      <c r="N2902" s="94"/>
      <c r="O2902" s="94"/>
      <c r="P2902" s="27"/>
      <c r="Q2902" s="131">
        <f t="shared" si="519"/>
        <v>0</v>
      </c>
    </row>
    <row r="2903" spans="1:17">
      <c r="A2903" s="150"/>
      <c r="B2903" s="153"/>
      <c r="C2903" s="116" t="s">
        <v>55</v>
      </c>
      <c r="D2903" s="89"/>
      <c r="E2903" s="89"/>
      <c r="F2903" s="89"/>
      <c r="G2903" s="89"/>
      <c r="H2903" s="89"/>
      <c r="I2903" s="89"/>
      <c r="J2903" s="89"/>
      <c r="K2903" s="89"/>
      <c r="L2903" s="89"/>
      <c r="M2903" s="89"/>
      <c r="N2903" s="89"/>
      <c r="O2903" s="89"/>
      <c r="P2903" s="28"/>
      <c r="Q2903" s="132">
        <f t="shared" si="519"/>
        <v>0</v>
      </c>
    </row>
    <row r="2904" spans="1:17">
      <c r="A2904" s="150"/>
      <c r="B2904" s="153"/>
      <c r="C2904" s="8" t="s">
        <v>56</v>
      </c>
      <c r="D2904" s="89"/>
      <c r="E2904" s="89"/>
      <c r="F2904" s="89"/>
      <c r="G2904" s="89"/>
      <c r="H2904" s="89"/>
      <c r="I2904" s="89"/>
      <c r="J2904" s="89"/>
      <c r="K2904" s="89"/>
      <c r="L2904" s="89"/>
      <c r="M2904" s="89"/>
      <c r="N2904" s="89"/>
      <c r="O2904" s="89"/>
      <c r="P2904" s="28"/>
      <c r="Q2904" s="132">
        <f t="shared" si="519"/>
        <v>0</v>
      </c>
    </row>
    <row r="2905" spans="1:17" ht="14.25" thickBot="1">
      <c r="A2905" s="150"/>
      <c r="B2905" s="154"/>
      <c r="C2905" s="4" t="s">
        <v>61</v>
      </c>
      <c r="D2905" s="92"/>
      <c r="E2905" s="92"/>
      <c r="F2905" s="92"/>
      <c r="G2905" s="92"/>
      <c r="H2905" s="92"/>
      <c r="I2905" s="92"/>
      <c r="J2905" s="92"/>
      <c r="K2905" s="92"/>
      <c r="L2905" s="92"/>
      <c r="M2905" s="92"/>
      <c r="N2905" s="92"/>
      <c r="O2905" s="92"/>
      <c r="P2905" s="33"/>
      <c r="Q2905" s="133">
        <f t="shared" si="519"/>
        <v>0</v>
      </c>
    </row>
    <row r="2906" spans="1:17" ht="14.25" thickBot="1">
      <c r="A2906" s="150"/>
      <c r="B2906" s="156" t="s">
        <v>54</v>
      </c>
      <c r="C2906" s="157"/>
      <c r="D2906" s="56">
        <f>SUM(D2892:D2896)-SUM(D2900:D2901)</f>
        <v>0</v>
      </c>
      <c r="E2906" s="56">
        <f t="shared" ref="E2906:O2906" si="521">SUM(E2892:E2896)-SUM(E2900:E2901)</f>
        <v>0</v>
      </c>
      <c r="F2906" s="56">
        <f t="shared" si="521"/>
        <v>0</v>
      </c>
      <c r="G2906" s="56">
        <f t="shared" si="521"/>
        <v>0</v>
      </c>
      <c r="H2906" s="56">
        <f t="shared" si="521"/>
        <v>0</v>
      </c>
      <c r="I2906" s="56">
        <f t="shared" si="521"/>
        <v>0</v>
      </c>
      <c r="J2906" s="56">
        <f t="shared" si="521"/>
        <v>0</v>
      </c>
      <c r="K2906" s="56">
        <f t="shared" si="521"/>
        <v>0</v>
      </c>
      <c r="L2906" s="56">
        <f t="shared" si="521"/>
        <v>0</v>
      </c>
      <c r="M2906" s="56">
        <f t="shared" si="521"/>
        <v>0</v>
      </c>
      <c r="N2906" s="56">
        <f t="shared" si="521"/>
        <v>0</v>
      </c>
      <c r="O2906" s="56">
        <f t="shared" si="521"/>
        <v>0</v>
      </c>
      <c r="P2906" s="58">
        <f>SUM(P2890:P2896)-SUM(P2900:P2901)</f>
        <v>0</v>
      </c>
      <c r="Q2906" s="130">
        <f t="shared" si="519"/>
        <v>0</v>
      </c>
    </row>
    <row r="2907" spans="1:17" ht="14.25" thickBot="1">
      <c r="A2907" s="151"/>
      <c r="B2907" s="147" t="s">
        <v>5</v>
      </c>
      <c r="C2907" s="148"/>
      <c r="D2907" s="42">
        <f>SUM(D2892:D2896)-SUM(D2897:D2901)+SUM(D2902:D2905)</f>
        <v>0</v>
      </c>
      <c r="E2907" s="42">
        <f t="shared" ref="E2907:O2907" si="522">SUM(E2892:E2896)-SUM(E2897:E2901)+SUM(E2902:E2905)</f>
        <v>0</v>
      </c>
      <c r="F2907" s="42">
        <f t="shared" si="522"/>
        <v>0</v>
      </c>
      <c r="G2907" s="42">
        <f t="shared" si="522"/>
        <v>0</v>
      </c>
      <c r="H2907" s="42">
        <f t="shared" si="522"/>
        <v>0</v>
      </c>
      <c r="I2907" s="42">
        <f t="shared" si="522"/>
        <v>0</v>
      </c>
      <c r="J2907" s="42">
        <f t="shared" si="522"/>
        <v>0</v>
      </c>
      <c r="K2907" s="42">
        <f t="shared" si="522"/>
        <v>0</v>
      </c>
      <c r="L2907" s="42">
        <f t="shared" si="522"/>
        <v>0</v>
      </c>
      <c r="M2907" s="42">
        <f t="shared" si="522"/>
        <v>0</v>
      </c>
      <c r="N2907" s="42">
        <f t="shared" si="522"/>
        <v>0</v>
      </c>
      <c r="O2907" s="42">
        <f t="shared" si="522"/>
        <v>0</v>
      </c>
      <c r="P2907" s="44">
        <f>SUM(P2890:P2896)-SUM(P2897:P2901)+SUM(P2902:P2905)</f>
        <v>0</v>
      </c>
      <c r="Q2907" s="46">
        <f>SUM(D2907:P2907)</f>
        <v>0</v>
      </c>
    </row>
    <row r="2908" spans="1:17">
      <c r="A2908" s="149"/>
      <c r="B2908" s="152" t="s">
        <v>12</v>
      </c>
      <c r="C2908" s="114" t="s">
        <v>84</v>
      </c>
      <c r="D2908" s="87"/>
      <c r="E2908" s="87"/>
      <c r="F2908" s="87"/>
      <c r="G2908" s="87"/>
      <c r="H2908" s="87"/>
      <c r="I2908" s="87"/>
      <c r="J2908" s="87"/>
      <c r="K2908" s="87"/>
      <c r="L2908" s="87"/>
      <c r="M2908" s="87"/>
      <c r="N2908" s="87"/>
      <c r="O2908" s="87"/>
      <c r="P2908" s="30"/>
      <c r="Q2908" s="134">
        <f>SUM(D2908:P2908)</f>
        <v>0</v>
      </c>
    </row>
    <row r="2909" spans="1:17">
      <c r="A2909" s="150"/>
      <c r="B2909" s="153"/>
      <c r="C2909" s="115" t="s">
        <v>85</v>
      </c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28"/>
      <c r="Q2909" s="132">
        <f t="shared" ref="Q2909:Q2924" si="523">SUM(D2909:P2909)</f>
        <v>0</v>
      </c>
    </row>
    <row r="2910" spans="1:17">
      <c r="A2910" s="150"/>
      <c r="B2910" s="153"/>
      <c r="C2910" s="116" t="s">
        <v>86</v>
      </c>
      <c r="D2910" s="91">
        <f t="shared" ref="D2910:O2910" si="524">D2908*D2909</f>
        <v>0</v>
      </c>
      <c r="E2910" s="91">
        <f t="shared" si="524"/>
        <v>0</v>
      </c>
      <c r="F2910" s="91">
        <f t="shared" si="524"/>
        <v>0</v>
      </c>
      <c r="G2910" s="91">
        <f t="shared" si="524"/>
        <v>0</v>
      </c>
      <c r="H2910" s="91">
        <f t="shared" si="524"/>
        <v>0</v>
      </c>
      <c r="I2910" s="91">
        <f t="shared" si="524"/>
        <v>0</v>
      </c>
      <c r="J2910" s="91">
        <f t="shared" si="524"/>
        <v>0</v>
      </c>
      <c r="K2910" s="91">
        <f t="shared" si="524"/>
        <v>0</v>
      </c>
      <c r="L2910" s="91">
        <f t="shared" si="524"/>
        <v>0</v>
      </c>
      <c r="M2910" s="91">
        <f t="shared" si="524"/>
        <v>0</v>
      </c>
      <c r="N2910" s="91">
        <f t="shared" si="524"/>
        <v>0</v>
      </c>
      <c r="O2910" s="91">
        <f t="shared" si="524"/>
        <v>0</v>
      </c>
      <c r="P2910" s="32"/>
      <c r="Q2910" s="132">
        <f t="shared" si="523"/>
        <v>0</v>
      </c>
    </row>
    <row r="2911" spans="1:17">
      <c r="A2911" s="150"/>
      <c r="B2911" s="153"/>
      <c r="C2911" s="117" t="s">
        <v>9</v>
      </c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32"/>
      <c r="Q2911" s="132">
        <f t="shared" si="523"/>
        <v>0</v>
      </c>
    </row>
    <row r="2912" spans="1:17">
      <c r="A2912" s="150"/>
      <c r="B2912" s="153"/>
      <c r="C2912" s="117" t="s">
        <v>38</v>
      </c>
      <c r="D2912" s="89"/>
      <c r="E2912" s="89"/>
      <c r="F2912" s="89"/>
      <c r="G2912" s="89"/>
      <c r="H2912" s="89"/>
      <c r="I2912" s="89"/>
      <c r="J2912" s="89"/>
      <c r="K2912" s="89"/>
      <c r="L2912" s="89"/>
      <c r="M2912" s="89"/>
      <c r="N2912" s="89"/>
      <c r="O2912" s="89"/>
      <c r="P2912" s="28"/>
      <c r="Q2912" s="132">
        <f t="shared" si="523"/>
        <v>0</v>
      </c>
    </row>
    <row r="2913" spans="1:17">
      <c r="A2913" s="150"/>
      <c r="B2913" s="153"/>
      <c r="C2913" s="62"/>
      <c r="D2913" s="91"/>
      <c r="E2913" s="91"/>
      <c r="F2913" s="91"/>
      <c r="G2913" s="91"/>
      <c r="H2913" s="91"/>
      <c r="I2913" s="91"/>
      <c r="J2913" s="91"/>
      <c r="K2913" s="91"/>
      <c r="L2913" s="91"/>
      <c r="M2913" s="91"/>
      <c r="N2913" s="91"/>
      <c r="O2913" s="91"/>
      <c r="P2913" s="32"/>
      <c r="Q2913" s="132">
        <f t="shared" si="523"/>
        <v>0</v>
      </c>
    </row>
    <row r="2914" spans="1:17">
      <c r="A2914" s="150"/>
      <c r="B2914" s="154"/>
      <c r="C2914" s="6" t="s">
        <v>42</v>
      </c>
      <c r="D2914" s="92"/>
      <c r="E2914" s="92"/>
      <c r="F2914" s="92"/>
      <c r="G2914" s="92"/>
      <c r="H2914" s="92"/>
      <c r="I2914" s="92"/>
      <c r="J2914" s="92"/>
      <c r="K2914" s="92"/>
      <c r="L2914" s="92"/>
      <c r="M2914" s="92"/>
      <c r="N2914" s="92"/>
      <c r="O2914" s="92"/>
      <c r="P2914" s="33"/>
      <c r="Q2914" s="135">
        <f t="shared" si="523"/>
        <v>0</v>
      </c>
    </row>
    <row r="2915" spans="1:17">
      <c r="A2915" s="150"/>
      <c r="B2915" s="155" t="s">
        <v>11</v>
      </c>
      <c r="C2915" s="5" t="s">
        <v>7</v>
      </c>
      <c r="D2915" s="94"/>
      <c r="E2915" s="94"/>
      <c r="F2915" s="94"/>
      <c r="G2915" s="94"/>
      <c r="H2915" s="94"/>
      <c r="I2915" s="94"/>
      <c r="J2915" s="94"/>
      <c r="K2915" s="94"/>
      <c r="L2915" s="94"/>
      <c r="M2915" s="94"/>
      <c r="N2915" s="94"/>
      <c r="O2915" s="94"/>
      <c r="P2915" s="27"/>
      <c r="Q2915" s="136">
        <f t="shared" si="523"/>
        <v>0</v>
      </c>
    </row>
    <row r="2916" spans="1:17">
      <c r="A2916" s="150"/>
      <c r="B2916" s="153"/>
      <c r="C2916" s="6" t="s">
        <v>4</v>
      </c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32"/>
      <c r="Q2916" s="132">
        <f t="shared" si="523"/>
        <v>0</v>
      </c>
    </row>
    <row r="2917" spans="1:17">
      <c r="A2917" s="150"/>
      <c r="B2917" s="153"/>
      <c r="C2917" s="6" t="s">
        <v>17</v>
      </c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91"/>
      <c r="O2917" s="91"/>
      <c r="P2917" s="32"/>
      <c r="Q2917" s="132">
        <f t="shared" si="523"/>
        <v>0</v>
      </c>
    </row>
    <row r="2918" spans="1:17">
      <c r="A2918" s="150"/>
      <c r="B2918" s="153"/>
      <c r="C2918" s="6" t="s">
        <v>18</v>
      </c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32"/>
      <c r="Q2918" s="132">
        <f t="shared" si="523"/>
        <v>0</v>
      </c>
    </row>
    <row r="2919" spans="1:17">
      <c r="A2919" s="150"/>
      <c r="B2919" s="153"/>
      <c r="C2919" s="6" t="s">
        <v>60</v>
      </c>
      <c r="D2919" s="91"/>
      <c r="E2919" s="91"/>
      <c r="F2919" s="91"/>
      <c r="G2919" s="91"/>
      <c r="H2919" s="91"/>
      <c r="I2919" s="91"/>
      <c r="J2919" s="91"/>
      <c r="K2919" s="91"/>
      <c r="L2919" s="91"/>
      <c r="M2919" s="91"/>
      <c r="N2919" s="91"/>
      <c r="O2919" s="91"/>
      <c r="P2919" s="32"/>
      <c r="Q2919" s="135">
        <f t="shared" si="523"/>
        <v>0</v>
      </c>
    </row>
    <row r="2920" spans="1:17">
      <c r="A2920" s="150"/>
      <c r="B2920" s="155" t="s">
        <v>13</v>
      </c>
      <c r="C2920" s="5" t="s">
        <v>10</v>
      </c>
      <c r="D2920" s="94"/>
      <c r="E2920" s="94"/>
      <c r="F2920" s="94"/>
      <c r="G2920" s="94"/>
      <c r="H2920" s="94"/>
      <c r="I2920" s="94"/>
      <c r="J2920" s="94"/>
      <c r="K2920" s="94"/>
      <c r="L2920" s="94"/>
      <c r="M2920" s="94"/>
      <c r="N2920" s="94"/>
      <c r="O2920" s="94"/>
      <c r="P2920" s="27"/>
      <c r="Q2920" s="131">
        <f t="shared" si="523"/>
        <v>0</v>
      </c>
    </row>
    <row r="2921" spans="1:17">
      <c r="A2921" s="150"/>
      <c r="B2921" s="153"/>
      <c r="C2921" s="116" t="s">
        <v>55</v>
      </c>
      <c r="D2921" s="89"/>
      <c r="E2921" s="89"/>
      <c r="F2921" s="89"/>
      <c r="G2921" s="89"/>
      <c r="H2921" s="89"/>
      <c r="I2921" s="89"/>
      <c r="J2921" s="89"/>
      <c r="K2921" s="89"/>
      <c r="L2921" s="89"/>
      <c r="M2921" s="89"/>
      <c r="N2921" s="89"/>
      <c r="O2921" s="89"/>
      <c r="P2921" s="28"/>
      <c r="Q2921" s="132">
        <f t="shared" si="523"/>
        <v>0</v>
      </c>
    </row>
    <row r="2922" spans="1:17">
      <c r="A2922" s="150"/>
      <c r="B2922" s="153"/>
      <c r="C2922" s="8" t="s">
        <v>56</v>
      </c>
      <c r="D2922" s="89"/>
      <c r="E2922" s="89"/>
      <c r="F2922" s="89"/>
      <c r="G2922" s="89"/>
      <c r="H2922" s="89"/>
      <c r="I2922" s="89"/>
      <c r="J2922" s="89"/>
      <c r="K2922" s="89"/>
      <c r="L2922" s="89"/>
      <c r="M2922" s="89"/>
      <c r="N2922" s="89"/>
      <c r="O2922" s="89"/>
      <c r="P2922" s="28"/>
      <c r="Q2922" s="132">
        <f t="shared" si="523"/>
        <v>0</v>
      </c>
    </row>
    <row r="2923" spans="1:17" ht="14.25" thickBot="1">
      <c r="A2923" s="150"/>
      <c r="B2923" s="154"/>
      <c r="C2923" s="4" t="s">
        <v>61</v>
      </c>
      <c r="D2923" s="92"/>
      <c r="E2923" s="92"/>
      <c r="F2923" s="92"/>
      <c r="G2923" s="92"/>
      <c r="H2923" s="92"/>
      <c r="I2923" s="92"/>
      <c r="J2923" s="92"/>
      <c r="K2923" s="92"/>
      <c r="L2923" s="92"/>
      <c r="M2923" s="92"/>
      <c r="N2923" s="92"/>
      <c r="O2923" s="92"/>
      <c r="P2923" s="33"/>
      <c r="Q2923" s="133">
        <f t="shared" si="523"/>
        <v>0</v>
      </c>
    </row>
    <row r="2924" spans="1:17" ht="14.25" thickBot="1">
      <c r="A2924" s="150"/>
      <c r="B2924" s="156" t="s">
        <v>54</v>
      </c>
      <c r="C2924" s="157"/>
      <c r="D2924" s="56">
        <f>SUM(D2910:D2914)-SUM(D2918:D2919)</f>
        <v>0</v>
      </c>
      <c r="E2924" s="56">
        <f t="shared" ref="E2924:O2924" si="525">SUM(E2910:E2914)-SUM(E2918:E2919)</f>
        <v>0</v>
      </c>
      <c r="F2924" s="56">
        <f t="shared" si="525"/>
        <v>0</v>
      </c>
      <c r="G2924" s="56">
        <f t="shared" si="525"/>
        <v>0</v>
      </c>
      <c r="H2924" s="56">
        <f t="shared" si="525"/>
        <v>0</v>
      </c>
      <c r="I2924" s="56">
        <f t="shared" si="525"/>
        <v>0</v>
      </c>
      <c r="J2924" s="56">
        <f t="shared" si="525"/>
        <v>0</v>
      </c>
      <c r="K2924" s="56">
        <f t="shared" si="525"/>
        <v>0</v>
      </c>
      <c r="L2924" s="56">
        <f t="shared" si="525"/>
        <v>0</v>
      </c>
      <c r="M2924" s="56">
        <f t="shared" si="525"/>
        <v>0</v>
      </c>
      <c r="N2924" s="56">
        <f t="shared" si="525"/>
        <v>0</v>
      </c>
      <c r="O2924" s="56">
        <f t="shared" si="525"/>
        <v>0</v>
      </c>
      <c r="P2924" s="58">
        <f>SUM(P2908:P2914)-SUM(P2918:P2919)</f>
        <v>0</v>
      </c>
      <c r="Q2924" s="130">
        <f t="shared" si="523"/>
        <v>0</v>
      </c>
    </row>
    <row r="2925" spans="1:17" ht="14.25" thickBot="1">
      <c r="A2925" s="151"/>
      <c r="B2925" s="147" t="s">
        <v>5</v>
      </c>
      <c r="C2925" s="148"/>
      <c r="D2925" s="42">
        <f>SUM(D2910:D2914)-SUM(D2915:D2919)+SUM(D2920:D2923)</f>
        <v>0</v>
      </c>
      <c r="E2925" s="42">
        <f t="shared" ref="E2925:O2925" si="526">SUM(E2910:E2914)-SUM(E2915:E2919)+SUM(E2920:E2923)</f>
        <v>0</v>
      </c>
      <c r="F2925" s="42">
        <f t="shared" si="526"/>
        <v>0</v>
      </c>
      <c r="G2925" s="42">
        <f t="shared" si="526"/>
        <v>0</v>
      </c>
      <c r="H2925" s="42">
        <f t="shared" si="526"/>
        <v>0</v>
      </c>
      <c r="I2925" s="42">
        <f t="shared" si="526"/>
        <v>0</v>
      </c>
      <c r="J2925" s="42">
        <f t="shared" si="526"/>
        <v>0</v>
      </c>
      <c r="K2925" s="42">
        <f t="shared" si="526"/>
        <v>0</v>
      </c>
      <c r="L2925" s="42">
        <f t="shared" si="526"/>
        <v>0</v>
      </c>
      <c r="M2925" s="42">
        <f t="shared" si="526"/>
        <v>0</v>
      </c>
      <c r="N2925" s="42">
        <f t="shared" si="526"/>
        <v>0</v>
      </c>
      <c r="O2925" s="42">
        <f t="shared" si="526"/>
        <v>0</v>
      </c>
      <c r="P2925" s="44">
        <f>SUM(P2908:P2914)-SUM(P2915:P2919)+SUM(P2920:P2923)</f>
        <v>0</v>
      </c>
      <c r="Q2925" s="46">
        <f>SUM(D2925:P2925)</f>
        <v>0</v>
      </c>
    </row>
    <row r="2926" spans="1:17">
      <c r="A2926" s="149"/>
      <c r="B2926" s="152" t="s">
        <v>12</v>
      </c>
      <c r="C2926" s="114" t="s">
        <v>84</v>
      </c>
      <c r="D2926" s="87"/>
      <c r="E2926" s="87"/>
      <c r="F2926" s="87"/>
      <c r="G2926" s="87"/>
      <c r="H2926" s="87"/>
      <c r="I2926" s="87"/>
      <c r="J2926" s="87"/>
      <c r="K2926" s="87"/>
      <c r="L2926" s="87"/>
      <c r="M2926" s="87"/>
      <c r="N2926" s="87"/>
      <c r="O2926" s="87"/>
      <c r="P2926" s="30"/>
      <c r="Q2926" s="134">
        <f>SUM(D2926:P2926)</f>
        <v>0</v>
      </c>
    </row>
    <row r="2927" spans="1:17">
      <c r="A2927" s="150"/>
      <c r="B2927" s="153"/>
      <c r="C2927" s="115" t="s">
        <v>85</v>
      </c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28"/>
      <c r="Q2927" s="132">
        <f t="shared" ref="Q2927:Q2942" si="527">SUM(D2927:P2927)</f>
        <v>0</v>
      </c>
    </row>
    <row r="2928" spans="1:17">
      <c r="A2928" s="150"/>
      <c r="B2928" s="153"/>
      <c r="C2928" s="116" t="s">
        <v>86</v>
      </c>
      <c r="D2928" s="91">
        <f t="shared" ref="D2928:O2928" si="528">D2926*D2927</f>
        <v>0</v>
      </c>
      <c r="E2928" s="91">
        <f t="shared" si="528"/>
        <v>0</v>
      </c>
      <c r="F2928" s="91">
        <f t="shared" si="528"/>
        <v>0</v>
      </c>
      <c r="G2928" s="91">
        <f t="shared" si="528"/>
        <v>0</v>
      </c>
      <c r="H2928" s="91">
        <f t="shared" si="528"/>
        <v>0</v>
      </c>
      <c r="I2928" s="91">
        <f t="shared" si="528"/>
        <v>0</v>
      </c>
      <c r="J2928" s="91">
        <f t="shared" si="528"/>
        <v>0</v>
      </c>
      <c r="K2928" s="91">
        <f t="shared" si="528"/>
        <v>0</v>
      </c>
      <c r="L2928" s="91">
        <f t="shared" si="528"/>
        <v>0</v>
      </c>
      <c r="M2928" s="91">
        <f t="shared" si="528"/>
        <v>0</v>
      </c>
      <c r="N2928" s="91">
        <f t="shared" si="528"/>
        <v>0</v>
      </c>
      <c r="O2928" s="91">
        <f t="shared" si="528"/>
        <v>0</v>
      </c>
      <c r="P2928" s="32"/>
      <c r="Q2928" s="132">
        <f t="shared" si="527"/>
        <v>0</v>
      </c>
    </row>
    <row r="2929" spans="1:17">
      <c r="A2929" s="150"/>
      <c r="B2929" s="153"/>
      <c r="C2929" s="117" t="s">
        <v>9</v>
      </c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32"/>
      <c r="Q2929" s="132">
        <f t="shared" si="527"/>
        <v>0</v>
      </c>
    </row>
    <row r="2930" spans="1:17">
      <c r="A2930" s="150"/>
      <c r="B2930" s="153"/>
      <c r="C2930" s="117" t="s">
        <v>38</v>
      </c>
      <c r="D2930" s="89"/>
      <c r="E2930" s="89"/>
      <c r="F2930" s="89"/>
      <c r="G2930" s="89"/>
      <c r="H2930" s="89"/>
      <c r="I2930" s="89"/>
      <c r="J2930" s="89"/>
      <c r="K2930" s="89"/>
      <c r="L2930" s="89"/>
      <c r="M2930" s="89"/>
      <c r="N2930" s="89"/>
      <c r="O2930" s="89"/>
      <c r="P2930" s="28"/>
      <c r="Q2930" s="132">
        <f t="shared" si="527"/>
        <v>0</v>
      </c>
    </row>
    <row r="2931" spans="1:17">
      <c r="A2931" s="150"/>
      <c r="B2931" s="153"/>
      <c r="C2931" s="62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32"/>
      <c r="Q2931" s="132">
        <f t="shared" si="527"/>
        <v>0</v>
      </c>
    </row>
    <row r="2932" spans="1:17">
      <c r="A2932" s="150"/>
      <c r="B2932" s="154"/>
      <c r="C2932" s="6" t="s">
        <v>42</v>
      </c>
      <c r="D2932" s="92"/>
      <c r="E2932" s="92"/>
      <c r="F2932" s="92"/>
      <c r="G2932" s="92"/>
      <c r="H2932" s="92"/>
      <c r="I2932" s="92"/>
      <c r="J2932" s="92"/>
      <c r="K2932" s="92"/>
      <c r="L2932" s="92"/>
      <c r="M2932" s="92"/>
      <c r="N2932" s="92"/>
      <c r="O2932" s="92"/>
      <c r="P2932" s="33"/>
      <c r="Q2932" s="135">
        <f t="shared" si="527"/>
        <v>0</v>
      </c>
    </row>
    <row r="2933" spans="1:17">
      <c r="A2933" s="150"/>
      <c r="B2933" s="155" t="s">
        <v>11</v>
      </c>
      <c r="C2933" s="5" t="s">
        <v>7</v>
      </c>
      <c r="D2933" s="94"/>
      <c r="E2933" s="94"/>
      <c r="F2933" s="94"/>
      <c r="G2933" s="94"/>
      <c r="H2933" s="94"/>
      <c r="I2933" s="94"/>
      <c r="J2933" s="94"/>
      <c r="K2933" s="94"/>
      <c r="L2933" s="94"/>
      <c r="M2933" s="94"/>
      <c r="N2933" s="94"/>
      <c r="O2933" s="94"/>
      <c r="P2933" s="27"/>
      <c r="Q2933" s="136">
        <f t="shared" si="527"/>
        <v>0</v>
      </c>
    </row>
    <row r="2934" spans="1:17">
      <c r="A2934" s="150"/>
      <c r="B2934" s="153"/>
      <c r="C2934" s="6" t="s">
        <v>4</v>
      </c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32"/>
      <c r="Q2934" s="132">
        <f t="shared" si="527"/>
        <v>0</v>
      </c>
    </row>
    <row r="2935" spans="1:17">
      <c r="A2935" s="150"/>
      <c r="B2935" s="153"/>
      <c r="C2935" s="6" t="s">
        <v>17</v>
      </c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32"/>
      <c r="Q2935" s="132">
        <f t="shared" si="527"/>
        <v>0</v>
      </c>
    </row>
    <row r="2936" spans="1:17">
      <c r="A2936" s="150"/>
      <c r="B2936" s="153"/>
      <c r="C2936" s="6" t="s">
        <v>18</v>
      </c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32"/>
      <c r="Q2936" s="132">
        <f t="shared" si="527"/>
        <v>0</v>
      </c>
    </row>
    <row r="2937" spans="1:17">
      <c r="A2937" s="150"/>
      <c r="B2937" s="153"/>
      <c r="C2937" s="6" t="s">
        <v>60</v>
      </c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32"/>
      <c r="Q2937" s="135">
        <f t="shared" si="527"/>
        <v>0</v>
      </c>
    </row>
    <row r="2938" spans="1:17">
      <c r="A2938" s="150"/>
      <c r="B2938" s="155" t="s">
        <v>13</v>
      </c>
      <c r="C2938" s="5" t="s">
        <v>10</v>
      </c>
      <c r="D2938" s="94"/>
      <c r="E2938" s="94"/>
      <c r="F2938" s="94"/>
      <c r="G2938" s="94"/>
      <c r="H2938" s="94"/>
      <c r="I2938" s="94"/>
      <c r="J2938" s="94"/>
      <c r="K2938" s="94"/>
      <c r="L2938" s="94"/>
      <c r="M2938" s="94"/>
      <c r="N2938" s="94"/>
      <c r="O2938" s="94"/>
      <c r="P2938" s="27"/>
      <c r="Q2938" s="131">
        <f t="shared" si="527"/>
        <v>0</v>
      </c>
    </row>
    <row r="2939" spans="1:17">
      <c r="A2939" s="150"/>
      <c r="B2939" s="153"/>
      <c r="C2939" s="116" t="s">
        <v>55</v>
      </c>
      <c r="D2939" s="89"/>
      <c r="E2939" s="89"/>
      <c r="F2939" s="89"/>
      <c r="G2939" s="89"/>
      <c r="H2939" s="89"/>
      <c r="I2939" s="89"/>
      <c r="J2939" s="89"/>
      <c r="K2939" s="89"/>
      <c r="L2939" s="89"/>
      <c r="M2939" s="89"/>
      <c r="N2939" s="89"/>
      <c r="O2939" s="89"/>
      <c r="P2939" s="28"/>
      <c r="Q2939" s="132">
        <f t="shared" si="527"/>
        <v>0</v>
      </c>
    </row>
    <row r="2940" spans="1:17">
      <c r="A2940" s="150"/>
      <c r="B2940" s="153"/>
      <c r="C2940" s="8" t="s">
        <v>56</v>
      </c>
      <c r="D2940" s="89"/>
      <c r="E2940" s="89"/>
      <c r="F2940" s="89"/>
      <c r="G2940" s="89"/>
      <c r="H2940" s="89"/>
      <c r="I2940" s="89"/>
      <c r="J2940" s="89"/>
      <c r="K2940" s="89"/>
      <c r="L2940" s="89"/>
      <c r="M2940" s="89"/>
      <c r="N2940" s="89"/>
      <c r="O2940" s="89"/>
      <c r="P2940" s="28"/>
      <c r="Q2940" s="132">
        <f t="shared" si="527"/>
        <v>0</v>
      </c>
    </row>
    <row r="2941" spans="1:17" ht="14.25" thickBot="1">
      <c r="A2941" s="150"/>
      <c r="B2941" s="154"/>
      <c r="C2941" s="4" t="s">
        <v>61</v>
      </c>
      <c r="D2941" s="92"/>
      <c r="E2941" s="92"/>
      <c r="F2941" s="92"/>
      <c r="G2941" s="92"/>
      <c r="H2941" s="92"/>
      <c r="I2941" s="92"/>
      <c r="J2941" s="92"/>
      <c r="K2941" s="92"/>
      <c r="L2941" s="92"/>
      <c r="M2941" s="92"/>
      <c r="N2941" s="92"/>
      <c r="O2941" s="92"/>
      <c r="P2941" s="33"/>
      <c r="Q2941" s="133">
        <f t="shared" si="527"/>
        <v>0</v>
      </c>
    </row>
    <row r="2942" spans="1:17" ht="14.25" thickBot="1">
      <c r="A2942" s="150"/>
      <c r="B2942" s="156" t="s">
        <v>54</v>
      </c>
      <c r="C2942" s="157"/>
      <c r="D2942" s="56">
        <f>SUM(D2928:D2932)-SUM(D2936:D2937)</f>
        <v>0</v>
      </c>
      <c r="E2942" s="56">
        <f t="shared" ref="E2942:O2942" si="529">SUM(E2928:E2932)-SUM(E2936:E2937)</f>
        <v>0</v>
      </c>
      <c r="F2942" s="56">
        <f t="shared" si="529"/>
        <v>0</v>
      </c>
      <c r="G2942" s="56">
        <f t="shared" si="529"/>
        <v>0</v>
      </c>
      <c r="H2942" s="56">
        <f t="shared" si="529"/>
        <v>0</v>
      </c>
      <c r="I2942" s="56">
        <f t="shared" si="529"/>
        <v>0</v>
      </c>
      <c r="J2942" s="56">
        <f t="shared" si="529"/>
        <v>0</v>
      </c>
      <c r="K2942" s="56">
        <f t="shared" si="529"/>
        <v>0</v>
      </c>
      <c r="L2942" s="56">
        <f t="shared" si="529"/>
        <v>0</v>
      </c>
      <c r="M2942" s="56">
        <f t="shared" si="529"/>
        <v>0</v>
      </c>
      <c r="N2942" s="56">
        <f t="shared" si="529"/>
        <v>0</v>
      </c>
      <c r="O2942" s="56">
        <f t="shared" si="529"/>
        <v>0</v>
      </c>
      <c r="P2942" s="58">
        <f>SUM(P2926:P2932)-SUM(P2936:P2937)</f>
        <v>0</v>
      </c>
      <c r="Q2942" s="130">
        <f t="shared" si="527"/>
        <v>0</v>
      </c>
    </row>
    <row r="2943" spans="1:17" ht="14.25" thickBot="1">
      <c r="A2943" s="151"/>
      <c r="B2943" s="147" t="s">
        <v>5</v>
      </c>
      <c r="C2943" s="148"/>
      <c r="D2943" s="42">
        <f>SUM(D2928:D2932)-SUM(D2933:D2937)+SUM(D2938:D2941)</f>
        <v>0</v>
      </c>
      <c r="E2943" s="42">
        <f t="shared" ref="E2943:O2943" si="530">SUM(E2928:E2932)-SUM(E2933:E2937)+SUM(E2938:E2941)</f>
        <v>0</v>
      </c>
      <c r="F2943" s="42">
        <f t="shared" si="530"/>
        <v>0</v>
      </c>
      <c r="G2943" s="42">
        <f t="shared" si="530"/>
        <v>0</v>
      </c>
      <c r="H2943" s="42">
        <f t="shared" si="530"/>
        <v>0</v>
      </c>
      <c r="I2943" s="42">
        <f t="shared" si="530"/>
        <v>0</v>
      </c>
      <c r="J2943" s="42">
        <f t="shared" si="530"/>
        <v>0</v>
      </c>
      <c r="K2943" s="42">
        <f t="shared" si="530"/>
        <v>0</v>
      </c>
      <c r="L2943" s="42">
        <f t="shared" si="530"/>
        <v>0</v>
      </c>
      <c r="M2943" s="42">
        <f t="shared" si="530"/>
        <v>0</v>
      </c>
      <c r="N2943" s="42">
        <f t="shared" si="530"/>
        <v>0</v>
      </c>
      <c r="O2943" s="42">
        <f t="shared" si="530"/>
        <v>0</v>
      </c>
      <c r="P2943" s="44">
        <f>SUM(P2926:P2932)-SUM(P2933:P2937)+SUM(P2938:P2941)</f>
        <v>0</v>
      </c>
      <c r="Q2943" s="46">
        <f>SUM(D2943:P2943)</f>
        <v>0</v>
      </c>
    </row>
    <row r="2944" spans="1:17">
      <c r="A2944" s="149"/>
      <c r="B2944" s="152" t="s">
        <v>12</v>
      </c>
      <c r="C2944" s="114" t="s">
        <v>84</v>
      </c>
      <c r="D2944" s="87"/>
      <c r="E2944" s="87"/>
      <c r="F2944" s="87"/>
      <c r="G2944" s="87"/>
      <c r="H2944" s="87"/>
      <c r="I2944" s="87"/>
      <c r="J2944" s="87"/>
      <c r="K2944" s="87"/>
      <c r="L2944" s="87"/>
      <c r="M2944" s="87"/>
      <c r="N2944" s="87"/>
      <c r="O2944" s="87"/>
      <c r="P2944" s="30"/>
      <c r="Q2944" s="134">
        <f>SUM(D2944:P2944)</f>
        <v>0</v>
      </c>
    </row>
    <row r="2945" spans="1:17">
      <c r="A2945" s="150"/>
      <c r="B2945" s="153"/>
      <c r="C2945" s="115" t="s">
        <v>85</v>
      </c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28"/>
      <c r="Q2945" s="132">
        <f t="shared" ref="Q2945:Q2960" si="531">SUM(D2945:P2945)</f>
        <v>0</v>
      </c>
    </row>
    <row r="2946" spans="1:17">
      <c r="A2946" s="150"/>
      <c r="B2946" s="153"/>
      <c r="C2946" s="116" t="s">
        <v>86</v>
      </c>
      <c r="D2946" s="91">
        <f t="shared" ref="D2946:O2946" si="532">D2944*D2945</f>
        <v>0</v>
      </c>
      <c r="E2946" s="91">
        <f t="shared" si="532"/>
        <v>0</v>
      </c>
      <c r="F2946" s="91">
        <f t="shared" si="532"/>
        <v>0</v>
      </c>
      <c r="G2946" s="91">
        <f t="shared" si="532"/>
        <v>0</v>
      </c>
      <c r="H2946" s="91">
        <f t="shared" si="532"/>
        <v>0</v>
      </c>
      <c r="I2946" s="91">
        <f t="shared" si="532"/>
        <v>0</v>
      </c>
      <c r="J2946" s="91">
        <f t="shared" si="532"/>
        <v>0</v>
      </c>
      <c r="K2946" s="91">
        <f t="shared" si="532"/>
        <v>0</v>
      </c>
      <c r="L2946" s="91">
        <f t="shared" si="532"/>
        <v>0</v>
      </c>
      <c r="M2946" s="91">
        <f t="shared" si="532"/>
        <v>0</v>
      </c>
      <c r="N2946" s="91">
        <f t="shared" si="532"/>
        <v>0</v>
      </c>
      <c r="O2946" s="91">
        <f t="shared" si="532"/>
        <v>0</v>
      </c>
      <c r="P2946" s="32"/>
      <c r="Q2946" s="132">
        <f t="shared" si="531"/>
        <v>0</v>
      </c>
    </row>
    <row r="2947" spans="1:17">
      <c r="A2947" s="150"/>
      <c r="B2947" s="153"/>
      <c r="C2947" s="117" t="s">
        <v>9</v>
      </c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91"/>
      <c r="O2947" s="91"/>
      <c r="P2947" s="32"/>
      <c r="Q2947" s="132">
        <f t="shared" si="531"/>
        <v>0</v>
      </c>
    </row>
    <row r="2948" spans="1:17">
      <c r="A2948" s="150"/>
      <c r="B2948" s="153"/>
      <c r="C2948" s="117" t="s">
        <v>38</v>
      </c>
      <c r="D2948" s="89"/>
      <c r="E2948" s="89"/>
      <c r="F2948" s="89"/>
      <c r="G2948" s="89"/>
      <c r="H2948" s="89"/>
      <c r="I2948" s="89"/>
      <c r="J2948" s="89"/>
      <c r="K2948" s="89"/>
      <c r="L2948" s="89"/>
      <c r="M2948" s="89"/>
      <c r="N2948" s="89"/>
      <c r="O2948" s="89"/>
      <c r="P2948" s="28"/>
      <c r="Q2948" s="132">
        <f t="shared" si="531"/>
        <v>0</v>
      </c>
    </row>
    <row r="2949" spans="1:17">
      <c r="A2949" s="150"/>
      <c r="B2949" s="153"/>
      <c r="C2949" s="62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91"/>
      <c r="O2949" s="91"/>
      <c r="P2949" s="32"/>
      <c r="Q2949" s="132">
        <f t="shared" si="531"/>
        <v>0</v>
      </c>
    </row>
    <row r="2950" spans="1:17">
      <c r="A2950" s="150"/>
      <c r="B2950" s="154"/>
      <c r="C2950" s="6" t="s">
        <v>42</v>
      </c>
      <c r="D2950" s="92"/>
      <c r="E2950" s="92"/>
      <c r="F2950" s="92"/>
      <c r="G2950" s="92"/>
      <c r="H2950" s="92"/>
      <c r="I2950" s="92"/>
      <c r="J2950" s="92"/>
      <c r="K2950" s="92"/>
      <c r="L2950" s="92"/>
      <c r="M2950" s="92"/>
      <c r="N2950" s="92"/>
      <c r="O2950" s="92"/>
      <c r="P2950" s="33"/>
      <c r="Q2950" s="135">
        <f t="shared" si="531"/>
        <v>0</v>
      </c>
    </row>
    <row r="2951" spans="1:17">
      <c r="A2951" s="150"/>
      <c r="B2951" s="155" t="s">
        <v>11</v>
      </c>
      <c r="C2951" s="5" t="s">
        <v>7</v>
      </c>
      <c r="D2951" s="94"/>
      <c r="E2951" s="94"/>
      <c r="F2951" s="94"/>
      <c r="G2951" s="94"/>
      <c r="H2951" s="94"/>
      <c r="I2951" s="94"/>
      <c r="J2951" s="94"/>
      <c r="K2951" s="94"/>
      <c r="L2951" s="94"/>
      <c r="M2951" s="94"/>
      <c r="N2951" s="94"/>
      <c r="O2951" s="94"/>
      <c r="P2951" s="27"/>
      <c r="Q2951" s="136">
        <f t="shared" si="531"/>
        <v>0</v>
      </c>
    </row>
    <row r="2952" spans="1:17">
      <c r="A2952" s="150"/>
      <c r="B2952" s="153"/>
      <c r="C2952" s="6" t="s">
        <v>4</v>
      </c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32"/>
      <c r="Q2952" s="132">
        <f t="shared" si="531"/>
        <v>0</v>
      </c>
    </row>
    <row r="2953" spans="1:17">
      <c r="A2953" s="150"/>
      <c r="B2953" s="153"/>
      <c r="C2953" s="6" t="s">
        <v>17</v>
      </c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91"/>
      <c r="O2953" s="91"/>
      <c r="P2953" s="32"/>
      <c r="Q2953" s="132">
        <f t="shared" si="531"/>
        <v>0</v>
      </c>
    </row>
    <row r="2954" spans="1:17">
      <c r="A2954" s="150"/>
      <c r="B2954" s="153"/>
      <c r="C2954" s="6" t="s">
        <v>18</v>
      </c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32"/>
      <c r="Q2954" s="132">
        <f t="shared" si="531"/>
        <v>0</v>
      </c>
    </row>
    <row r="2955" spans="1:17">
      <c r="A2955" s="150"/>
      <c r="B2955" s="153"/>
      <c r="C2955" s="6" t="s">
        <v>60</v>
      </c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91"/>
      <c r="O2955" s="91"/>
      <c r="P2955" s="32"/>
      <c r="Q2955" s="135">
        <f t="shared" si="531"/>
        <v>0</v>
      </c>
    </row>
    <row r="2956" spans="1:17">
      <c r="A2956" s="150"/>
      <c r="B2956" s="155" t="s">
        <v>13</v>
      </c>
      <c r="C2956" s="5" t="s">
        <v>10</v>
      </c>
      <c r="D2956" s="94"/>
      <c r="E2956" s="94"/>
      <c r="F2956" s="94"/>
      <c r="G2956" s="94"/>
      <c r="H2956" s="94"/>
      <c r="I2956" s="94"/>
      <c r="J2956" s="94"/>
      <c r="K2956" s="94"/>
      <c r="L2956" s="94"/>
      <c r="M2956" s="94"/>
      <c r="N2956" s="94"/>
      <c r="O2956" s="94"/>
      <c r="P2956" s="27"/>
      <c r="Q2956" s="131">
        <f t="shared" si="531"/>
        <v>0</v>
      </c>
    </row>
    <row r="2957" spans="1:17">
      <c r="A2957" s="150"/>
      <c r="B2957" s="153"/>
      <c r="C2957" s="116" t="s">
        <v>55</v>
      </c>
      <c r="D2957" s="89"/>
      <c r="E2957" s="89"/>
      <c r="F2957" s="89"/>
      <c r="G2957" s="89"/>
      <c r="H2957" s="89"/>
      <c r="I2957" s="89"/>
      <c r="J2957" s="89"/>
      <c r="K2957" s="89"/>
      <c r="L2957" s="89"/>
      <c r="M2957" s="89"/>
      <c r="N2957" s="89"/>
      <c r="O2957" s="89"/>
      <c r="P2957" s="28"/>
      <c r="Q2957" s="132">
        <f t="shared" si="531"/>
        <v>0</v>
      </c>
    </row>
    <row r="2958" spans="1:17">
      <c r="A2958" s="150"/>
      <c r="B2958" s="153"/>
      <c r="C2958" s="8" t="s">
        <v>56</v>
      </c>
      <c r="D2958" s="89"/>
      <c r="E2958" s="89"/>
      <c r="F2958" s="89"/>
      <c r="G2958" s="89"/>
      <c r="H2958" s="89"/>
      <c r="I2958" s="89"/>
      <c r="J2958" s="89"/>
      <c r="K2958" s="89"/>
      <c r="L2958" s="89"/>
      <c r="M2958" s="89"/>
      <c r="N2958" s="89"/>
      <c r="O2958" s="89"/>
      <c r="P2958" s="28"/>
      <c r="Q2958" s="132">
        <f t="shared" si="531"/>
        <v>0</v>
      </c>
    </row>
    <row r="2959" spans="1:17" ht="14.25" thickBot="1">
      <c r="A2959" s="150"/>
      <c r="B2959" s="154"/>
      <c r="C2959" s="4" t="s">
        <v>61</v>
      </c>
      <c r="D2959" s="92"/>
      <c r="E2959" s="92"/>
      <c r="F2959" s="92"/>
      <c r="G2959" s="92"/>
      <c r="H2959" s="92"/>
      <c r="I2959" s="92"/>
      <c r="J2959" s="92"/>
      <c r="K2959" s="92"/>
      <c r="L2959" s="92"/>
      <c r="M2959" s="92"/>
      <c r="N2959" s="92"/>
      <c r="O2959" s="92"/>
      <c r="P2959" s="33"/>
      <c r="Q2959" s="133">
        <f t="shared" si="531"/>
        <v>0</v>
      </c>
    </row>
    <row r="2960" spans="1:17" ht="14.25" thickBot="1">
      <c r="A2960" s="150"/>
      <c r="B2960" s="156" t="s">
        <v>54</v>
      </c>
      <c r="C2960" s="157"/>
      <c r="D2960" s="56">
        <f>SUM(D2946:D2950)-SUM(D2954:D2955)</f>
        <v>0</v>
      </c>
      <c r="E2960" s="56">
        <f t="shared" ref="E2960:O2960" si="533">SUM(E2946:E2950)-SUM(E2954:E2955)</f>
        <v>0</v>
      </c>
      <c r="F2960" s="56">
        <f t="shared" si="533"/>
        <v>0</v>
      </c>
      <c r="G2960" s="56">
        <f t="shared" si="533"/>
        <v>0</v>
      </c>
      <c r="H2960" s="56">
        <f t="shared" si="533"/>
        <v>0</v>
      </c>
      <c r="I2960" s="56">
        <f t="shared" si="533"/>
        <v>0</v>
      </c>
      <c r="J2960" s="56">
        <f t="shared" si="533"/>
        <v>0</v>
      </c>
      <c r="K2960" s="56">
        <f t="shared" si="533"/>
        <v>0</v>
      </c>
      <c r="L2960" s="56">
        <f t="shared" si="533"/>
        <v>0</v>
      </c>
      <c r="M2960" s="56">
        <f t="shared" si="533"/>
        <v>0</v>
      </c>
      <c r="N2960" s="56">
        <f t="shared" si="533"/>
        <v>0</v>
      </c>
      <c r="O2960" s="56">
        <f t="shared" si="533"/>
        <v>0</v>
      </c>
      <c r="P2960" s="58">
        <f>SUM(P2944:P2950)-SUM(P2954:P2955)</f>
        <v>0</v>
      </c>
      <c r="Q2960" s="130">
        <f t="shared" si="531"/>
        <v>0</v>
      </c>
    </row>
    <row r="2961" spans="1:17" ht="14.25" thickBot="1">
      <c r="A2961" s="151"/>
      <c r="B2961" s="147" t="s">
        <v>5</v>
      </c>
      <c r="C2961" s="148"/>
      <c r="D2961" s="42">
        <f>SUM(D2946:D2950)-SUM(D2951:D2955)+SUM(D2956:D2959)</f>
        <v>0</v>
      </c>
      <c r="E2961" s="42">
        <f t="shared" ref="E2961:O2961" si="534">SUM(E2946:E2950)-SUM(E2951:E2955)+SUM(E2956:E2959)</f>
        <v>0</v>
      </c>
      <c r="F2961" s="42">
        <f t="shared" si="534"/>
        <v>0</v>
      </c>
      <c r="G2961" s="42">
        <f t="shared" si="534"/>
        <v>0</v>
      </c>
      <c r="H2961" s="42">
        <f t="shared" si="534"/>
        <v>0</v>
      </c>
      <c r="I2961" s="42">
        <f t="shared" si="534"/>
        <v>0</v>
      </c>
      <c r="J2961" s="42">
        <f t="shared" si="534"/>
        <v>0</v>
      </c>
      <c r="K2961" s="42">
        <f t="shared" si="534"/>
        <v>0</v>
      </c>
      <c r="L2961" s="42">
        <f t="shared" si="534"/>
        <v>0</v>
      </c>
      <c r="M2961" s="42">
        <f t="shared" si="534"/>
        <v>0</v>
      </c>
      <c r="N2961" s="42">
        <f t="shared" si="534"/>
        <v>0</v>
      </c>
      <c r="O2961" s="42">
        <f t="shared" si="534"/>
        <v>0</v>
      </c>
      <c r="P2961" s="44">
        <f>SUM(P2944:P2950)-SUM(P2951:P2955)+SUM(P2956:P2959)</f>
        <v>0</v>
      </c>
      <c r="Q2961" s="46">
        <f>SUM(D2961:P2961)</f>
        <v>0</v>
      </c>
    </row>
    <row r="2962" spans="1:17">
      <c r="A2962" s="149"/>
      <c r="B2962" s="152" t="s">
        <v>12</v>
      </c>
      <c r="C2962" s="114" t="s">
        <v>84</v>
      </c>
      <c r="D2962" s="87"/>
      <c r="E2962" s="87"/>
      <c r="F2962" s="87"/>
      <c r="G2962" s="87"/>
      <c r="H2962" s="87"/>
      <c r="I2962" s="87"/>
      <c r="J2962" s="87"/>
      <c r="K2962" s="87"/>
      <c r="L2962" s="87"/>
      <c r="M2962" s="87"/>
      <c r="N2962" s="87"/>
      <c r="O2962" s="87"/>
      <c r="P2962" s="30"/>
      <c r="Q2962" s="134">
        <f>SUM(D2962:P2962)</f>
        <v>0</v>
      </c>
    </row>
    <row r="2963" spans="1:17">
      <c r="A2963" s="150"/>
      <c r="B2963" s="153"/>
      <c r="C2963" s="115" t="s">
        <v>85</v>
      </c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28"/>
      <c r="Q2963" s="132">
        <f t="shared" ref="Q2963:Q2978" si="535">SUM(D2963:P2963)</f>
        <v>0</v>
      </c>
    </row>
    <row r="2964" spans="1:17">
      <c r="A2964" s="150"/>
      <c r="B2964" s="153"/>
      <c r="C2964" s="116" t="s">
        <v>86</v>
      </c>
      <c r="D2964" s="91">
        <f t="shared" ref="D2964:O2964" si="536">D2962*D2963</f>
        <v>0</v>
      </c>
      <c r="E2964" s="91">
        <f t="shared" si="536"/>
        <v>0</v>
      </c>
      <c r="F2964" s="91">
        <f t="shared" si="536"/>
        <v>0</v>
      </c>
      <c r="G2964" s="91">
        <f t="shared" si="536"/>
        <v>0</v>
      </c>
      <c r="H2964" s="91">
        <f t="shared" si="536"/>
        <v>0</v>
      </c>
      <c r="I2964" s="91">
        <f t="shared" si="536"/>
        <v>0</v>
      </c>
      <c r="J2964" s="91">
        <f t="shared" si="536"/>
        <v>0</v>
      </c>
      <c r="K2964" s="91">
        <f t="shared" si="536"/>
        <v>0</v>
      </c>
      <c r="L2964" s="91">
        <f t="shared" si="536"/>
        <v>0</v>
      </c>
      <c r="M2964" s="91">
        <f t="shared" si="536"/>
        <v>0</v>
      </c>
      <c r="N2964" s="91">
        <f t="shared" si="536"/>
        <v>0</v>
      </c>
      <c r="O2964" s="91">
        <f t="shared" si="536"/>
        <v>0</v>
      </c>
      <c r="P2964" s="32"/>
      <c r="Q2964" s="132">
        <f t="shared" si="535"/>
        <v>0</v>
      </c>
    </row>
    <row r="2965" spans="1:17">
      <c r="A2965" s="150"/>
      <c r="B2965" s="153"/>
      <c r="C2965" s="117" t="s">
        <v>9</v>
      </c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32"/>
      <c r="Q2965" s="132">
        <f t="shared" si="535"/>
        <v>0</v>
      </c>
    </row>
    <row r="2966" spans="1:17">
      <c r="A2966" s="150"/>
      <c r="B2966" s="153"/>
      <c r="C2966" s="117" t="s">
        <v>38</v>
      </c>
      <c r="D2966" s="89"/>
      <c r="E2966" s="89"/>
      <c r="F2966" s="89"/>
      <c r="G2966" s="89"/>
      <c r="H2966" s="89"/>
      <c r="I2966" s="89"/>
      <c r="J2966" s="89"/>
      <c r="K2966" s="89"/>
      <c r="L2966" s="89"/>
      <c r="M2966" s="89"/>
      <c r="N2966" s="89"/>
      <c r="O2966" s="89"/>
      <c r="P2966" s="28"/>
      <c r="Q2966" s="132">
        <f t="shared" si="535"/>
        <v>0</v>
      </c>
    </row>
    <row r="2967" spans="1:17">
      <c r="A2967" s="150"/>
      <c r="B2967" s="153"/>
      <c r="C2967" s="62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32"/>
      <c r="Q2967" s="132">
        <f t="shared" si="535"/>
        <v>0</v>
      </c>
    </row>
    <row r="2968" spans="1:17">
      <c r="A2968" s="150"/>
      <c r="B2968" s="154"/>
      <c r="C2968" s="6" t="s">
        <v>42</v>
      </c>
      <c r="D2968" s="92"/>
      <c r="E2968" s="92"/>
      <c r="F2968" s="92"/>
      <c r="G2968" s="92"/>
      <c r="H2968" s="92"/>
      <c r="I2968" s="92"/>
      <c r="J2968" s="92"/>
      <c r="K2968" s="92"/>
      <c r="L2968" s="92"/>
      <c r="M2968" s="92"/>
      <c r="N2968" s="92"/>
      <c r="O2968" s="92"/>
      <c r="P2968" s="33"/>
      <c r="Q2968" s="135">
        <f t="shared" si="535"/>
        <v>0</v>
      </c>
    </row>
    <row r="2969" spans="1:17">
      <c r="A2969" s="150"/>
      <c r="B2969" s="155" t="s">
        <v>11</v>
      </c>
      <c r="C2969" s="5" t="s">
        <v>7</v>
      </c>
      <c r="D2969" s="94"/>
      <c r="E2969" s="94"/>
      <c r="F2969" s="94"/>
      <c r="G2969" s="94"/>
      <c r="H2969" s="94"/>
      <c r="I2969" s="94"/>
      <c r="J2969" s="94"/>
      <c r="K2969" s="94"/>
      <c r="L2969" s="94"/>
      <c r="M2969" s="94"/>
      <c r="N2969" s="94"/>
      <c r="O2969" s="94"/>
      <c r="P2969" s="27"/>
      <c r="Q2969" s="136">
        <f t="shared" si="535"/>
        <v>0</v>
      </c>
    </row>
    <row r="2970" spans="1:17">
      <c r="A2970" s="150"/>
      <c r="B2970" s="153"/>
      <c r="C2970" s="6" t="s">
        <v>4</v>
      </c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32"/>
      <c r="Q2970" s="132">
        <f t="shared" si="535"/>
        <v>0</v>
      </c>
    </row>
    <row r="2971" spans="1:17">
      <c r="A2971" s="150"/>
      <c r="B2971" s="153"/>
      <c r="C2971" s="6" t="s">
        <v>17</v>
      </c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32"/>
      <c r="Q2971" s="132">
        <f t="shared" si="535"/>
        <v>0</v>
      </c>
    </row>
    <row r="2972" spans="1:17">
      <c r="A2972" s="150"/>
      <c r="B2972" s="153"/>
      <c r="C2972" s="6" t="s">
        <v>18</v>
      </c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32"/>
      <c r="Q2972" s="132">
        <f t="shared" si="535"/>
        <v>0</v>
      </c>
    </row>
    <row r="2973" spans="1:17">
      <c r="A2973" s="150"/>
      <c r="B2973" s="153"/>
      <c r="C2973" s="6" t="s">
        <v>60</v>
      </c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91"/>
      <c r="O2973" s="91"/>
      <c r="P2973" s="32"/>
      <c r="Q2973" s="135">
        <f t="shared" si="535"/>
        <v>0</v>
      </c>
    </row>
    <row r="2974" spans="1:17">
      <c r="A2974" s="150"/>
      <c r="B2974" s="155" t="s">
        <v>13</v>
      </c>
      <c r="C2974" s="5" t="s">
        <v>10</v>
      </c>
      <c r="D2974" s="94"/>
      <c r="E2974" s="94"/>
      <c r="F2974" s="94"/>
      <c r="G2974" s="94"/>
      <c r="H2974" s="94"/>
      <c r="I2974" s="94"/>
      <c r="J2974" s="94"/>
      <c r="K2974" s="94"/>
      <c r="L2974" s="94"/>
      <c r="M2974" s="94"/>
      <c r="N2974" s="94"/>
      <c r="O2974" s="94"/>
      <c r="P2974" s="27"/>
      <c r="Q2974" s="131">
        <f t="shared" si="535"/>
        <v>0</v>
      </c>
    </row>
    <row r="2975" spans="1:17">
      <c r="A2975" s="150"/>
      <c r="B2975" s="153"/>
      <c r="C2975" s="116" t="s">
        <v>55</v>
      </c>
      <c r="D2975" s="89"/>
      <c r="E2975" s="89"/>
      <c r="F2975" s="89"/>
      <c r="G2975" s="89"/>
      <c r="H2975" s="89"/>
      <c r="I2975" s="89"/>
      <c r="J2975" s="89"/>
      <c r="K2975" s="89"/>
      <c r="L2975" s="89"/>
      <c r="M2975" s="89"/>
      <c r="N2975" s="89"/>
      <c r="O2975" s="89"/>
      <c r="P2975" s="28"/>
      <c r="Q2975" s="132">
        <f t="shared" si="535"/>
        <v>0</v>
      </c>
    </row>
    <row r="2976" spans="1:17">
      <c r="A2976" s="150"/>
      <c r="B2976" s="153"/>
      <c r="C2976" s="8" t="s">
        <v>56</v>
      </c>
      <c r="D2976" s="89"/>
      <c r="E2976" s="89"/>
      <c r="F2976" s="89"/>
      <c r="G2976" s="89"/>
      <c r="H2976" s="89"/>
      <c r="I2976" s="89"/>
      <c r="J2976" s="89"/>
      <c r="K2976" s="89"/>
      <c r="L2976" s="89"/>
      <c r="M2976" s="89"/>
      <c r="N2976" s="89"/>
      <c r="O2976" s="89"/>
      <c r="P2976" s="28"/>
      <c r="Q2976" s="132">
        <f t="shared" si="535"/>
        <v>0</v>
      </c>
    </row>
    <row r="2977" spans="1:17" ht="14.25" thickBot="1">
      <c r="A2977" s="150"/>
      <c r="B2977" s="154"/>
      <c r="C2977" s="4" t="s">
        <v>61</v>
      </c>
      <c r="D2977" s="92"/>
      <c r="E2977" s="92"/>
      <c r="F2977" s="92"/>
      <c r="G2977" s="92"/>
      <c r="H2977" s="92"/>
      <c r="I2977" s="92"/>
      <c r="J2977" s="92"/>
      <c r="K2977" s="92"/>
      <c r="L2977" s="92"/>
      <c r="M2977" s="92"/>
      <c r="N2977" s="92"/>
      <c r="O2977" s="92"/>
      <c r="P2977" s="33"/>
      <c r="Q2977" s="133">
        <f t="shared" si="535"/>
        <v>0</v>
      </c>
    </row>
    <row r="2978" spans="1:17" ht="14.25" thickBot="1">
      <c r="A2978" s="150"/>
      <c r="B2978" s="156" t="s">
        <v>54</v>
      </c>
      <c r="C2978" s="157"/>
      <c r="D2978" s="56">
        <f>SUM(D2964:D2968)-SUM(D2972:D2973)</f>
        <v>0</v>
      </c>
      <c r="E2978" s="56">
        <f t="shared" ref="E2978:O2978" si="537">SUM(E2964:E2968)-SUM(E2972:E2973)</f>
        <v>0</v>
      </c>
      <c r="F2978" s="56">
        <f t="shared" si="537"/>
        <v>0</v>
      </c>
      <c r="G2978" s="56">
        <f t="shared" si="537"/>
        <v>0</v>
      </c>
      <c r="H2978" s="56">
        <f t="shared" si="537"/>
        <v>0</v>
      </c>
      <c r="I2978" s="56">
        <f t="shared" si="537"/>
        <v>0</v>
      </c>
      <c r="J2978" s="56">
        <f t="shared" si="537"/>
        <v>0</v>
      </c>
      <c r="K2978" s="56">
        <f t="shared" si="537"/>
        <v>0</v>
      </c>
      <c r="L2978" s="56">
        <f t="shared" si="537"/>
        <v>0</v>
      </c>
      <c r="M2978" s="56">
        <f t="shared" si="537"/>
        <v>0</v>
      </c>
      <c r="N2978" s="56">
        <f t="shared" si="537"/>
        <v>0</v>
      </c>
      <c r="O2978" s="56">
        <f t="shared" si="537"/>
        <v>0</v>
      </c>
      <c r="P2978" s="58">
        <f>SUM(P2962:P2968)-SUM(P2972:P2973)</f>
        <v>0</v>
      </c>
      <c r="Q2978" s="130">
        <f t="shared" si="535"/>
        <v>0</v>
      </c>
    </row>
    <row r="2979" spans="1:17" ht="14.25" thickBot="1">
      <c r="A2979" s="151"/>
      <c r="B2979" s="147" t="s">
        <v>5</v>
      </c>
      <c r="C2979" s="148"/>
      <c r="D2979" s="42">
        <f>SUM(D2964:D2968)-SUM(D2969:D2973)+SUM(D2974:D2977)</f>
        <v>0</v>
      </c>
      <c r="E2979" s="42">
        <f t="shared" ref="E2979:O2979" si="538">SUM(E2964:E2968)-SUM(E2969:E2973)+SUM(E2974:E2977)</f>
        <v>0</v>
      </c>
      <c r="F2979" s="42">
        <f t="shared" si="538"/>
        <v>0</v>
      </c>
      <c r="G2979" s="42">
        <f t="shared" si="538"/>
        <v>0</v>
      </c>
      <c r="H2979" s="42">
        <f t="shared" si="538"/>
        <v>0</v>
      </c>
      <c r="I2979" s="42">
        <f t="shared" si="538"/>
        <v>0</v>
      </c>
      <c r="J2979" s="42">
        <f t="shared" si="538"/>
        <v>0</v>
      </c>
      <c r="K2979" s="42">
        <f t="shared" si="538"/>
        <v>0</v>
      </c>
      <c r="L2979" s="42">
        <f t="shared" si="538"/>
        <v>0</v>
      </c>
      <c r="M2979" s="42">
        <f t="shared" si="538"/>
        <v>0</v>
      </c>
      <c r="N2979" s="42">
        <f t="shared" si="538"/>
        <v>0</v>
      </c>
      <c r="O2979" s="42">
        <f t="shared" si="538"/>
        <v>0</v>
      </c>
      <c r="P2979" s="44">
        <f>SUM(P2962:P2968)-SUM(P2969:P2973)+SUM(P2974:P2977)</f>
        <v>0</v>
      </c>
      <c r="Q2979" s="46">
        <f>SUM(D2979:P2979)</f>
        <v>0</v>
      </c>
    </row>
    <row r="2980" spans="1:17">
      <c r="A2980" s="149"/>
      <c r="B2980" s="152" t="s">
        <v>12</v>
      </c>
      <c r="C2980" s="114" t="s">
        <v>84</v>
      </c>
      <c r="D2980" s="87"/>
      <c r="E2980" s="87"/>
      <c r="F2980" s="87"/>
      <c r="G2980" s="87"/>
      <c r="H2980" s="87"/>
      <c r="I2980" s="87"/>
      <c r="J2980" s="87"/>
      <c r="K2980" s="87"/>
      <c r="L2980" s="87"/>
      <c r="M2980" s="87"/>
      <c r="N2980" s="87"/>
      <c r="O2980" s="87"/>
      <c r="P2980" s="30"/>
      <c r="Q2980" s="134">
        <f>SUM(D2980:P2980)</f>
        <v>0</v>
      </c>
    </row>
    <row r="2981" spans="1:17">
      <c r="A2981" s="150"/>
      <c r="B2981" s="153"/>
      <c r="C2981" s="115" t="s">
        <v>85</v>
      </c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28"/>
      <c r="Q2981" s="132">
        <f t="shared" ref="Q2981:Q2996" si="539">SUM(D2981:P2981)</f>
        <v>0</v>
      </c>
    </row>
    <row r="2982" spans="1:17">
      <c r="A2982" s="150"/>
      <c r="B2982" s="153"/>
      <c r="C2982" s="116" t="s">
        <v>86</v>
      </c>
      <c r="D2982" s="91">
        <f t="shared" ref="D2982:O2982" si="540">D2980*D2981</f>
        <v>0</v>
      </c>
      <c r="E2982" s="91">
        <f t="shared" si="540"/>
        <v>0</v>
      </c>
      <c r="F2982" s="91">
        <f t="shared" si="540"/>
        <v>0</v>
      </c>
      <c r="G2982" s="91">
        <f t="shared" si="540"/>
        <v>0</v>
      </c>
      <c r="H2982" s="91">
        <f t="shared" si="540"/>
        <v>0</v>
      </c>
      <c r="I2982" s="91">
        <f t="shared" si="540"/>
        <v>0</v>
      </c>
      <c r="J2982" s="91">
        <f t="shared" si="540"/>
        <v>0</v>
      </c>
      <c r="K2982" s="91">
        <f t="shared" si="540"/>
        <v>0</v>
      </c>
      <c r="L2982" s="91">
        <f t="shared" si="540"/>
        <v>0</v>
      </c>
      <c r="M2982" s="91">
        <f t="shared" si="540"/>
        <v>0</v>
      </c>
      <c r="N2982" s="91">
        <f t="shared" si="540"/>
        <v>0</v>
      </c>
      <c r="O2982" s="91">
        <f t="shared" si="540"/>
        <v>0</v>
      </c>
      <c r="P2982" s="32"/>
      <c r="Q2982" s="132">
        <f t="shared" si="539"/>
        <v>0</v>
      </c>
    </row>
    <row r="2983" spans="1:17">
      <c r="A2983" s="150"/>
      <c r="B2983" s="153"/>
      <c r="C2983" s="117" t="s">
        <v>9</v>
      </c>
      <c r="D2983" s="91"/>
      <c r="E2983" s="91"/>
      <c r="F2983" s="91"/>
      <c r="G2983" s="91"/>
      <c r="H2983" s="91"/>
      <c r="I2983" s="91"/>
      <c r="J2983" s="91"/>
      <c r="K2983" s="91"/>
      <c r="L2983" s="91"/>
      <c r="M2983" s="91"/>
      <c r="N2983" s="91"/>
      <c r="O2983" s="91"/>
      <c r="P2983" s="32"/>
      <c r="Q2983" s="132">
        <f t="shared" si="539"/>
        <v>0</v>
      </c>
    </row>
    <row r="2984" spans="1:17">
      <c r="A2984" s="150"/>
      <c r="B2984" s="153"/>
      <c r="C2984" s="117" t="s">
        <v>38</v>
      </c>
      <c r="D2984" s="89"/>
      <c r="E2984" s="89"/>
      <c r="F2984" s="89"/>
      <c r="G2984" s="89"/>
      <c r="H2984" s="89"/>
      <c r="I2984" s="89"/>
      <c r="J2984" s="89"/>
      <c r="K2984" s="89"/>
      <c r="L2984" s="89"/>
      <c r="M2984" s="89"/>
      <c r="N2984" s="89"/>
      <c r="O2984" s="89"/>
      <c r="P2984" s="28"/>
      <c r="Q2984" s="132">
        <f t="shared" si="539"/>
        <v>0</v>
      </c>
    </row>
    <row r="2985" spans="1:17">
      <c r="A2985" s="150"/>
      <c r="B2985" s="153"/>
      <c r="C2985" s="62"/>
      <c r="D2985" s="91"/>
      <c r="E2985" s="91"/>
      <c r="F2985" s="91"/>
      <c r="G2985" s="91"/>
      <c r="H2985" s="91"/>
      <c r="I2985" s="91"/>
      <c r="J2985" s="91"/>
      <c r="K2985" s="91"/>
      <c r="L2985" s="91"/>
      <c r="M2985" s="91"/>
      <c r="N2985" s="91"/>
      <c r="O2985" s="91"/>
      <c r="P2985" s="32"/>
      <c r="Q2985" s="132">
        <f t="shared" si="539"/>
        <v>0</v>
      </c>
    </row>
    <row r="2986" spans="1:17">
      <c r="A2986" s="150"/>
      <c r="B2986" s="154"/>
      <c r="C2986" s="6" t="s">
        <v>42</v>
      </c>
      <c r="D2986" s="92"/>
      <c r="E2986" s="92"/>
      <c r="F2986" s="92"/>
      <c r="G2986" s="92"/>
      <c r="H2986" s="92"/>
      <c r="I2986" s="92"/>
      <c r="J2986" s="92"/>
      <c r="K2986" s="92"/>
      <c r="L2986" s="92"/>
      <c r="M2986" s="92"/>
      <c r="N2986" s="92"/>
      <c r="O2986" s="92"/>
      <c r="P2986" s="33"/>
      <c r="Q2986" s="135">
        <f t="shared" si="539"/>
        <v>0</v>
      </c>
    </row>
    <row r="2987" spans="1:17">
      <c r="A2987" s="150"/>
      <c r="B2987" s="155" t="s">
        <v>11</v>
      </c>
      <c r="C2987" s="5" t="s">
        <v>7</v>
      </c>
      <c r="D2987" s="94"/>
      <c r="E2987" s="94"/>
      <c r="F2987" s="94"/>
      <c r="G2987" s="94"/>
      <c r="H2987" s="94"/>
      <c r="I2987" s="94"/>
      <c r="J2987" s="94"/>
      <c r="K2987" s="94"/>
      <c r="L2987" s="94"/>
      <c r="M2987" s="94"/>
      <c r="N2987" s="94"/>
      <c r="O2987" s="94"/>
      <c r="P2987" s="27"/>
      <c r="Q2987" s="136">
        <f t="shared" si="539"/>
        <v>0</v>
      </c>
    </row>
    <row r="2988" spans="1:17">
      <c r="A2988" s="150"/>
      <c r="B2988" s="153"/>
      <c r="C2988" s="6" t="s">
        <v>4</v>
      </c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32"/>
      <c r="Q2988" s="132">
        <f t="shared" si="539"/>
        <v>0</v>
      </c>
    </row>
    <row r="2989" spans="1:17">
      <c r="A2989" s="150"/>
      <c r="B2989" s="153"/>
      <c r="C2989" s="6" t="s">
        <v>17</v>
      </c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32"/>
      <c r="Q2989" s="132">
        <f t="shared" si="539"/>
        <v>0</v>
      </c>
    </row>
    <row r="2990" spans="1:17">
      <c r="A2990" s="150"/>
      <c r="B2990" s="153"/>
      <c r="C2990" s="6" t="s">
        <v>18</v>
      </c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32"/>
      <c r="Q2990" s="132">
        <f t="shared" si="539"/>
        <v>0</v>
      </c>
    </row>
    <row r="2991" spans="1:17">
      <c r="A2991" s="150"/>
      <c r="B2991" s="153"/>
      <c r="C2991" s="6" t="s">
        <v>60</v>
      </c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32"/>
      <c r="Q2991" s="135">
        <f t="shared" si="539"/>
        <v>0</v>
      </c>
    </row>
    <row r="2992" spans="1:17">
      <c r="A2992" s="150"/>
      <c r="B2992" s="155" t="s">
        <v>13</v>
      </c>
      <c r="C2992" s="5" t="s">
        <v>10</v>
      </c>
      <c r="D2992" s="94"/>
      <c r="E2992" s="94"/>
      <c r="F2992" s="94"/>
      <c r="G2992" s="94"/>
      <c r="H2992" s="94"/>
      <c r="I2992" s="94"/>
      <c r="J2992" s="94"/>
      <c r="K2992" s="94"/>
      <c r="L2992" s="94"/>
      <c r="M2992" s="94"/>
      <c r="N2992" s="94"/>
      <c r="O2992" s="94"/>
      <c r="P2992" s="27"/>
      <c r="Q2992" s="131">
        <f t="shared" si="539"/>
        <v>0</v>
      </c>
    </row>
    <row r="2993" spans="1:17">
      <c r="A2993" s="150"/>
      <c r="B2993" s="153"/>
      <c r="C2993" s="116" t="s">
        <v>55</v>
      </c>
      <c r="D2993" s="89"/>
      <c r="E2993" s="89"/>
      <c r="F2993" s="89"/>
      <c r="G2993" s="89"/>
      <c r="H2993" s="89"/>
      <c r="I2993" s="89"/>
      <c r="J2993" s="89"/>
      <c r="K2993" s="89"/>
      <c r="L2993" s="89"/>
      <c r="M2993" s="89"/>
      <c r="N2993" s="89"/>
      <c r="O2993" s="89"/>
      <c r="P2993" s="28"/>
      <c r="Q2993" s="132">
        <f t="shared" si="539"/>
        <v>0</v>
      </c>
    </row>
    <row r="2994" spans="1:17">
      <c r="A2994" s="150"/>
      <c r="B2994" s="153"/>
      <c r="C2994" s="8" t="s">
        <v>56</v>
      </c>
      <c r="D2994" s="89"/>
      <c r="E2994" s="89"/>
      <c r="F2994" s="89"/>
      <c r="G2994" s="89"/>
      <c r="H2994" s="89"/>
      <c r="I2994" s="89"/>
      <c r="J2994" s="89"/>
      <c r="K2994" s="89"/>
      <c r="L2994" s="89"/>
      <c r="M2994" s="89"/>
      <c r="N2994" s="89"/>
      <c r="O2994" s="89"/>
      <c r="P2994" s="28"/>
      <c r="Q2994" s="132">
        <f t="shared" si="539"/>
        <v>0</v>
      </c>
    </row>
    <row r="2995" spans="1:17" ht="14.25" thickBot="1">
      <c r="A2995" s="150"/>
      <c r="B2995" s="154"/>
      <c r="C2995" s="4" t="s">
        <v>61</v>
      </c>
      <c r="D2995" s="92"/>
      <c r="E2995" s="92"/>
      <c r="F2995" s="92"/>
      <c r="G2995" s="92"/>
      <c r="H2995" s="92"/>
      <c r="I2995" s="92"/>
      <c r="J2995" s="92"/>
      <c r="K2995" s="92"/>
      <c r="L2995" s="92"/>
      <c r="M2995" s="92"/>
      <c r="N2995" s="92"/>
      <c r="O2995" s="92"/>
      <c r="P2995" s="33"/>
      <c r="Q2995" s="133">
        <f t="shared" si="539"/>
        <v>0</v>
      </c>
    </row>
    <row r="2996" spans="1:17" ht="14.25" thickBot="1">
      <c r="A2996" s="150"/>
      <c r="B2996" s="156" t="s">
        <v>54</v>
      </c>
      <c r="C2996" s="157"/>
      <c r="D2996" s="56">
        <f>SUM(D2982:D2986)-SUM(D2990:D2991)</f>
        <v>0</v>
      </c>
      <c r="E2996" s="56">
        <f t="shared" ref="E2996:O2996" si="541">SUM(E2982:E2986)-SUM(E2990:E2991)</f>
        <v>0</v>
      </c>
      <c r="F2996" s="56">
        <f t="shared" si="541"/>
        <v>0</v>
      </c>
      <c r="G2996" s="56">
        <f t="shared" si="541"/>
        <v>0</v>
      </c>
      <c r="H2996" s="56">
        <f t="shared" si="541"/>
        <v>0</v>
      </c>
      <c r="I2996" s="56">
        <f t="shared" si="541"/>
        <v>0</v>
      </c>
      <c r="J2996" s="56">
        <f t="shared" si="541"/>
        <v>0</v>
      </c>
      <c r="K2996" s="56">
        <f t="shared" si="541"/>
        <v>0</v>
      </c>
      <c r="L2996" s="56">
        <f t="shared" si="541"/>
        <v>0</v>
      </c>
      <c r="M2996" s="56">
        <f t="shared" si="541"/>
        <v>0</v>
      </c>
      <c r="N2996" s="56">
        <f t="shared" si="541"/>
        <v>0</v>
      </c>
      <c r="O2996" s="56">
        <f t="shared" si="541"/>
        <v>0</v>
      </c>
      <c r="P2996" s="58">
        <f>SUM(P2980:P2986)-SUM(P2990:P2991)</f>
        <v>0</v>
      </c>
      <c r="Q2996" s="130">
        <f t="shared" si="539"/>
        <v>0</v>
      </c>
    </row>
    <row r="2997" spans="1:17" ht="14.25" thickBot="1">
      <c r="A2997" s="151"/>
      <c r="B2997" s="147" t="s">
        <v>5</v>
      </c>
      <c r="C2997" s="148"/>
      <c r="D2997" s="42">
        <f>SUM(D2982:D2986)-SUM(D2987:D2991)+SUM(D2992:D2995)</f>
        <v>0</v>
      </c>
      <c r="E2997" s="42">
        <f t="shared" ref="E2997:O2997" si="542">SUM(E2982:E2986)-SUM(E2987:E2991)+SUM(E2992:E2995)</f>
        <v>0</v>
      </c>
      <c r="F2997" s="42">
        <f t="shared" si="542"/>
        <v>0</v>
      </c>
      <c r="G2997" s="42">
        <f t="shared" si="542"/>
        <v>0</v>
      </c>
      <c r="H2997" s="42">
        <f t="shared" si="542"/>
        <v>0</v>
      </c>
      <c r="I2997" s="42">
        <f t="shared" si="542"/>
        <v>0</v>
      </c>
      <c r="J2997" s="42">
        <f t="shared" si="542"/>
        <v>0</v>
      </c>
      <c r="K2997" s="42">
        <f t="shared" si="542"/>
        <v>0</v>
      </c>
      <c r="L2997" s="42">
        <f t="shared" si="542"/>
        <v>0</v>
      </c>
      <c r="M2997" s="42">
        <f t="shared" si="542"/>
        <v>0</v>
      </c>
      <c r="N2997" s="42">
        <f t="shared" si="542"/>
        <v>0</v>
      </c>
      <c r="O2997" s="42">
        <f t="shared" si="542"/>
        <v>0</v>
      </c>
      <c r="P2997" s="44">
        <f>SUM(P2980:P2986)-SUM(P2987:P2991)+SUM(P2992:P2995)</f>
        <v>0</v>
      </c>
      <c r="Q2997" s="46">
        <f>SUM(D2997:P2997)</f>
        <v>0</v>
      </c>
    </row>
    <row r="2998" spans="1:17">
      <c r="A2998" s="149"/>
      <c r="B2998" s="152" t="s">
        <v>12</v>
      </c>
      <c r="C2998" s="114" t="s">
        <v>84</v>
      </c>
      <c r="D2998" s="87"/>
      <c r="E2998" s="87"/>
      <c r="F2998" s="87"/>
      <c r="G2998" s="87"/>
      <c r="H2998" s="87"/>
      <c r="I2998" s="87"/>
      <c r="J2998" s="87"/>
      <c r="K2998" s="87"/>
      <c r="L2998" s="87"/>
      <c r="M2998" s="87"/>
      <c r="N2998" s="87"/>
      <c r="O2998" s="87"/>
      <c r="P2998" s="30"/>
      <c r="Q2998" s="134">
        <f>SUM(D2998:P2998)</f>
        <v>0</v>
      </c>
    </row>
    <row r="2999" spans="1:17">
      <c r="A2999" s="150"/>
      <c r="B2999" s="153"/>
      <c r="C2999" s="115" t="s">
        <v>85</v>
      </c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28"/>
      <c r="Q2999" s="132">
        <f t="shared" ref="Q2999:Q3014" si="543">SUM(D2999:P2999)</f>
        <v>0</v>
      </c>
    </row>
    <row r="3000" spans="1:17">
      <c r="A3000" s="150"/>
      <c r="B3000" s="153"/>
      <c r="C3000" s="116" t="s">
        <v>86</v>
      </c>
      <c r="D3000" s="91">
        <f t="shared" ref="D3000:O3000" si="544">D2998*D2999</f>
        <v>0</v>
      </c>
      <c r="E3000" s="91">
        <f t="shared" si="544"/>
        <v>0</v>
      </c>
      <c r="F3000" s="91">
        <f t="shared" si="544"/>
        <v>0</v>
      </c>
      <c r="G3000" s="91">
        <f t="shared" si="544"/>
        <v>0</v>
      </c>
      <c r="H3000" s="91">
        <f t="shared" si="544"/>
        <v>0</v>
      </c>
      <c r="I3000" s="91">
        <f t="shared" si="544"/>
        <v>0</v>
      </c>
      <c r="J3000" s="91">
        <f t="shared" si="544"/>
        <v>0</v>
      </c>
      <c r="K3000" s="91">
        <f t="shared" si="544"/>
        <v>0</v>
      </c>
      <c r="L3000" s="91">
        <f t="shared" si="544"/>
        <v>0</v>
      </c>
      <c r="M3000" s="91">
        <f t="shared" si="544"/>
        <v>0</v>
      </c>
      <c r="N3000" s="91">
        <f t="shared" si="544"/>
        <v>0</v>
      </c>
      <c r="O3000" s="91">
        <f t="shared" si="544"/>
        <v>0</v>
      </c>
      <c r="P3000" s="32"/>
      <c r="Q3000" s="132">
        <f t="shared" si="543"/>
        <v>0</v>
      </c>
    </row>
    <row r="3001" spans="1:17">
      <c r="A3001" s="150"/>
      <c r="B3001" s="153"/>
      <c r="C3001" s="117" t="s">
        <v>9</v>
      </c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32"/>
      <c r="Q3001" s="132">
        <f t="shared" si="543"/>
        <v>0</v>
      </c>
    </row>
    <row r="3002" spans="1:17">
      <c r="A3002" s="150"/>
      <c r="B3002" s="153"/>
      <c r="C3002" s="117" t="s">
        <v>38</v>
      </c>
      <c r="D3002" s="89"/>
      <c r="E3002" s="89"/>
      <c r="F3002" s="89"/>
      <c r="G3002" s="89"/>
      <c r="H3002" s="89"/>
      <c r="I3002" s="89"/>
      <c r="J3002" s="89"/>
      <c r="K3002" s="89"/>
      <c r="L3002" s="89"/>
      <c r="M3002" s="89"/>
      <c r="N3002" s="89"/>
      <c r="O3002" s="89"/>
      <c r="P3002" s="28"/>
      <c r="Q3002" s="132">
        <f t="shared" si="543"/>
        <v>0</v>
      </c>
    </row>
    <row r="3003" spans="1:17">
      <c r="A3003" s="150"/>
      <c r="B3003" s="153"/>
      <c r="C3003" s="62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91"/>
      <c r="O3003" s="91"/>
      <c r="P3003" s="32"/>
      <c r="Q3003" s="132">
        <f t="shared" si="543"/>
        <v>0</v>
      </c>
    </row>
    <row r="3004" spans="1:17">
      <c r="A3004" s="150"/>
      <c r="B3004" s="154"/>
      <c r="C3004" s="6" t="s">
        <v>42</v>
      </c>
      <c r="D3004" s="92"/>
      <c r="E3004" s="92"/>
      <c r="F3004" s="92"/>
      <c r="G3004" s="92"/>
      <c r="H3004" s="92"/>
      <c r="I3004" s="92"/>
      <c r="J3004" s="92"/>
      <c r="K3004" s="92"/>
      <c r="L3004" s="92"/>
      <c r="M3004" s="92"/>
      <c r="N3004" s="92"/>
      <c r="O3004" s="92"/>
      <c r="P3004" s="33"/>
      <c r="Q3004" s="135">
        <f t="shared" si="543"/>
        <v>0</v>
      </c>
    </row>
    <row r="3005" spans="1:17">
      <c r="A3005" s="150"/>
      <c r="B3005" s="155" t="s">
        <v>11</v>
      </c>
      <c r="C3005" s="5" t="s">
        <v>7</v>
      </c>
      <c r="D3005" s="94"/>
      <c r="E3005" s="94"/>
      <c r="F3005" s="94"/>
      <c r="G3005" s="94"/>
      <c r="H3005" s="94"/>
      <c r="I3005" s="94"/>
      <c r="J3005" s="94"/>
      <c r="K3005" s="94"/>
      <c r="L3005" s="94"/>
      <c r="M3005" s="94"/>
      <c r="N3005" s="94"/>
      <c r="O3005" s="94"/>
      <c r="P3005" s="27"/>
      <c r="Q3005" s="136">
        <f t="shared" si="543"/>
        <v>0</v>
      </c>
    </row>
    <row r="3006" spans="1:17">
      <c r="A3006" s="150"/>
      <c r="B3006" s="153"/>
      <c r="C3006" s="6" t="s">
        <v>4</v>
      </c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91"/>
      <c r="O3006" s="91"/>
      <c r="P3006" s="32"/>
      <c r="Q3006" s="132">
        <f t="shared" si="543"/>
        <v>0</v>
      </c>
    </row>
    <row r="3007" spans="1:17">
      <c r="A3007" s="150"/>
      <c r="B3007" s="153"/>
      <c r="C3007" s="6" t="s">
        <v>17</v>
      </c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91"/>
      <c r="O3007" s="91"/>
      <c r="P3007" s="32"/>
      <c r="Q3007" s="132">
        <f t="shared" si="543"/>
        <v>0</v>
      </c>
    </row>
    <row r="3008" spans="1:17">
      <c r="A3008" s="150"/>
      <c r="B3008" s="153"/>
      <c r="C3008" s="6" t="s">
        <v>18</v>
      </c>
      <c r="D3008" s="91"/>
      <c r="E3008" s="91"/>
      <c r="F3008" s="91"/>
      <c r="G3008" s="91"/>
      <c r="H3008" s="91"/>
      <c r="I3008" s="91"/>
      <c r="J3008" s="91"/>
      <c r="K3008" s="91"/>
      <c r="L3008" s="91"/>
      <c r="M3008" s="91"/>
      <c r="N3008" s="91"/>
      <c r="O3008" s="91"/>
      <c r="P3008" s="32"/>
      <c r="Q3008" s="132">
        <f t="shared" si="543"/>
        <v>0</v>
      </c>
    </row>
    <row r="3009" spans="1:17">
      <c r="A3009" s="150"/>
      <c r="B3009" s="153"/>
      <c r="C3009" s="6" t="s">
        <v>60</v>
      </c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91"/>
      <c r="O3009" s="91"/>
      <c r="P3009" s="32"/>
      <c r="Q3009" s="135">
        <f t="shared" si="543"/>
        <v>0</v>
      </c>
    </row>
    <row r="3010" spans="1:17">
      <c r="A3010" s="150"/>
      <c r="B3010" s="155" t="s">
        <v>13</v>
      </c>
      <c r="C3010" s="5" t="s">
        <v>10</v>
      </c>
      <c r="D3010" s="94"/>
      <c r="E3010" s="94"/>
      <c r="F3010" s="94"/>
      <c r="G3010" s="94"/>
      <c r="H3010" s="94"/>
      <c r="I3010" s="94"/>
      <c r="J3010" s="94"/>
      <c r="K3010" s="94"/>
      <c r="L3010" s="94"/>
      <c r="M3010" s="94"/>
      <c r="N3010" s="94"/>
      <c r="O3010" s="94"/>
      <c r="P3010" s="27"/>
      <c r="Q3010" s="131">
        <f t="shared" si="543"/>
        <v>0</v>
      </c>
    </row>
    <row r="3011" spans="1:17">
      <c r="A3011" s="150"/>
      <c r="B3011" s="153"/>
      <c r="C3011" s="116" t="s">
        <v>55</v>
      </c>
      <c r="D3011" s="89"/>
      <c r="E3011" s="89"/>
      <c r="F3011" s="89"/>
      <c r="G3011" s="89"/>
      <c r="H3011" s="89"/>
      <c r="I3011" s="89"/>
      <c r="J3011" s="89"/>
      <c r="K3011" s="89"/>
      <c r="L3011" s="89"/>
      <c r="M3011" s="89"/>
      <c r="N3011" s="89"/>
      <c r="O3011" s="89"/>
      <c r="P3011" s="28"/>
      <c r="Q3011" s="132">
        <f t="shared" si="543"/>
        <v>0</v>
      </c>
    </row>
    <row r="3012" spans="1:17">
      <c r="A3012" s="150"/>
      <c r="B3012" s="153"/>
      <c r="C3012" s="8" t="s">
        <v>56</v>
      </c>
      <c r="D3012" s="89"/>
      <c r="E3012" s="89"/>
      <c r="F3012" s="89"/>
      <c r="G3012" s="89"/>
      <c r="H3012" s="89"/>
      <c r="I3012" s="89"/>
      <c r="J3012" s="89"/>
      <c r="K3012" s="89"/>
      <c r="L3012" s="89"/>
      <c r="M3012" s="89"/>
      <c r="N3012" s="89"/>
      <c r="O3012" s="89"/>
      <c r="P3012" s="28"/>
      <c r="Q3012" s="132">
        <f t="shared" si="543"/>
        <v>0</v>
      </c>
    </row>
    <row r="3013" spans="1:17" ht="14.25" thickBot="1">
      <c r="A3013" s="150"/>
      <c r="B3013" s="154"/>
      <c r="C3013" s="4" t="s">
        <v>61</v>
      </c>
      <c r="D3013" s="92"/>
      <c r="E3013" s="92"/>
      <c r="F3013" s="92"/>
      <c r="G3013" s="92"/>
      <c r="H3013" s="92"/>
      <c r="I3013" s="92"/>
      <c r="J3013" s="92"/>
      <c r="K3013" s="92"/>
      <c r="L3013" s="92"/>
      <c r="M3013" s="92"/>
      <c r="N3013" s="92"/>
      <c r="O3013" s="92"/>
      <c r="P3013" s="33"/>
      <c r="Q3013" s="133">
        <f t="shared" si="543"/>
        <v>0</v>
      </c>
    </row>
    <row r="3014" spans="1:17" ht="14.25" thickBot="1">
      <c r="A3014" s="150"/>
      <c r="B3014" s="156" t="s">
        <v>54</v>
      </c>
      <c r="C3014" s="157"/>
      <c r="D3014" s="56">
        <f>SUM(D3000:D3004)-SUM(D3008:D3009)</f>
        <v>0</v>
      </c>
      <c r="E3014" s="56">
        <f t="shared" ref="E3014:O3014" si="545">SUM(E3000:E3004)-SUM(E3008:E3009)</f>
        <v>0</v>
      </c>
      <c r="F3014" s="56">
        <f t="shared" si="545"/>
        <v>0</v>
      </c>
      <c r="G3014" s="56">
        <f t="shared" si="545"/>
        <v>0</v>
      </c>
      <c r="H3014" s="56">
        <f t="shared" si="545"/>
        <v>0</v>
      </c>
      <c r="I3014" s="56">
        <f t="shared" si="545"/>
        <v>0</v>
      </c>
      <c r="J3014" s="56">
        <f t="shared" si="545"/>
        <v>0</v>
      </c>
      <c r="K3014" s="56">
        <f t="shared" si="545"/>
        <v>0</v>
      </c>
      <c r="L3014" s="56">
        <f t="shared" si="545"/>
        <v>0</v>
      </c>
      <c r="M3014" s="56">
        <f t="shared" si="545"/>
        <v>0</v>
      </c>
      <c r="N3014" s="56">
        <f t="shared" si="545"/>
        <v>0</v>
      </c>
      <c r="O3014" s="56">
        <f t="shared" si="545"/>
        <v>0</v>
      </c>
      <c r="P3014" s="58">
        <f>SUM(P2998:P3004)-SUM(P3008:P3009)</f>
        <v>0</v>
      </c>
      <c r="Q3014" s="130">
        <f t="shared" si="543"/>
        <v>0</v>
      </c>
    </row>
    <row r="3015" spans="1:17" ht="14.25" thickBot="1">
      <c r="A3015" s="151"/>
      <c r="B3015" s="147" t="s">
        <v>5</v>
      </c>
      <c r="C3015" s="148"/>
      <c r="D3015" s="42">
        <f>SUM(D3000:D3004)-SUM(D3005:D3009)+SUM(D3010:D3013)</f>
        <v>0</v>
      </c>
      <c r="E3015" s="42">
        <f t="shared" ref="E3015:O3015" si="546">SUM(E3000:E3004)-SUM(E3005:E3009)+SUM(E3010:E3013)</f>
        <v>0</v>
      </c>
      <c r="F3015" s="42">
        <f t="shared" si="546"/>
        <v>0</v>
      </c>
      <c r="G3015" s="42">
        <f t="shared" si="546"/>
        <v>0</v>
      </c>
      <c r="H3015" s="42">
        <f t="shared" si="546"/>
        <v>0</v>
      </c>
      <c r="I3015" s="42">
        <f t="shared" si="546"/>
        <v>0</v>
      </c>
      <c r="J3015" s="42">
        <f t="shared" si="546"/>
        <v>0</v>
      </c>
      <c r="K3015" s="42">
        <f t="shared" si="546"/>
        <v>0</v>
      </c>
      <c r="L3015" s="42">
        <f t="shared" si="546"/>
        <v>0</v>
      </c>
      <c r="M3015" s="42">
        <f t="shared" si="546"/>
        <v>0</v>
      </c>
      <c r="N3015" s="42">
        <f t="shared" si="546"/>
        <v>0</v>
      </c>
      <c r="O3015" s="42">
        <f t="shared" si="546"/>
        <v>0</v>
      </c>
      <c r="P3015" s="44">
        <f>SUM(P2998:P3004)-SUM(P3005:P3009)+SUM(P3010:P3013)</f>
        <v>0</v>
      </c>
      <c r="Q3015" s="46">
        <f>SUM(D3015:P3015)</f>
        <v>0</v>
      </c>
    </row>
    <row r="3016" spans="1:17">
      <c r="A3016" s="149"/>
      <c r="B3016" s="152" t="s">
        <v>12</v>
      </c>
      <c r="C3016" s="114" t="s">
        <v>84</v>
      </c>
      <c r="D3016" s="87"/>
      <c r="E3016" s="87"/>
      <c r="F3016" s="87"/>
      <c r="G3016" s="87"/>
      <c r="H3016" s="87"/>
      <c r="I3016" s="87"/>
      <c r="J3016" s="87"/>
      <c r="K3016" s="87"/>
      <c r="L3016" s="87"/>
      <c r="M3016" s="87"/>
      <c r="N3016" s="87"/>
      <c r="O3016" s="87"/>
      <c r="P3016" s="30"/>
      <c r="Q3016" s="134">
        <f>SUM(D3016:P3016)</f>
        <v>0</v>
      </c>
    </row>
    <row r="3017" spans="1:17">
      <c r="A3017" s="150"/>
      <c r="B3017" s="153"/>
      <c r="C3017" s="115" t="s">
        <v>85</v>
      </c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28"/>
      <c r="Q3017" s="132">
        <f t="shared" ref="Q3017:Q3032" si="547">SUM(D3017:P3017)</f>
        <v>0</v>
      </c>
    </row>
    <row r="3018" spans="1:17">
      <c r="A3018" s="150"/>
      <c r="B3018" s="153"/>
      <c r="C3018" s="116" t="s">
        <v>86</v>
      </c>
      <c r="D3018" s="91">
        <f t="shared" ref="D3018:O3018" si="548">D3016*D3017</f>
        <v>0</v>
      </c>
      <c r="E3018" s="91">
        <f t="shared" si="548"/>
        <v>0</v>
      </c>
      <c r="F3018" s="91">
        <f t="shared" si="548"/>
        <v>0</v>
      </c>
      <c r="G3018" s="91">
        <f t="shared" si="548"/>
        <v>0</v>
      </c>
      <c r="H3018" s="91">
        <f t="shared" si="548"/>
        <v>0</v>
      </c>
      <c r="I3018" s="91">
        <f t="shared" si="548"/>
        <v>0</v>
      </c>
      <c r="J3018" s="91">
        <f t="shared" si="548"/>
        <v>0</v>
      </c>
      <c r="K3018" s="91">
        <f t="shared" si="548"/>
        <v>0</v>
      </c>
      <c r="L3018" s="91">
        <f t="shared" si="548"/>
        <v>0</v>
      </c>
      <c r="M3018" s="91">
        <f t="shared" si="548"/>
        <v>0</v>
      </c>
      <c r="N3018" s="91">
        <f t="shared" si="548"/>
        <v>0</v>
      </c>
      <c r="O3018" s="91">
        <f t="shared" si="548"/>
        <v>0</v>
      </c>
      <c r="P3018" s="32"/>
      <c r="Q3018" s="132">
        <f t="shared" si="547"/>
        <v>0</v>
      </c>
    </row>
    <row r="3019" spans="1:17">
      <c r="A3019" s="150"/>
      <c r="B3019" s="153"/>
      <c r="C3019" s="117" t="s">
        <v>9</v>
      </c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32"/>
      <c r="Q3019" s="132">
        <f t="shared" si="547"/>
        <v>0</v>
      </c>
    </row>
    <row r="3020" spans="1:17">
      <c r="A3020" s="150"/>
      <c r="B3020" s="153"/>
      <c r="C3020" s="117" t="s">
        <v>38</v>
      </c>
      <c r="D3020" s="89"/>
      <c r="E3020" s="89"/>
      <c r="F3020" s="89"/>
      <c r="G3020" s="89"/>
      <c r="H3020" s="89"/>
      <c r="I3020" s="89"/>
      <c r="J3020" s="89"/>
      <c r="K3020" s="89"/>
      <c r="L3020" s="89"/>
      <c r="M3020" s="89"/>
      <c r="N3020" s="89"/>
      <c r="O3020" s="89"/>
      <c r="P3020" s="28"/>
      <c r="Q3020" s="132">
        <f t="shared" si="547"/>
        <v>0</v>
      </c>
    </row>
    <row r="3021" spans="1:17">
      <c r="A3021" s="150"/>
      <c r="B3021" s="153"/>
      <c r="C3021" s="62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32"/>
      <c r="Q3021" s="132">
        <f t="shared" si="547"/>
        <v>0</v>
      </c>
    </row>
    <row r="3022" spans="1:17">
      <c r="A3022" s="150"/>
      <c r="B3022" s="154"/>
      <c r="C3022" s="6" t="s">
        <v>42</v>
      </c>
      <c r="D3022" s="92"/>
      <c r="E3022" s="92"/>
      <c r="F3022" s="92"/>
      <c r="G3022" s="92"/>
      <c r="H3022" s="92"/>
      <c r="I3022" s="92"/>
      <c r="J3022" s="92"/>
      <c r="K3022" s="92"/>
      <c r="L3022" s="92"/>
      <c r="M3022" s="92"/>
      <c r="N3022" s="92"/>
      <c r="O3022" s="92"/>
      <c r="P3022" s="33"/>
      <c r="Q3022" s="135">
        <f t="shared" si="547"/>
        <v>0</v>
      </c>
    </row>
    <row r="3023" spans="1:17">
      <c r="A3023" s="150"/>
      <c r="B3023" s="155" t="s">
        <v>11</v>
      </c>
      <c r="C3023" s="5" t="s">
        <v>7</v>
      </c>
      <c r="D3023" s="94"/>
      <c r="E3023" s="94"/>
      <c r="F3023" s="94"/>
      <c r="G3023" s="94"/>
      <c r="H3023" s="94"/>
      <c r="I3023" s="94"/>
      <c r="J3023" s="94"/>
      <c r="K3023" s="94"/>
      <c r="L3023" s="94"/>
      <c r="M3023" s="94"/>
      <c r="N3023" s="94"/>
      <c r="O3023" s="94"/>
      <c r="P3023" s="27"/>
      <c r="Q3023" s="136">
        <f t="shared" si="547"/>
        <v>0</v>
      </c>
    </row>
    <row r="3024" spans="1:17">
      <c r="A3024" s="150"/>
      <c r="B3024" s="153"/>
      <c r="C3024" s="6" t="s">
        <v>4</v>
      </c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32"/>
      <c r="Q3024" s="132">
        <f t="shared" si="547"/>
        <v>0</v>
      </c>
    </row>
    <row r="3025" spans="1:17">
      <c r="A3025" s="150"/>
      <c r="B3025" s="153"/>
      <c r="C3025" s="6" t="s">
        <v>17</v>
      </c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32"/>
      <c r="Q3025" s="132">
        <f t="shared" si="547"/>
        <v>0</v>
      </c>
    </row>
    <row r="3026" spans="1:17">
      <c r="A3026" s="150"/>
      <c r="B3026" s="153"/>
      <c r="C3026" s="6" t="s">
        <v>18</v>
      </c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32"/>
      <c r="Q3026" s="132">
        <f t="shared" si="547"/>
        <v>0</v>
      </c>
    </row>
    <row r="3027" spans="1:17">
      <c r="A3027" s="150"/>
      <c r="B3027" s="153"/>
      <c r="C3027" s="6" t="s">
        <v>60</v>
      </c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32"/>
      <c r="Q3027" s="135">
        <f t="shared" si="547"/>
        <v>0</v>
      </c>
    </row>
    <row r="3028" spans="1:17">
      <c r="A3028" s="150"/>
      <c r="B3028" s="155" t="s">
        <v>13</v>
      </c>
      <c r="C3028" s="5" t="s">
        <v>10</v>
      </c>
      <c r="D3028" s="94"/>
      <c r="E3028" s="94"/>
      <c r="F3028" s="94"/>
      <c r="G3028" s="94"/>
      <c r="H3028" s="94"/>
      <c r="I3028" s="94"/>
      <c r="J3028" s="94"/>
      <c r="K3028" s="94"/>
      <c r="L3028" s="94"/>
      <c r="M3028" s="94"/>
      <c r="N3028" s="94"/>
      <c r="O3028" s="94"/>
      <c r="P3028" s="27"/>
      <c r="Q3028" s="131">
        <f t="shared" si="547"/>
        <v>0</v>
      </c>
    </row>
    <row r="3029" spans="1:17">
      <c r="A3029" s="150"/>
      <c r="B3029" s="153"/>
      <c r="C3029" s="116" t="s">
        <v>55</v>
      </c>
      <c r="D3029" s="89"/>
      <c r="E3029" s="89"/>
      <c r="F3029" s="89"/>
      <c r="G3029" s="89"/>
      <c r="H3029" s="89"/>
      <c r="I3029" s="89"/>
      <c r="J3029" s="89"/>
      <c r="K3029" s="89"/>
      <c r="L3029" s="89"/>
      <c r="M3029" s="89"/>
      <c r="N3029" s="89"/>
      <c r="O3029" s="89"/>
      <c r="P3029" s="28"/>
      <c r="Q3029" s="132">
        <f t="shared" si="547"/>
        <v>0</v>
      </c>
    </row>
    <row r="3030" spans="1:17">
      <c r="A3030" s="150"/>
      <c r="B3030" s="153"/>
      <c r="C3030" s="8" t="s">
        <v>56</v>
      </c>
      <c r="D3030" s="89"/>
      <c r="E3030" s="89"/>
      <c r="F3030" s="89"/>
      <c r="G3030" s="89"/>
      <c r="H3030" s="89"/>
      <c r="I3030" s="89"/>
      <c r="J3030" s="89"/>
      <c r="K3030" s="89"/>
      <c r="L3030" s="89"/>
      <c r="M3030" s="89"/>
      <c r="N3030" s="89"/>
      <c r="O3030" s="89"/>
      <c r="P3030" s="28"/>
      <c r="Q3030" s="132">
        <f t="shared" si="547"/>
        <v>0</v>
      </c>
    </row>
    <row r="3031" spans="1:17" ht="14.25" thickBot="1">
      <c r="A3031" s="150"/>
      <c r="B3031" s="154"/>
      <c r="C3031" s="4" t="s">
        <v>61</v>
      </c>
      <c r="D3031" s="92"/>
      <c r="E3031" s="92"/>
      <c r="F3031" s="92"/>
      <c r="G3031" s="92"/>
      <c r="H3031" s="92"/>
      <c r="I3031" s="92"/>
      <c r="J3031" s="92"/>
      <c r="K3031" s="92"/>
      <c r="L3031" s="92"/>
      <c r="M3031" s="92"/>
      <c r="N3031" s="92"/>
      <c r="O3031" s="92"/>
      <c r="P3031" s="33"/>
      <c r="Q3031" s="133">
        <f t="shared" si="547"/>
        <v>0</v>
      </c>
    </row>
    <row r="3032" spans="1:17" ht="14.25" thickBot="1">
      <c r="A3032" s="150"/>
      <c r="B3032" s="156" t="s">
        <v>54</v>
      </c>
      <c r="C3032" s="157"/>
      <c r="D3032" s="56">
        <f>SUM(D3018:D3022)-SUM(D3026:D3027)</f>
        <v>0</v>
      </c>
      <c r="E3032" s="56">
        <f t="shared" ref="E3032:O3032" si="549">SUM(E3018:E3022)-SUM(E3026:E3027)</f>
        <v>0</v>
      </c>
      <c r="F3032" s="56">
        <f t="shared" si="549"/>
        <v>0</v>
      </c>
      <c r="G3032" s="56">
        <f t="shared" si="549"/>
        <v>0</v>
      </c>
      <c r="H3032" s="56">
        <f t="shared" si="549"/>
        <v>0</v>
      </c>
      <c r="I3032" s="56">
        <f t="shared" si="549"/>
        <v>0</v>
      </c>
      <c r="J3032" s="56">
        <f t="shared" si="549"/>
        <v>0</v>
      </c>
      <c r="K3032" s="56">
        <f t="shared" si="549"/>
        <v>0</v>
      </c>
      <c r="L3032" s="56">
        <f t="shared" si="549"/>
        <v>0</v>
      </c>
      <c r="M3032" s="56">
        <f t="shared" si="549"/>
        <v>0</v>
      </c>
      <c r="N3032" s="56">
        <f t="shared" si="549"/>
        <v>0</v>
      </c>
      <c r="O3032" s="56">
        <f t="shared" si="549"/>
        <v>0</v>
      </c>
      <c r="P3032" s="58">
        <f>SUM(P3016:P3022)-SUM(P3026:P3027)</f>
        <v>0</v>
      </c>
      <c r="Q3032" s="130">
        <f t="shared" si="547"/>
        <v>0</v>
      </c>
    </row>
    <row r="3033" spans="1:17" ht="14.25" thickBot="1">
      <c r="A3033" s="151"/>
      <c r="B3033" s="147" t="s">
        <v>5</v>
      </c>
      <c r="C3033" s="148"/>
      <c r="D3033" s="42">
        <f>SUM(D3018:D3022)-SUM(D3023:D3027)+SUM(D3028:D3031)</f>
        <v>0</v>
      </c>
      <c r="E3033" s="42">
        <f t="shared" ref="E3033:O3033" si="550">SUM(E3018:E3022)-SUM(E3023:E3027)+SUM(E3028:E3031)</f>
        <v>0</v>
      </c>
      <c r="F3033" s="42">
        <f t="shared" si="550"/>
        <v>0</v>
      </c>
      <c r="G3033" s="42">
        <f t="shared" si="550"/>
        <v>0</v>
      </c>
      <c r="H3033" s="42">
        <f t="shared" si="550"/>
        <v>0</v>
      </c>
      <c r="I3033" s="42">
        <f t="shared" si="550"/>
        <v>0</v>
      </c>
      <c r="J3033" s="42">
        <f t="shared" si="550"/>
        <v>0</v>
      </c>
      <c r="K3033" s="42">
        <f t="shared" si="550"/>
        <v>0</v>
      </c>
      <c r="L3033" s="42">
        <f t="shared" si="550"/>
        <v>0</v>
      </c>
      <c r="M3033" s="42">
        <f t="shared" si="550"/>
        <v>0</v>
      </c>
      <c r="N3033" s="42">
        <f t="shared" si="550"/>
        <v>0</v>
      </c>
      <c r="O3033" s="42">
        <f t="shared" si="550"/>
        <v>0</v>
      </c>
      <c r="P3033" s="44">
        <f>SUM(P3016:P3022)-SUM(P3023:P3027)+SUM(P3028:P3031)</f>
        <v>0</v>
      </c>
      <c r="Q3033" s="46">
        <f>SUM(D3033:P3033)</f>
        <v>0</v>
      </c>
    </row>
    <row r="3034" spans="1:17">
      <c r="A3034" s="149"/>
      <c r="B3034" s="152" t="s">
        <v>12</v>
      </c>
      <c r="C3034" s="114" t="s">
        <v>84</v>
      </c>
      <c r="D3034" s="87"/>
      <c r="E3034" s="87"/>
      <c r="F3034" s="87"/>
      <c r="G3034" s="87"/>
      <c r="H3034" s="87"/>
      <c r="I3034" s="87"/>
      <c r="J3034" s="87"/>
      <c r="K3034" s="87"/>
      <c r="L3034" s="87"/>
      <c r="M3034" s="87"/>
      <c r="N3034" s="87"/>
      <c r="O3034" s="87"/>
      <c r="P3034" s="30"/>
      <c r="Q3034" s="134">
        <f>SUM(D3034:P3034)</f>
        <v>0</v>
      </c>
    </row>
    <row r="3035" spans="1:17">
      <c r="A3035" s="150"/>
      <c r="B3035" s="153"/>
      <c r="C3035" s="115" t="s">
        <v>85</v>
      </c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28"/>
      <c r="Q3035" s="132">
        <f t="shared" ref="Q3035:Q3050" si="551">SUM(D3035:P3035)</f>
        <v>0</v>
      </c>
    </row>
    <row r="3036" spans="1:17">
      <c r="A3036" s="150"/>
      <c r="B3036" s="153"/>
      <c r="C3036" s="116" t="s">
        <v>86</v>
      </c>
      <c r="D3036" s="91">
        <f t="shared" ref="D3036:O3036" si="552">D3034*D3035</f>
        <v>0</v>
      </c>
      <c r="E3036" s="91">
        <f t="shared" si="552"/>
        <v>0</v>
      </c>
      <c r="F3036" s="91">
        <f t="shared" si="552"/>
        <v>0</v>
      </c>
      <c r="G3036" s="91">
        <f t="shared" si="552"/>
        <v>0</v>
      </c>
      <c r="H3036" s="91">
        <f t="shared" si="552"/>
        <v>0</v>
      </c>
      <c r="I3036" s="91">
        <f t="shared" si="552"/>
        <v>0</v>
      </c>
      <c r="J3036" s="91">
        <f t="shared" si="552"/>
        <v>0</v>
      </c>
      <c r="K3036" s="91">
        <f t="shared" si="552"/>
        <v>0</v>
      </c>
      <c r="L3036" s="91">
        <f t="shared" si="552"/>
        <v>0</v>
      </c>
      <c r="M3036" s="91">
        <f t="shared" si="552"/>
        <v>0</v>
      </c>
      <c r="N3036" s="91">
        <f t="shared" si="552"/>
        <v>0</v>
      </c>
      <c r="O3036" s="91">
        <f t="shared" si="552"/>
        <v>0</v>
      </c>
      <c r="P3036" s="32"/>
      <c r="Q3036" s="132">
        <f t="shared" si="551"/>
        <v>0</v>
      </c>
    </row>
    <row r="3037" spans="1:17">
      <c r="A3037" s="150"/>
      <c r="B3037" s="153"/>
      <c r="C3037" s="117" t="s">
        <v>9</v>
      </c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91"/>
      <c r="O3037" s="91"/>
      <c r="P3037" s="32"/>
      <c r="Q3037" s="132">
        <f t="shared" si="551"/>
        <v>0</v>
      </c>
    </row>
    <row r="3038" spans="1:17">
      <c r="A3038" s="150"/>
      <c r="B3038" s="153"/>
      <c r="C3038" s="117" t="s">
        <v>38</v>
      </c>
      <c r="D3038" s="89"/>
      <c r="E3038" s="89"/>
      <c r="F3038" s="89"/>
      <c r="G3038" s="89"/>
      <c r="H3038" s="89"/>
      <c r="I3038" s="89"/>
      <c r="J3038" s="89"/>
      <c r="K3038" s="89"/>
      <c r="L3038" s="89"/>
      <c r="M3038" s="89"/>
      <c r="N3038" s="89"/>
      <c r="O3038" s="89"/>
      <c r="P3038" s="28"/>
      <c r="Q3038" s="132">
        <f t="shared" si="551"/>
        <v>0</v>
      </c>
    </row>
    <row r="3039" spans="1:17">
      <c r="A3039" s="150"/>
      <c r="B3039" s="153"/>
      <c r="C3039" s="62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91"/>
      <c r="O3039" s="91"/>
      <c r="P3039" s="32"/>
      <c r="Q3039" s="132">
        <f t="shared" si="551"/>
        <v>0</v>
      </c>
    </row>
    <row r="3040" spans="1:17">
      <c r="A3040" s="150"/>
      <c r="B3040" s="154"/>
      <c r="C3040" s="6" t="s">
        <v>42</v>
      </c>
      <c r="D3040" s="92"/>
      <c r="E3040" s="92"/>
      <c r="F3040" s="92"/>
      <c r="G3040" s="92"/>
      <c r="H3040" s="92"/>
      <c r="I3040" s="92"/>
      <c r="J3040" s="92"/>
      <c r="K3040" s="92"/>
      <c r="L3040" s="92"/>
      <c r="M3040" s="92"/>
      <c r="N3040" s="92"/>
      <c r="O3040" s="92"/>
      <c r="P3040" s="33"/>
      <c r="Q3040" s="135">
        <f t="shared" si="551"/>
        <v>0</v>
      </c>
    </row>
    <row r="3041" spans="1:17">
      <c r="A3041" s="150"/>
      <c r="B3041" s="155" t="s">
        <v>11</v>
      </c>
      <c r="C3041" s="5" t="s">
        <v>7</v>
      </c>
      <c r="D3041" s="94"/>
      <c r="E3041" s="94"/>
      <c r="F3041" s="94"/>
      <c r="G3041" s="94"/>
      <c r="H3041" s="94"/>
      <c r="I3041" s="94"/>
      <c r="J3041" s="94"/>
      <c r="K3041" s="94"/>
      <c r="L3041" s="94"/>
      <c r="M3041" s="94"/>
      <c r="N3041" s="94"/>
      <c r="O3041" s="94"/>
      <c r="P3041" s="27"/>
      <c r="Q3041" s="136">
        <f t="shared" si="551"/>
        <v>0</v>
      </c>
    </row>
    <row r="3042" spans="1:17">
      <c r="A3042" s="150"/>
      <c r="B3042" s="153"/>
      <c r="C3042" s="6" t="s">
        <v>4</v>
      </c>
      <c r="D3042" s="91"/>
      <c r="E3042" s="91"/>
      <c r="F3042" s="91"/>
      <c r="G3042" s="91"/>
      <c r="H3042" s="91"/>
      <c r="I3042" s="91"/>
      <c r="J3042" s="91"/>
      <c r="K3042" s="91"/>
      <c r="L3042" s="91"/>
      <c r="M3042" s="91"/>
      <c r="N3042" s="91"/>
      <c r="O3042" s="91"/>
      <c r="P3042" s="32"/>
      <c r="Q3042" s="132">
        <f t="shared" si="551"/>
        <v>0</v>
      </c>
    </row>
    <row r="3043" spans="1:17">
      <c r="A3043" s="150"/>
      <c r="B3043" s="153"/>
      <c r="C3043" s="6" t="s">
        <v>17</v>
      </c>
      <c r="D3043" s="91"/>
      <c r="E3043" s="91"/>
      <c r="F3043" s="91"/>
      <c r="G3043" s="91"/>
      <c r="H3043" s="91"/>
      <c r="I3043" s="91"/>
      <c r="J3043" s="91"/>
      <c r="K3043" s="91"/>
      <c r="L3043" s="91"/>
      <c r="M3043" s="91"/>
      <c r="N3043" s="91"/>
      <c r="O3043" s="91"/>
      <c r="P3043" s="32"/>
      <c r="Q3043" s="132">
        <f t="shared" si="551"/>
        <v>0</v>
      </c>
    </row>
    <row r="3044" spans="1:17">
      <c r="A3044" s="150"/>
      <c r="B3044" s="153"/>
      <c r="C3044" s="6" t="s">
        <v>18</v>
      </c>
      <c r="D3044" s="91"/>
      <c r="E3044" s="91"/>
      <c r="F3044" s="91"/>
      <c r="G3044" s="91"/>
      <c r="H3044" s="91"/>
      <c r="I3044" s="91"/>
      <c r="J3044" s="91"/>
      <c r="K3044" s="91"/>
      <c r="L3044" s="91"/>
      <c r="M3044" s="91"/>
      <c r="N3044" s="91"/>
      <c r="O3044" s="91"/>
      <c r="P3044" s="32"/>
      <c r="Q3044" s="132">
        <f t="shared" si="551"/>
        <v>0</v>
      </c>
    </row>
    <row r="3045" spans="1:17">
      <c r="A3045" s="150"/>
      <c r="B3045" s="153"/>
      <c r="C3045" s="6" t="s">
        <v>60</v>
      </c>
      <c r="D3045" s="91"/>
      <c r="E3045" s="91"/>
      <c r="F3045" s="91"/>
      <c r="G3045" s="91"/>
      <c r="H3045" s="91"/>
      <c r="I3045" s="91"/>
      <c r="J3045" s="91"/>
      <c r="K3045" s="91"/>
      <c r="L3045" s="91"/>
      <c r="M3045" s="91"/>
      <c r="N3045" s="91"/>
      <c r="O3045" s="91"/>
      <c r="P3045" s="32"/>
      <c r="Q3045" s="135">
        <f t="shared" si="551"/>
        <v>0</v>
      </c>
    </row>
    <row r="3046" spans="1:17">
      <c r="A3046" s="150"/>
      <c r="B3046" s="155" t="s">
        <v>13</v>
      </c>
      <c r="C3046" s="5" t="s">
        <v>10</v>
      </c>
      <c r="D3046" s="94"/>
      <c r="E3046" s="94"/>
      <c r="F3046" s="94"/>
      <c r="G3046" s="94"/>
      <c r="H3046" s="94"/>
      <c r="I3046" s="94"/>
      <c r="J3046" s="94"/>
      <c r="K3046" s="94"/>
      <c r="L3046" s="94"/>
      <c r="M3046" s="94"/>
      <c r="N3046" s="94"/>
      <c r="O3046" s="94"/>
      <c r="P3046" s="27"/>
      <c r="Q3046" s="131">
        <f t="shared" si="551"/>
        <v>0</v>
      </c>
    </row>
    <row r="3047" spans="1:17">
      <c r="A3047" s="150"/>
      <c r="B3047" s="153"/>
      <c r="C3047" s="116" t="s">
        <v>55</v>
      </c>
      <c r="D3047" s="89"/>
      <c r="E3047" s="89"/>
      <c r="F3047" s="89"/>
      <c r="G3047" s="89"/>
      <c r="H3047" s="89"/>
      <c r="I3047" s="89"/>
      <c r="J3047" s="89"/>
      <c r="K3047" s="89"/>
      <c r="L3047" s="89"/>
      <c r="M3047" s="89"/>
      <c r="N3047" s="89"/>
      <c r="O3047" s="89"/>
      <c r="P3047" s="28"/>
      <c r="Q3047" s="132">
        <f t="shared" si="551"/>
        <v>0</v>
      </c>
    </row>
    <row r="3048" spans="1:17">
      <c r="A3048" s="150"/>
      <c r="B3048" s="153"/>
      <c r="C3048" s="8" t="s">
        <v>56</v>
      </c>
      <c r="D3048" s="89"/>
      <c r="E3048" s="89"/>
      <c r="F3048" s="89"/>
      <c r="G3048" s="89"/>
      <c r="H3048" s="89"/>
      <c r="I3048" s="89"/>
      <c r="J3048" s="89"/>
      <c r="K3048" s="89"/>
      <c r="L3048" s="89"/>
      <c r="M3048" s="89"/>
      <c r="N3048" s="89"/>
      <c r="O3048" s="89"/>
      <c r="P3048" s="28"/>
      <c r="Q3048" s="132">
        <f t="shared" si="551"/>
        <v>0</v>
      </c>
    </row>
    <row r="3049" spans="1:17" ht="14.25" thickBot="1">
      <c r="A3049" s="150"/>
      <c r="B3049" s="154"/>
      <c r="C3049" s="4" t="s">
        <v>61</v>
      </c>
      <c r="D3049" s="92"/>
      <c r="E3049" s="92"/>
      <c r="F3049" s="92"/>
      <c r="G3049" s="92"/>
      <c r="H3049" s="92"/>
      <c r="I3049" s="92"/>
      <c r="J3049" s="92"/>
      <c r="K3049" s="92"/>
      <c r="L3049" s="92"/>
      <c r="M3049" s="92"/>
      <c r="N3049" s="92"/>
      <c r="O3049" s="92"/>
      <c r="P3049" s="33"/>
      <c r="Q3049" s="133">
        <f t="shared" si="551"/>
        <v>0</v>
      </c>
    </row>
    <row r="3050" spans="1:17" ht="14.25" thickBot="1">
      <c r="A3050" s="150"/>
      <c r="B3050" s="156" t="s">
        <v>54</v>
      </c>
      <c r="C3050" s="157"/>
      <c r="D3050" s="56">
        <f>SUM(D3036:D3040)-SUM(D3044:D3045)</f>
        <v>0</v>
      </c>
      <c r="E3050" s="56">
        <f t="shared" ref="E3050:O3050" si="553">SUM(E3036:E3040)-SUM(E3044:E3045)</f>
        <v>0</v>
      </c>
      <c r="F3050" s="56">
        <f t="shared" si="553"/>
        <v>0</v>
      </c>
      <c r="G3050" s="56">
        <f t="shared" si="553"/>
        <v>0</v>
      </c>
      <c r="H3050" s="56">
        <f t="shared" si="553"/>
        <v>0</v>
      </c>
      <c r="I3050" s="56">
        <f t="shared" si="553"/>
        <v>0</v>
      </c>
      <c r="J3050" s="56">
        <f t="shared" si="553"/>
        <v>0</v>
      </c>
      <c r="K3050" s="56">
        <f t="shared" si="553"/>
        <v>0</v>
      </c>
      <c r="L3050" s="56">
        <f t="shared" si="553"/>
        <v>0</v>
      </c>
      <c r="M3050" s="56">
        <f t="shared" si="553"/>
        <v>0</v>
      </c>
      <c r="N3050" s="56">
        <f t="shared" si="553"/>
        <v>0</v>
      </c>
      <c r="O3050" s="56">
        <f t="shared" si="553"/>
        <v>0</v>
      </c>
      <c r="P3050" s="58">
        <f>SUM(P3034:P3040)-SUM(P3044:P3045)</f>
        <v>0</v>
      </c>
      <c r="Q3050" s="130">
        <f t="shared" si="551"/>
        <v>0</v>
      </c>
    </row>
    <row r="3051" spans="1:17" ht="14.25" thickBot="1">
      <c r="A3051" s="151"/>
      <c r="B3051" s="147" t="s">
        <v>5</v>
      </c>
      <c r="C3051" s="148"/>
      <c r="D3051" s="42">
        <f>SUM(D3036:D3040)-SUM(D3041:D3045)+SUM(D3046:D3049)</f>
        <v>0</v>
      </c>
      <c r="E3051" s="42">
        <f t="shared" ref="E3051:O3051" si="554">SUM(E3036:E3040)-SUM(E3041:E3045)+SUM(E3046:E3049)</f>
        <v>0</v>
      </c>
      <c r="F3051" s="42">
        <f t="shared" si="554"/>
        <v>0</v>
      </c>
      <c r="G3051" s="42">
        <f t="shared" si="554"/>
        <v>0</v>
      </c>
      <c r="H3051" s="42">
        <f t="shared" si="554"/>
        <v>0</v>
      </c>
      <c r="I3051" s="42">
        <f t="shared" si="554"/>
        <v>0</v>
      </c>
      <c r="J3051" s="42">
        <f t="shared" si="554"/>
        <v>0</v>
      </c>
      <c r="K3051" s="42">
        <f t="shared" si="554"/>
        <v>0</v>
      </c>
      <c r="L3051" s="42">
        <f t="shared" si="554"/>
        <v>0</v>
      </c>
      <c r="M3051" s="42">
        <f t="shared" si="554"/>
        <v>0</v>
      </c>
      <c r="N3051" s="42">
        <f t="shared" si="554"/>
        <v>0</v>
      </c>
      <c r="O3051" s="42">
        <f t="shared" si="554"/>
        <v>0</v>
      </c>
      <c r="P3051" s="44">
        <f>SUM(P3034:P3040)-SUM(P3041:P3045)+SUM(P3046:P3049)</f>
        <v>0</v>
      </c>
      <c r="Q3051" s="46">
        <f>SUM(D3051:P3051)</f>
        <v>0</v>
      </c>
    </row>
    <row r="3052" spans="1:17">
      <c r="A3052" s="149"/>
      <c r="B3052" s="152" t="s">
        <v>12</v>
      </c>
      <c r="C3052" s="114" t="s">
        <v>84</v>
      </c>
      <c r="D3052" s="87"/>
      <c r="E3052" s="87"/>
      <c r="F3052" s="87"/>
      <c r="G3052" s="87"/>
      <c r="H3052" s="87"/>
      <c r="I3052" s="87"/>
      <c r="J3052" s="87"/>
      <c r="K3052" s="87"/>
      <c r="L3052" s="87"/>
      <c r="M3052" s="87"/>
      <c r="N3052" s="87"/>
      <c r="O3052" s="87"/>
      <c r="P3052" s="30"/>
      <c r="Q3052" s="134">
        <f>SUM(D3052:P3052)</f>
        <v>0</v>
      </c>
    </row>
    <row r="3053" spans="1:17">
      <c r="A3053" s="150"/>
      <c r="B3053" s="153"/>
      <c r="C3053" s="115" t="s">
        <v>85</v>
      </c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28"/>
      <c r="Q3053" s="132">
        <f t="shared" ref="Q3053:Q3068" si="555">SUM(D3053:P3053)</f>
        <v>0</v>
      </c>
    </row>
    <row r="3054" spans="1:17">
      <c r="A3054" s="150"/>
      <c r="B3054" s="153"/>
      <c r="C3054" s="116" t="s">
        <v>86</v>
      </c>
      <c r="D3054" s="91">
        <f t="shared" ref="D3054:O3054" si="556">D3052*D3053</f>
        <v>0</v>
      </c>
      <c r="E3054" s="91">
        <f t="shared" si="556"/>
        <v>0</v>
      </c>
      <c r="F3054" s="91">
        <f t="shared" si="556"/>
        <v>0</v>
      </c>
      <c r="G3054" s="91">
        <f t="shared" si="556"/>
        <v>0</v>
      </c>
      <c r="H3054" s="91">
        <f t="shared" si="556"/>
        <v>0</v>
      </c>
      <c r="I3054" s="91">
        <f t="shared" si="556"/>
        <v>0</v>
      </c>
      <c r="J3054" s="91">
        <f t="shared" si="556"/>
        <v>0</v>
      </c>
      <c r="K3054" s="91">
        <f t="shared" si="556"/>
        <v>0</v>
      </c>
      <c r="L3054" s="91">
        <f t="shared" si="556"/>
        <v>0</v>
      </c>
      <c r="M3054" s="91">
        <f t="shared" si="556"/>
        <v>0</v>
      </c>
      <c r="N3054" s="91">
        <f t="shared" si="556"/>
        <v>0</v>
      </c>
      <c r="O3054" s="91">
        <f t="shared" si="556"/>
        <v>0</v>
      </c>
      <c r="P3054" s="32"/>
      <c r="Q3054" s="132">
        <f t="shared" si="555"/>
        <v>0</v>
      </c>
    </row>
    <row r="3055" spans="1:17">
      <c r="A3055" s="150"/>
      <c r="B3055" s="153"/>
      <c r="C3055" s="117" t="s">
        <v>9</v>
      </c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32"/>
      <c r="Q3055" s="132">
        <f t="shared" si="555"/>
        <v>0</v>
      </c>
    </row>
    <row r="3056" spans="1:17">
      <c r="A3056" s="150"/>
      <c r="B3056" s="153"/>
      <c r="C3056" s="117" t="s">
        <v>38</v>
      </c>
      <c r="D3056" s="89"/>
      <c r="E3056" s="89"/>
      <c r="F3056" s="89"/>
      <c r="G3056" s="89"/>
      <c r="H3056" s="89"/>
      <c r="I3056" s="89"/>
      <c r="J3056" s="89"/>
      <c r="K3056" s="89"/>
      <c r="L3056" s="89"/>
      <c r="M3056" s="89"/>
      <c r="N3056" s="89"/>
      <c r="O3056" s="89"/>
      <c r="P3056" s="28"/>
      <c r="Q3056" s="132">
        <f t="shared" si="555"/>
        <v>0</v>
      </c>
    </row>
    <row r="3057" spans="1:17">
      <c r="A3057" s="150"/>
      <c r="B3057" s="153"/>
      <c r="C3057" s="62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32"/>
      <c r="Q3057" s="132">
        <f t="shared" si="555"/>
        <v>0</v>
      </c>
    </row>
    <row r="3058" spans="1:17">
      <c r="A3058" s="150"/>
      <c r="B3058" s="154"/>
      <c r="C3058" s="6" t="s">
        <v>42</v>
      </c>
      <c r="D3058" s="92"/>
      <c r="E3058" s="92"/>
      <c r="F3058" s="92"/>
      <c r="G3058" s="92"/>
      <c r="H3058" s="92"/>
      <c r="I3058" s="92"/>
      <c r="J3058" s="92"/>
      <c r="K3058" s="92"/>
      <c r="L3058" s="92"/>
      <c r="M3058" s="92"/>
      <c r="N3058" s="92"/>
      <c r="O3058" s="92"/>
      <c r="P3058" s="33"/>
      <c r="Q3058" s="135">
        <f t="shared" si="555"/>
        <v>0</v>
      </c>
    </row>
    <row r="3059" spans="1:17">
      <c r="A3059" s="150"/>
      <c r="B3059" s="155" t="s">
        <v>11</v>
      </c>
      <c r="C3059" s="5" t="s">
        <v>7</v>
      </c>
      <c r="D3059" s="94"/>
      <c r="E3059" s="94"/>
      <c r="F3059" s="94"/>
      <c r="G3059" s="94"/>
      <c r="H3059" s="94"/>
      <c r="I3059" s="94"/>
      <c r="J3059" s="94"/>
      <c r="K3059" s="94"/>
      <c r="L3059" s="94"/>
      <c r="M3059" s="94"/>
      <c r="N3059" s="94"/>
      <c r="O3059" s="94"/>
      <c r="P3059" s="27"/>
      <c r="Q3059" s="136">
        <f t="shared" si="555"/>
        <v>0</v>
      </c>
    </row>
    <row r="3060" spans="1:17">
      <c r="A3060" s="150"/>
      <c r="B3060" s="153"/>
      <c r="C3060" s="6" t="s">
        <v>4</v>
      </c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32"/>
      <c r="Q3060" s="132">
        <f t="shared" si="555"/>
        <v>0</v>
      </c>
    </row>
    <row r="3061" spans="1:17">
      <c r="A3061" s="150"/>
      <c r="B3061" s="153"/>
      <c r="C3061" s="6" t="s">
        <v>17</v>
      </c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32"/>
      <c r="Q3061" s="132">
        <f t="shared" si="555"/>
        <v>0</v>
      </c>
    </row>
    <row r="3062" spans="1:17">
      <c r="A3062" s="150"/>
      <c r="B3062" s="153"/>
      <c r="C3062" s="6" t="s">
        <v>18</v>
      </c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32"/>
      <c r="Q3062" s="132">
        <f t="shared" si="555"/>
        <v>0</v>
      </c>
    </row>
    <row r="3063" spans="1:17">
      <c r="A3063" s="150"/>
      <c r="B3063" s="153"/>
      <c r="C3063" s="6" t="s">
        <v>60</v>
      </c>
      <c r="D3063" s="91"/>
      <c r="E3063" s="91"/>
      <c r="F3063" s="91"/>
      <c r="G3063" s="91"/>
      <c r="H3063" s="91"/>
      <c r="I3063" s="91"/>
      <c r="J3063" s="91"/>
      <c r="K3063" s="91"/>
      <c r="L3063" s="91"/>
      <c r="M3063" s="91"/>
      <c r="N3063" s="91"/>
      <c r="O3063" s="91"/>
      <c r="P3063" s="32"/>
      <c r="Q3063" s="135">
        <f t="shared" si="555"/>
        <v>0</v>
      </c>
    </row>
    <row r="3064" spans="1:17">
      <c r="A3064" s="150"/>
      <c r="B3064" s="155" t="s">
        <v>13</v>
      </c>
      <c r="C3064" s="5" t="s">
        <v>10</v>
      </c>
      <c r="D3064" s="94"/>
      <c r="E3064" s="94"/>
      <c r="F3064" s="94"/>
      <c r="G3064" s="94"/>
      <c r="H3064" s="94"/>
      <c r="I3064" s="94"/>
      <c r="J3064" s="94"/>
      <c r="K3064" s="94"/>
      <c r="L3064" s="94"/>
      <c r="M3064" s="94"/>
      <c r="N3064" s="94"/>
      <c r="O3064" s="94"/>
      <c r="P3064" s="27"/>
      <c r="Q3064" s="131">
        <f t="shared" si="555"/>
        <v>0</v>
      </c>
    </row>
    <row r="3065" spans="1:17">
      <c r="A3065" s="150"/>
      <c r="B3065" s="153"/>
      <c r="C3065" s="116" t="s">
        <v>55</v>
      </c>
      <c r="D3065" s="89"/>
      <c r="E3065" s="89"/>
      <c r="F3065" s="89"/>
      <c r="G3065" s="89"/>
      <c r="H3065" s="89"/>
      <c r="I3065" s="89"/>
      <c r="J3065" s="89"/>
      <c r="K3065" s="89"/>
      <c r="L3065" s="89"/>
      <c r="M3065" s="89"/>
      <c r="N3065" s="89"/>
      <c r="O3065" s="89"/>
      <c r="P3065" s="28"/>
      <c r="Q3065" s="132">
        <f t="shared" si="555"/>
        <v>0</v>
      </c>
    </row>
    <row r="3066" spans="1:17">
      <c r="A3066" s="150"/>
      <c r="B3066" s="153"/>
      <c r="C3066" s="8" t="s">
        <v>56</v>
      </c>
      <c r="D3066" s="89"/>
      <c r="E3066" s="89"/>
      <c r="F3066" s="89"/>
      <c r="G3066" s="89"/>
      <c r="H3066" s="89"/>
      <c r="I3066" s="89"/>
      <c r="J3066" s="89"/>
      <c r="K3066" s="89"/>
      <c r="L3066" s="89"/>
      <c r="M3066" s="89"/>
      <c r="N3066" s="89"/>
      <c r="O3066" s="89"/>
      <c r="P3066" s="28"/>
      <c r="Q3066" s="132">
        <f t="shared" si="555"/>
        <v>0</v>
      </c>
    </row>
    <row r="3067" spans="1:17" ht="14.25" thickBot="1">
      <c r="A3067" s="150"/>
      <c r="B3067" s="154"/>
      <c r="C3067" s="4" t="s">
        <v>61</v>
      </c>
      <c r="D3067" s="92"/>
      <c r="E3067" s="92"/>
      <c r="F3067" s="92"/>
      <c r="G3067" s="92"/>
      <c r="H3067" s="92"/>
      <c r="I3067" s="92"/>
      <c r="J3067" s="92"/>
      <c r="K3067" s="92"/>
      <c r="L3067" s="92"/>
      <c r="M3067" s="92"/>
      <c r="N3067" s="92"/>
      <c r="O3067" s="92"/>
      <c r="P3067" s="33"/>
      <c r="Q3067" s="133">
        <f t="shared" si="555"/>
        <v>0</v>
      </c>
    </row>
    <row r="3068" spans="1:17" ht="14.25" thickBot="1">
      <c r="A3068" s="150"/>
      <c r="B3068" s="156" t="s">
        <v>54</v>
      </c>
      <c r="C3068" s="157"/>
      <c r="D3068" s="56">
        <f>SUM(D3054:D3058)-SUM(D3062:D3063)</f>
        <v>0</v>
      </c>
      <c r="E3068" s="56">
        <f t="shared" ref="E3068:O3068" si="557">SUM(E3054:E3058)-SUM(E3062:E3063)</f>
        <v>0</v>
      </c>
      <c r="F3068" s="56">
        <f t="shared" si="557"/>
        <v>0</v>
      </c>
      <c r="G3068" s="56">
        <f t="shared" si="557"/>
        <v>0</v>
      </c>
      <c r="H3068" s="56">
        <f t="shared" si="557"/>
        <v>0</v>
      </c>
      <c r="I3068" s="56">
        <f t="shared" si="557"/>
        <v>0</v>
      </c>
      <c r="J3068" s="56">
        <f t="shared" si="557"/>
        <v>0</v>
      </c>
      <c r="K3068" s="56">
        <f t="shared" si="557"/>
        <v>0</v>
      </c>
      <c r="L3068" s="56">
        <f t="shared" si="557"/>
        <v>0</v>
      </c>
      <c r="M3068" s="56">
        <f t="shared" si="557"/>
        <v>0</v>
      </c>
      <c r="N3068" s="56">
        <f t="shared" si="557"/>
        <v>0</v>
      </c>
      <c r="O3068" s="56">
        <f t="shared" si="557"/>
        <v>0</v>
      </c>
      <c r="P3068" s="58">
        <f>SUM(P3052:P3058)-SUM(P3062:P3063)</f>
        <v>0</v>
      </c>
      <c r="Q3068" s="130">
        <f t="shared" si="555"/>
        <v>0</v>
      </c>
    </row>
    <row r="3069" spans="1:17" ht="14.25" thickBot="1">
      <c r="A3069" s="151"/>
      <c r="B3069" s="147" t="s">
        <v>5</v>
      </c>
      <c r="C3069" s="148"/>
      <c r="D3069" s="42">
        <f>SUM(D3054:D3058)-SUM(D3059:D3063)+SUM(D3064:D3067)</f>
        <v>0</v>
      </c>
      <c r="E3069" s="42">
        <f t="shared" ref="E3069:O3069" si="558">SUM(E3054:E3058)-SUM(E3059:E3063)+SUM(E3064:E3067)</f>
        <v>0</v>
      </c>
      <c r="F3069" s="42">
        <f t="shared" si="558"/>
        <v>0</v>
      </c>
      <c r="G3069" s="42">
        <f t="shared" si="558"/>
        <v>0</v>
      </c>
      <c r="H3069" s="42">
        <f t="shared" si="558"/>
        <v>0</v>
      </c>
      <c r="I3069" s="42">
        <f t="shared" si="558"/>
        <v>0</v>
      </c>
      <c r="J3069" s="42">
        <f t="shared" si="558"/>
        <v>0</v>
      </c>
      <c r="K3069" s="42">
        <f t="shared" si="558"/>
        <v>0</v>
      </c>
      <c r="L3069" s="42">
        <f t="shared" si="558"/>
        <v>0</v>
      </c>
      <c r="M3069" s="42">
        <f t="shared" si="558"/>
        <v>0</v>
      </c>
      <c r="N3069" s="42">
        <f t="shared" si="558"/>
        <v>0</v>
      </c>
      <c r="O3069" s="42">
        <f t="shared" si="558"/>
        <v>0</v>
      </c>
      <c r="P3069" s="44">
        <f>SUM(P3052:P3058)-SUM(P3059:P3063)+SUM(P3064:P3067)</f>
        <v>0</v>
      </c>
      <c r="Q3069" s="46">
        <f>SUM(D3069:P3069)</f>
        <v>0</v>
      </c>
    </row>
    <row r="3070" spans="1:17">
      <c r="A3070" s="149"/>
      <c r="B3070" s="152" t="s">
        <v>12</v>
      </c>
      <c r="C3070" s="114" t="s">
        <v>84</v>
      </c>
      <c r="D3070" s="87"/>
      <c r="E3070" s="87"/>
      <c r="F3070" s="87"/>
      <c r="G3070" s="87"/>
      <c r="H3070" s="87"/>
      <c r="I3070" s="87"/>
      <c r="J3070" s="87"/>
      <c r="K3070" s="87"/>
      <c r="L3070" s="87"/>
      <c r="M3070" s="87"/>
      <c r="N3070" s="87"/>
      <c r="O3070" s="87"/>
      <c r="P3070" s="30"/>
      <c r="Q3070" s="134">
        <f>SUM(D3070:P3070)</f>
        <v>0</v>
      </c>
    </row>
    <row r="3071" spans="1:17">
      <c r="A3071" s="150"/>
      <c r="B3071" s="153"/>
      <c r="C3071" s="115" t="s">
        <v>85</v>
      </c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28"/>
      <c r="Q3071" s="132">
        <f t="shared" ref="Q3071:Q3086" si="559">SUM(D3071:P3071)</f>
        <v>0</v>
      </c>
    </row>
    <row r="3072" spans="1:17">
      <c r="A3072" s="150"/>
      <c r="B3072" s="153"/>
      <c r="C3072" s="116" t="s">
        <v>86</v>
      </c>
      <c r="D3072" s="91">
        <f t="shared" ref="D3072:O3072" si="560">D3070*D3071</f>
        <v>0</v>
      </c>
      <c r="E3072" s="91">
        <f t="shared" si="560"/>
        <v>0</v>
      </c>
      <c r="F3072" s="91">
        <f t="shared" si="560"/>
        <v>0</v>
      </c>
      <c r="G3072" s="91">
        <f t="shared" si="560"/>
        <v>0</v>
      </c>
      <c r="H3072" s="91">
        <f t="shared" si="560"/>
        <v>0</v>
      </c>
      <c r="I3072" s="91">
        <f t="shared" si="560"/>
        <v>0</v>
      </c>
      <c r="J3072" s="91">
        <f t="shared" si="560"/>
        <v>0</v>
      </c>
      <c r="K3072" s="91">
        <f t="shared" si="560"/>
        <v>0</v>
      </c>
      <c r="L3072" s="91">
        <f t="shared" si="560"/>
        <v>0</v>
      </c>
      <c r="M3072" s="91">
        <f t="shared" si="560"/>
        <v>0</v>
      </c>
      <c r="N3072" s="91">
        <f t="shared" si="560"/>
        <v>0</v>
      </c>
      <c r="O3072" s="91">
        <f t="shared" si="560"/>
        <v>0</v>
      </c>
      <c r="P3072" s="32"/>
      <c r="Q3072" s="132">
        <f t="shared" si="559"/>
        <v>0</v>
      </c>
    </row>
    <row r="3073" spans="1:17">
      <c r="A3073" s="150"/>
      <c r="B3073" s="153"/>
      <c r="C3073" s="117" t="s">
        <v>9</v>
      </c>
      <c r="D3073" s="91"/>
      <c r="E3073" s="91"/>
      <c r="F3073" s="91"/>
      <c r="G3073" s="91"/>
      <c r="H3073" s="91"/>
      <c r="I3073" s="91"/>
      <c r="J3073" s="91"/>
      <c r="K3073" s="91"/>
      <c r="L3073" s="91"/>
      <c r="M3073" s="91"/>
      <c r="N3073" s="91"/>
      <c r="O3073" s="91"/>
      <c r="P3073" s="32"/>
      <c r="Q3073" s="132">
        <f t="shared" si="559"/>
        <v>0</v>
      </c>
    </row>
    <row r="3074" spans="1:17">
      <c r="A3074" s="150"/>
      <c r="B3074" s="153"/>
      <c r="C3074" s="117" t="s">
        <v>38</v>
      </c>
      <c r="D3074" s="89"/>
      <c r="E3074" s="89"/>
      <c r="F3074" s="89"/>
      <c r="G3074" s="89"/>
      <c r="H3074" s="89"/>
      <c r="I3074" s="89"/>
      <c r="J3074" s="89"/>
      <c r="K3074" s="89"/>
      <c r="L3074" s="89"/>
      <c r="M3074" s="89"/>
      <c r="N3074" s="89"/>
      <c r="O3074" s="89"/>
      <c r="P3074" s="28"/>
      <c r="Q3074" s="132">
        <f t="shared" si="559"/>
        <v>0</v>
      </c>
    </row>
    <row r="3075" spans="1:17">
      <c r="A3075" s="150"/>
      <c r="B3075" s="153"/>
      <c r="C3075" s="62"/>
      <c r="D3075" s="91"/>
      <c r="E3075" s="91"/>
      <c r="F3075" s="91"/>
      <c r="G3075" s="91"/>
      <c r="H3075" s="91"/>
      <c r="I3075" s="91"/>
      <c r="J3075" s="91"/>
      <c r="K3075" s="91"/>
      <c r="L3075" s="91"/>
      <c r="M3075" s="91"/>
      <c r="N3075" s="91"/>
      <c r="O3075" s="91"/>
      <c r="P3075" s="32"/>
      <c r="Q3075" s="132">
        <f t="shared" si="559"/>
        <v>0</v>
      </c>
    </row>
    <row r="3076" spans="1:17">
      <c r="A3076" s="150"/>
      <c r="B3076" s="154"/>
      <c r="C3076" s="6" t="s">
        <v>42</v>
      </c>
      <c r="D3076" s="92"/>
      <c r="E3076" s="92"/>
      <c r="F3076" s="92"/>
      <c r="G3076" s="92"/>
      <c r="H3076" s="92"/>
      <c r="I3076" s="92"/>
      <c r="J3076" s="92"/>
      <c r="K3076" s="92"/>
      <c r="L3076" s="92"/>
      <c r="M3076" s="92"/>
      <c r="N3076" s="92"/>
      <c r="O3076" s="92"/>
      <c r="P3076" s="33"/>
      <c r="Q3076" s="135">
        <f t="shared" si="559"/>
        <v>0</v>
      </c>
    </row>
    <row r="3077" spans="1:17">
      <c r="A3077" s="150"/>
      <c r="B3077" s="155" t="s">
        <v>11</v>
      </c>
      <c r="C3077" s="5" t="s">
        <v>7</v>
      </c>
      <c r="D3077" s="94"/>
      <c r="E3077" s="94"/>
      <c r="F3077" s="94"/>
      <c r="G3077" s="94"/>
      <c r="H3077" s="94"/>
      <c r="I3077" s="94"/>
      <c r="J3077" s="94"/>
      <c r="K3077" s="94"/>
      <c r="L3077" s="94"/>
      <c r="M3077" s="94"/>
      <c r="N3077" s="94"/>
      <c r="O3077" s="94"/>
      <c r="P3077" s="27"/>
      <c r="Q3077" s="136">
        <f t="shared" si="559"/>
        <v>0</v>
      </c>
    </row>
    <row r="3078" spans="1:17">
      <c r="A3078" s="150"/>
      <c r="B3078" s="153"/>
      <c r="C3078" s="6" t="s">
        <v>4</v>
      </c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32"/>
      <c r="Q3078" s="132">
        <f t="shared" si="559"/>
        <v>0</v>
      </c>
    </row>
    <row r="3079" spans="1:17">
      <c r="A3079" s="150"/>
      <c r="B3079" s="153"/>
      <c r="C3079" s="6" t="s">
        <v>17</v>
      </c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32"/>
      <c r="Q3079" s="132">
        <f t="shared" si="559"/>
        <v>0</v>
      </c>
    </row>
    <row r="3080" spans="1:17">
      <c r="A3080" s="150"/>
      <c r="B3080" s="153"/>
      <c r="C3080" s="6" t="s">
        <v>18</v>
      </c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32"/>
      <c r="Q3080" s="132">
        <f t="shared" si="559"/>
        <v>0</v>
      </c>
    </row>
    <row r="3081" spans="1:17">
      <c r="A3081" s="150"/>
      <c r="B3081" s="153"/>
      <c r="C3081" s="6" t="s">
        <v>60</v>
      </c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32"/>
      <c r="Q3081" s="135">
        <f t="shared" si="559"/>
        <v>0</v>
      </c>
    </row>
    <row r="3082" spans="1:17">
      <c r="A3082" s="150"/>
      <c r="B3082" s="155" t="s">
        <v>13</v>
      </c>
      <c r="C3082" s="5" t="s">
        <v>10</v>
      </c>
      <c r="D3082" s="94"/>
      <c r="E3082" s="94"/>
      <c r="F3082" s="94"/>
      <c r="G3082" s="94"/>
      <c r="H3082" s="94"/>
      <c r="I3082" s="94"/>
      <c r="J3082" s="94"/>
      <c r="K3082" s="94"/>
      <c r="L3082" s="94"/>
      <c r="M3082" s="94"/>
      <c r="N3082" s="94"/>
      <c r="O3082" s="94"/>
      <c r="P3082" s="27"/>
      <c r="Q3082" s="131">
        <f t="shared" si="559"/>
        <v>0</v>
      </c>
    </row>
    <row r="3083" spans="1:17">
      <c r="A3083" s="150"/>
      <c r="B3083" s="153"/>
      <c r="C3083" s="116" t="s">
        <v>55</v>
      </c>
      <c r="D3083" s="89"/>
      <c r="E3083" s="89"/>
      <c r="F3083" s="89"/>
      <c r="G3083" s="89"/>
      <c r="H3083" s="89"/>
      <c r="I3083" s="89"/>
      <c r="J3083" s="89"/>
      <c r="K3083" s="89"/>
      <c r="L3083" s="89"/>
      <c r="M3083" s="89"/>
      <c r="N3083" s="89"/>
      <c r="O3083" s="89"/>
      <c r="P3083" s="28"/>
      <c r="Q3083" s="132">
        <f t="shared" si="559"/>
        <v>0</v>
      </c>
    </row>
    <row r="3084" spans="1:17">
      <c r="A3084" s="150"/>
      <c r="B3084" s="153"/>
      <c r="C3084" s="8" t="s">
        <v>56</v>
      </c>
      <c r="D3084" s="89"/>
      <c r="E3084" s="89"/>
      <c r="F3084" s="89"/>
      <c r="G3084" s="89"/>
      <c r="H3084" s="89"/>
      <c r="I3084" s="89"/>
      <c r="J3084" s="89"/>
      <c r="K3084" s="89"/>
      <c r="L3084" s="89"/>
      <c r="M3084" s="89"/>
      <c r="N3084" s="89"/>
      <c r="O3084" s="89"/>
      <c r="P3084" s="28"/>
      <c r="Q3084" s="132">
        <f t="shared" si="559"/>
        <v>0</v>
      </c>
    </row>
    <row r="3085" spans="1:17" ht="14.25" thickBot="1">
      <c r="A3085" s="150"/>
      <c r="B3085" s="154"/>
      <c r="C3085" s="4" t="s">
        <v>61</v>
      </c>
      <c r="D3085" s="92"/>
      <c r="E3085" s="92"/>
      <c r="F3085" s="92"/>
      <c r="G3085" s="92"/>
      <c r="H3085" s="92"/>
      <c r="I3085" s="92"/>
      <c r="J3085" s="92"/>
      <c r="K3085" s="92"/>
      <c r="L3085" s="92"/>
      <c r="M3085" s="92"/>
      <c r="N3085" s="92"/>
      <c r="O3085" s="92"/>
      <c r="P3085" s="33"/>
      <c r="Q3085" s="133">
        <f t="shared" si="559"/>
        <v>0</v>
      </c>
    </row>
    <row r="3086" spans="1:17" ht="14.25" thickBot="1">
      <c r="A3086" s="150"/>
      <c r="B3086" s="156" t="s">
        <v>54</v>
      </c>
      <c r="C3086" s="157"/>
      <c r="D3086" s="56">
        <f>SUM(D3072:D3076)-SUM(D3080:D3081)</f>
        <v>0</v>
      </c>
      <c r="E3086" s="56">
        <f t="shared" ref="E3086:O3086" si="561">SUM(E3072:E3076)-SUM(E3080:E3081)</f>
        <v>0</v>
      </c>
      <c r="F3086" s="56">
        <f t="shared" si="561"/>
        <v>0</v>
      </c>
      <c r="G3086" s="56">
        <f t="shared" si="561"/>
        <v>0</v>
      </c>
      <c r="H3086" s="56">
        <f t="shared" si="561"/>
        <v>0</v>
      </c>
      <c r="I3086" s="56">
        <f t="shared" si="561"/>
        <v>0</v>
      </c>
      <c r="J3086" s="56">
        <f t="shared" si="561"/>
        <v>0</v>
      </c>
      <c r="K3086" s="56">
        <f t="shared" si="561"/>
        <v>0</v>
      </c>
      <c r="L3086" s="56">
        <f t="shared" si="561"/>
        <v>0</v>
      </c>
      <c r="M3086" s="56">
        <f t="shared" si="561"/>
        <v>0</v>
      </c>
      <c r="N3086" s="56">
        <f t="shared" si="561"/>
        <v>0</v>
      </c>
      <c r="O3086" s="56">
        <f t="shared" si="561"/>
        <v>0</v>
      </c>
      <c r="P3086" s="58">
        <f>SUM(P3070:P3076)-SUM(P3080:P3081)</f>
        <v>0</v>
      </c>
      <c r="Q3086" s="130">
        <f t="shared" si="559"/>
        <v>0</v>
      </c>
    </row>
    <row r="3087" spans="1:17" ht="14.25" thickBot="1">
      <c r="A3087" s="151"/>
      <c r="B3087" s="147" t="s">
        <v>5</v>
      </c>
      <c r="C3087" s="148"/>
      <c r="D3087" s="42">
        <f>SUM(D3072:D3076)-SUM(D3077:D3081)+SUM(D3082:D3085)</f>
        <v>0</v>
      </c>
      <c r="E3087" s="42">
        <f t="shared" ref="E3087:O3087" si="562">SUM(E3072:E3076)-SUM(E3077:E3081)+SUM(E3082:E3085)</f>
        <v>0</v>
      </c>
      <c r="F3087" s="42">
        <f t="shared" si="562"/>
        <v>0</v>
      </c>
      <c r="G3087" s="42">
        <f t="shared" si="562"/>
        <v>0</v>
      </c>
      <c r="H3087" s="42">
        <f t="shared" si="562"/>
        <v>0</v>
      </c>
      <c r="I3087" s="42">
        <f t="shared" si="562"/>
        <v>0</v>
      </c>
      <c r="J3087" s="42">
        <f t="shared" si="562"/>
        <v>0</v>
      </c>
      <c r="K3087" s="42">
        <f t="shared" si="562"/>
        <v>0</v>
      </c>
      <c r="L3087" s="42">
        <f t="shared" si="562"/>
        <v>0</v>
      </c>
      <c r="M3087" s="42">
        <f t="shared" si="562"/>
        <v>0</v>
      </c>
      <c r="N3087" s="42">
        <f t="shared" si="562"/>
        <v>0</v>
      </c>
      <c r="O3087" s="42">
        <f t="shared" si="562"/>
        <v>0</v>
      </c>
      <c r="P3087" s="44">
        <f>SUM(P3070:P3076)-SUM(P3077:P3081)+SUM(P3082:P3085)</f>
        <v>0</v>
      </c>
      <c r="Q3087" s="46">
        <f>SUM(D3087:P3087)</f>
        <v>0</v>
      </c>
    </row>
    <row r="3088" spans="1:17">
      <c r="A3088" s="149"/>
      <c r="B3088" s="152" t="s">
        <v>12</v>
      </c>
      <c r="C3088" s="114" t="s">
        <v>84</v>
      </c>
      <c r="D3088" s="87"/>
      <c r="E3088" s="87"/>
      <c r="F3088" s="87"/>
      <c r="G3088" s="87"/>
      <c r="H3088" s="87"/>
      <c r="I3088" s="87"/>
      <c r="J3088" s="87"/>
      <c r="K3088" s="87"/>
      <c r="L3088" s="87"/>
      <c r="M3088" s="87"/>
      <c r="N3088" s="87"/>
      <c r="O3088" s="87"/>
      <c r="P3088" s="30"/>
      <c r="Q3088" s="134">
        <f>SUM(D3088:P3088)</f>
        <v>0</v>
      </c>
    </row>
    <row r="3089" spans="1:17">
      <c r="A3089" s="150"/>
      <c r="B3089" s="153"/>
      <c r="C3089" s="115" t="s">
        <v>85</v>
      </c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28"/>
      <c r="Q3089" s="132">
        <f t="shared" ref="Q3089:Q3104" si="563">SUM(D3089:P3089)</f>
        <v>0</v>
      </c>
    </row>
    <row r="3090" spans="1:17">
      <c r="A3090" s="150"/>
      <c r="B3090" s="153"/>
      <c r="C3090" s="116" t="s">
        <v>86</v>
      </c>
      <c r="D3090" s="91">
        <f t="shared" ref="D3090:O3090" si="564">D3088*D3089</f>
        <v>0</v>
      </c>
      <c r="E3090" s="91">
        <f t="shared" si="564"/>
        <v>0</v>
      </c>
      <c r="F3090" s="91">
        <f t="shared" si="564"/>
        <v>0</v>
      </c>
      <c r="G3090" s="91">
        <f t="shared" si="564"/>
        <v>0</v>
      </c>
      <c r="H3090" s="91">
        <f t="shared" si="564"/>
        <v>0</v>
      </c>
      <c r="I3090" s="91">
        <f t="shared" si="564"/>
        <v>0</v>
      </c>
      <c r="J3090" s="91">
        <f t="shared" si="564"/>
        <v>0</v>
      </c>
      <c r="K3090" s="91">
        <f t="shared" si="564"/>
        <v>0</v>
      </c>
      <c r="L3090" s="91">
        <f t="shared" si="564"/>
        <v>0</v>
      </c>
      <c r="M3090" s="91">
        <f t="shared" si="564"/>
        <v>0</v>
      </c>
      <c r="N3090" s="91">
        <f t="shared" si="564"/>
        <v>0</v>
      </c>
      <c r="O3090" s="91">
        <f t="shared" si="564"/>
        <v>0</v>
      </c>
      <c r="P3090" s="32"/>
      <c r="Q3090" s="132">
        <f t="shared" si="563"/>
        <v>0</v>
      </c>
    </row>
    <row r="3091" spans="1:17">
      <c r="A3091" s="150"/>
      <c r="B3091" s="153"/>
      <c r="C3091" s="117" t="s">
        <v>9</v>
      </c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32"/>
      <c r="Q3091" s="132">
        <f t="shared" si="563"/>
        <v>0</v>
      </c>
    </row>
    <row r="3092" spans="1:17">
      <c r="A3092" s="150"/>
      <c r="B3092" s="153"/>
      <c r="C3092" s="117" t="s">
        <v>38</v>
      </c>
      <c r="D3092" s="89"/>
      <c r="E3092" s="89"/>
      <c r="F3092" s="89"/>
      <c r="G3092" s="89"/>
      <c r="H3092" s="89"/>
      <c r="I3092" s="89"/>
      <c r="J3092" s="89"/>
      <c r="K3092" s="89"/>
      <c r="L3092" s="89"/>
      <c r="M3092" s="89"/>
      <c r="N3092" s="89"/>
      <c r="O3092" s="89"/>
      <c r="P3092" s="28"/>
      <c r="Q3092" s="132">
        <f t="shared" si="563"/>
        <v>0</v>
      </c>
    </row>
    <row r="3093" spans="1:17">
      <c r="A3093" s="150"/>
      <c r="B3093" s="153"/>
      <c r="C3093" s="62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91"/>
      <c r="O3093" s="91"/>
      <c r="P3093" s="32"/>
      <c r="Q3093" s="132">
        <f t="shared" si="563"/>
        <v>0</v>
      </c>
    </row>
    <row r="3094" spans="1:17">
      <c r="A3094" s="150"/>
      <c r="B3094" s="154"/>
      <c r="C3094" s="6" t="s">
        <v>42</v>
      </c>
      <c r="D3094" s="92"/>
      <c r="E3094" s="92"/>
      <c r="F3094" s="92"/>
      <c r="G3094" s="92"/>
      <c r="H3094" s="92"/>
      <c r="I3094" s="92"/>
      <c r="J3094" s="92"/>
      <c r="K3094" s="92"/>
      <c r="L3094" s="92"/>
      <c r="M3094" s="92"/>
      <c r="N3094" s="92"/>
      <c r="O3094" s="92"/>
      <c r="P3094" s="33"/>
      <c r="Q3094" s="135">
        <f t="shared" si="563"/>
        <v>0</v>
      </c>
    </row>
    <row r="3095" spans="1:17">
      <c r="A3095" s="150"/>
      <c r="B3095" s="155" t="s">
        <v>11</v>
      </c>
      <c r="C3095" s="5" t="s">
        <v>7</v>
      </c>
      <c r="D3095" s="94"/>
      <c r="E3095" s="94"/>
      <c r="F3095" s="94"/>
      <c r="G3095" s="94"/>
      <c r="H3095" s="94"/>
      <c r="I3095" s="94"/>
      <c r="J3095" s="94"/>
      <c r="K3095" s="94"/>
      <c r="L3095" s="94"/>
      <c r="M3095" s="94"/>
      <c r="N3095" s="94"/>
      <c r="O3095" s="94"/>
      <c r="P3095" s="27"/>
      <c r="Q3095" s="136">
        <f t="shared" si="563"/>
        <v>0</v>
      </c>
    </row>
    <row r="3096" spans="1:17">
      <c r="A3096" s="150"/>
      <c r="B3096" s="153"/>
      <c r="C3096" s="6" t="s">
        <v>4</v>
      </c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91"/>
      <c r="O3096" s="91"/>
      <c r="P3096" s="32"/>
      <c r="Q3096" s="132">
        <f t="shared" si="563"/>
        <v>0</v>
      </c>
    </row>
    <row r="3097" spans="1:17">
      <c r="A3097" s="150"/>
      <c r="B3097" s="153"/>
      <c r="C3097" s="6" t="s">
        <v>17</v>
      </c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91"/>
      <c r="O3097" s="91"/>
      <c r="P3097" s="32"/>
      <c r="Q3097" s="132">
        <f t="shared" si="563"/>
        <v>0</v>
      </c>
    </row>
    <row r="3098" spans="1:17">
      <c r="A3098" s="150"/>
      <c r="B3098" s="153"/>
      <c r="C3098" s="6" t="s">
        <v>18</v>
      </c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91"/>
      <c r="O3098" s="91"/>
      <c r="P3098" s="32"/>
      <c r="Q3098" s="132">
        <f t="shared" si="563"/>
        <v>0</v>
      </c>
    </row>
    <row r="3099" spans="1:17">
      <c r="A3099" s="150"/>
      <c r="B3099" s="153"/>
      <c r="C3099" s="6" t="s">
        <v>60</v>
      </c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91"/>
      <c r="O3099" s="91"/>
      <c r="P3099" s="32"/>
      <c r="Q3099" s="135">
        <f t="shared" si="563"/>
        <v>0</v>
      </c>
    </row>
    <row r="3100" spans="1:17">
      <c r="A3100" s="150"/>
      <c r="B3100" s="155" t="s">
        <v>13</v>
      </c>
      <c r="C3100" s="5" t="s">
        <v>10</v>
      </c>
      <c r="D3100" s="94"/>
      <c r="E3100" s="94"/>
      <c r="F3100" s="94"/>
      <c r="G3100" s="94"/>
      <c r="H3100" s="94"/>
      <c r="I3100" s="94"/>
      <c r="J3100" s="94"/>
      <c r="K3100" s="94"/>
      <c r="L3100" s="94"/>
      <c r="M3100" s="94"/>
      <c r="N3100" s="94"/>
      <c r="O3100" s="94"/>
      <c r="P3100" s="27"/>
      <c r="Q3100" s="131">
        <f t="shared" si="563"/>
        <v>0</v>
      </c>
    </row>
    <row r="3101" spans="1:17">
      <c r="A3101" s="150"/>
      <c r="B3101" s="153"/>
      <c r="C3101" s="116" t="s">
        <v>55</v>
      </c>
      <c r="D3101" s="89"/>
      <c r="E3101" s="89"/>
      <c r="F3101" s="89"/>
      <c r="G3101" s="89"/>
      <c r="H3101" s="89"/>
      <c r="I3101" s="89"/>
      <c r="J3101" s="89"/>
      <c r="K3101" s="89"/>
      <c r="L3101" s="89"/>
      <c r="M3101" s="89"/>
      <c r="N3101" s="89"/>
      <c r="O3101" s="89"/>
      <c r="P3101" s="28"/>
      <c r="Q3101" s="132">
        <f t="shared" si="563"/>
        <v>0</v>
      </c>
    </row>
    <row r="3102" spans="1:17">
      <c r="A3102" s="150"/>
      <c r="B3102" s="153"/>
      <c r="C3102" s="8" t="s">
        <v>56</v>
      </c>
      <c r="D3102" s="89"/>
      <c r="E3102" s="89"/>
      <c r="F3102" s="89"/>
      <c r="G3102" s="89"/>
      <c r="H3102" s="89"/>
      <c r="I3102" s="89"/>
      <c r="J3102" s="89"/>
      <c r="K3102" s="89"/>
      <c r="L3102" s="89"/>
      <c r="M3102" s="89"/>
      <c r="N3102" s="89"/>
      <c r="O3102" s="89"/>
      <c r="P3102" s="28"/>
      <c r="Q3102" s="132">
        <f t="shared" si="563"/>
        <v>0</v>
      </c>
    </row>
    <row r="3103" spans="1:17" ht="14.25" thickBot="1">
      <c r="A3103" s="150"/>
      <c r="B3103" s="154"/>
      <c r="C3103" s="4" t="s">
        <v>61</v>
      </c>
      <c r="D3103" s="92"/>
      <c r="E3103" s="92"/>
      <c r="F3103" s="92"/>
      <c r="G3103" s="92"/>
      <c r="H3103" s="92"/>
      <c r="I3103" s="92"/>
      <c r="J3103" s="92"/>
      <c r="K3103" s="92"/>
      <c r="L3103" s="92"/>
      <c r="M3103" s="92"/>
      <c r="N3103" s="92"/>
      <c r="O3103" s="92"/>
      <c r="P3103" s="33"/>
      <c r="Q3103" s="133">
        <f t="shared" si="563"/>
        <v>0</v>
      </c>
    </row>
    <row r="3104" spans="1:17" ht="14.25" thickBot="1">
      <c r="A3104" s="150"/>
      <c r="B3104" s="156" t="s">
        <v>54</v>
      </c>
      <c r="C3104" s="157"/>
      <c r="D3104" s="56">
        <f>SUM(D3090:D3094)-SUM(D3098:D3099)</f>
        <v>0</v>
      </c>
      <c r="E3104" s="56">
        <f t="shared" ref="E3104:O3104" si="565">SUM(E3090:E3094)-SUM(E3098:E3099)</f>
        <v>0</v>
      </c>
      <c r="F3104" s="56">
        <f t="shared" si="565"/>
        <v>0</v>
      </c>
      <c r="G3104" s="56">
        <f t="shared" si="565"/>
        <v>0</v>
      </c>
      <c r="H3104" s="56">
        <f t="shared" si="565"/>
        <v>0</v>
      </c>
      <c r="I3104" s="56">
        <f t="shared" si="565"/>
        <v>0</v>
      </c>
      <c r="J3104" s="56">
        <f t="shared" si="565"/>
        <v>0</v>
      </c>
      <c r="K3104" s="56">
        <f t="shared" si="565"/>
        <v>0</v>
      </c>
      <c r="L3104" s="56">
        <f t="shared" si="565"/>
        <v>0</v>
      </c>
      <c r="M3104" s="56">
        <f t="shared" si="565"/>
        <v>0</v>
      </c>
      <c r="N3104" s="56">
        <f t="shared" si="565"/>
        <v>0</v>
      </c>
      <c r="O3104" s="56">
        <f t="shared" si="565"/>
        <v>0</v>
      </c>
      <c r="P3104" s="58">
        <f>SUM(P3088:P3094)-SUM(P3098:P3099)</f>
        <v>0</v>
      </c>
      <c r="Q3104" s="130">
        <f t="shared" si="563"/>
        <v>0</v>
      </c>
    </row>
    <row r="3105" spans="1:17" ht="14.25" thickBot="1">
      <c r="A3105" s="151"/>
      <c r="B3105" s="147" t="s">
        <v>5</v>
      </c>
      <c r="C3105" s="148"/>
      <c r="D3105" s="42">
        <f>SUM(D3090:D3094)-SUM(D3095:D3099)+SUM(D3100:D3103)</f>
        <v>0</v>
      </c>
      <c r="E3105" s="42">
        <f t="shared" ref="E3105:O3105" si="566">SUM(E3090:E3094)-SUM(E3095:E3099)+SUM(E3100:E3103)</f>
        <v>0</v>
      </c>
      <c r="F3105" s="42">
        <f t="shared" si="566"/>
        <v>0</v>
      </c>
      <c r="G3105" s="42">
        <f t="shared" si="566"/>
        <v>0</v>
      </c>
      <c r="H3105" s="42">
        <f t="shared" si="566"/>
        <v>0</v>
      </c>
      <c r="I3105" s="42">
        <f t="shared" si="566"/>
        <v>0</v>
      </c>
      <c r="J3105" s="42">
        <f t="shared" si="566"/>
        <v>0</v>
      </c>
      <c r="K3105" s="42">
        <f t="shared" si="566"/>
        <v>0</v>
      </c>
      <c r="L3105" s="42">
        <f t="shared" si="566"/>
        <v>0</v>
      </c>
      <c r="M3105" s="42">
        <f t="shared" si="566"/>
        <v>0</v>
      </c>
      <c r="N3105" s="42">
        <f t="shared" si="566"/>
        <v>0</v>
      </c>
      <c r="O3105" s="42">
        <f t="shared" si="566"/>
        <v>0</v>
      </c>
      <c r="P3105" s="44">
        <f>SUM(P3088:P3094)-SUM(P3095:P3099)+SUM(P3100:P3103)</f>
        <v>0</v>
      </c>
      <c r="Q3105" s="46">
        <f>SUM(D3105:P3105)</f>
        <v>0</v>
      </c>
    </row>
    <row r="3106" spans="1:17">
      <c r="A3106" s="149"/>
      <c r="B3106" s="152" t="s">
        <v>12</v>
      </c>
      <c r="C3106" s="114" t="s">
        <v>84</v>
      </c>
      <c r="D3106" s="87"/>
      <c r="E3106" s="87"/>
      <c r="F3106" s="87"/>
      <c r="G3106" s="87"/>
      <c r="H3106" s="87"/>
      <c r="I3106" s="87"/>
      <c r="J3106" s="87"/>
      <c r="K3106" s="87"/>
      <c r="L3106" s="87"/>
      <c r="M3106" s="87"/>
      <c r="N3106" s="87"/>
      <c r="O3106" s="87"/>
      <c r="P3106" s="30"/>
      <c r="Q3106" s="134">
        <f>SUM(D3106:P3106)</f>
        <v>0</v>
      </c>
    </row>
    <row r="3107" spans="1:17">
      <c r="A3107" s="150"/>
      <c r="B3107" s="153"/>
      <c r="C3107" s="115" t="s">
        <v>85</v>
      </c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28"/>
      <c r="Q3107" s="132">
        <f t="shared" ref="Q3107:Q3122" si="567">SUM(D3107:P3107)</f>
        <v>0</v>
      </c>
    </row>
    <row r="3108" spans="1:17">
      <c r="A3108" s="150"/>
      <c r="B3108" s="153"/>
      <c r="C3108" s="116" t="s">
        <v>86</v>
      </c>
      <c r="D3108" s="91">
        <f t="shared" ref="D3108:O3108" si="568">D3106*D3107</f>
        <v>0</v>
      </c>
      <c r="E3108" s="91">
        <f t="shared" si="568"/>
        <v>0</v>
      </c>
      <c r="F3108" s="91">
        <f t="shared" si="568"/>
        <v>0</v>
      </c>
      <c r="G3108" s="91">
        <f t="shared" si="568"/>
        <v>0</v>
      </c>
      <c r="H3108" s="91">
        <f t="shared" si="568"/>
        <v>0</v>
      </c>
      <c r="I3108" s="91">
        <f t="shared" si="568"/>
        <v>0</v>
      </c>
      <c r="J3108" s="91">
        <f t="shared" si="568"/>
        <v>0</v>
      </c>
      <c r="K3108" s="91">
        <f t="shared" si="568"/>
        <v>0</v>
      </c>
      <c r="L3108" s="91">
        <f t="shared" si="568"/>
        <v>0</v>
      </c>
      <c r="M3108" s="91">
        <f t="shared" si="568"/>
        <v>0</v>
      </c>
      <c r="N3108" s="91">
        <f t="shared" si="568"/>
        <v>0</v>
      </c>
      <c r="O3108" s="91">
        <f t="shared" si="568"/>
        <v>0</v>
      </c>
      <c r="P3108" s="32"/>
      <c r="Q3108" s="132">
        <f t="shared" si="567"/>
        <v>0</v>
      </c>
    </row>
    <row r="3109" spans="1:17">
      <c r="A3109" s="150"/>
      <c r="B3109" s="153"/>
      <c r="C3109" s="117" t="s">
        <v>9</v>
      </c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32"/>
      <c r="Q3109" s="132">
        <f t="shared" si="567"/>
        <v>0</v>
      </c>
    </row>
    <row r="3110" spans="1:17">
      <c r="A3110" s="150"/>
      <c r="B3110" s="153"/>
      <c r="C3110" s="117" t="s">
        <v>38</v>
      </c>
      <c r="D3110" s="89"/>
      <c r="E3110" s="89"/>
      <c r="F3110" s="89"/>
      <c r="G3110" s="89"/>
      <c r="H3110" s="89"/>
      <c r="I3110" s="89"/>
      <c r="J3110" s="89"/>
      <c r="K3110" s="89"/>
      <c r="L3110" s="89"/>
      <c r="M3110" s="89"/>
      <c r="N3110" s="89"/>
      <c r="O3110" s="89"/>
      <c r="P3110" s="28"/>
      <c r="Q3110" s="132">
        <f t="shared" si="567"/>
        <v>0</v>
      </c>
    </row>
    <row r="3111" spans="1:17">
      <c r="A3111" s="150"/>
      <c r="B3111" s="153"/>
      <c r="C3111" s="62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32"/>
      <c r="Q3111" s="132">
        <f t="shared" si="567"/>
        <v>0</v>
      </c>
    </row>
    <row r="3112" spans="1:17">
      <c r="A3112" s="150"/>
      <c r="B3112" s="154"/>
      <c r="C3112" s="6" t="s">
        <v>42</v>
      </c>
      <c r="D3112" s="92"/>
      <c r="E3112" s="92"/>
      <c r="F3112" s="92"/>
      <c r="G3112" s="92"/>
      <c r="H3112" s="92"/>
      <c r="I3112" s="92"/>
      <c r="J3112" s="92"/>
      <c r="K3112" s="92"/>
      <c r="L3112" s="92"/>
      <c r="M3112" s="92"/>
      <c r="N3112" s="92"/>
      <c r="O3112" s="92"/>
      <c r="P3112" s="33"/>
      <c r="Q3112" s="135">
        <f t="shared" si="567"/>
        <v>0</v>
      </c>
    </row>
    <row r="3113" spans="1:17">
      <c r="A3113" s="150"/>
      <c r="B3113" s="155" t="s">
        <v>11</v>
      </c>
      <c r="C3113" s="5" t="s">
        <v>7</v>
      </c>
      <c r="D3113" s="94"/>
      <c r="E3113" s="94"/>
      <c r="F3113" s="94"/>
      <c r="G3113" s="94"/>
      <c r="H3113" s="94"/>
      <c r="I3113" s="94"/>
      <c r="J3113" s="94"/>
      <c r="K3113" s="94"/>
      <c r="L3113" s="94"/>
      <c r="M3113" s="94"/>
      <c r="N3113" s="94"/>
      <c r="O3113" s="94"/>
      <c r="P3113" s="27"/>
      <c r="Q3113" s="136">
        <f t="shared" si="567"/>
        <v>0</v>
      </c>
    </row>
    <row r="3114" spans="1:17">
      <c r="A3114" s="150"/>
      <c r="B3114" s="153"/>
      <c r="C3114" s="6" t="s">
        <v>4</v>
      </c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32"/>
      <c r="Q3114" s="132">
        <f t="shared" si="567"/>
        <v>0</v>
      </c>
    </row>
    <row r="3115" spans="1:17">
      <c r="A3115" s="150"/>
      <c r="B3115" s="153"/>
      <c r="C3115" s="6" t="s">
        <v>17</v>
      </c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32"/>
      <c r="Q3115" s="132">
        <f t="shared" si="567"/>
        <v>0</v>
      </c>
    </row>
    <row r="3116" spans="1:17">
      <c r="A3116" s="150"/>
      <c r="B3116" s="153"/>
      <c r="C3116" s="6" t="s">
        <v>18</v>
      </c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32"/>
      <c r="Q3116" s="132">
        <f t="shared" si="567"/>
        <v>0</v>
      </c>
    </row>
    <row r="3117" spans="1:17">
      <c r="A3117" s="150"/>
      <c r="B3117" s="153"/>
      <c r="C3117" s="6" t="s">
        <v>60</v>
      </c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32"/>
      <c r="Q3117" s="135">
        <f t="shared" si="567"/>
        <v>0</v>
      </c>
    </row>
    <row r="3118" spans="1:17">
      <c r="A3118" s="150"/>
      <c r="B3118" s="155" t="s">
        <v>13</v>
      </c>
      <c r="C3118" s="5" t="s">
        <v>10</v>
      </c>
      <c r="D3118" s="94"/>
      <c r="E3118" s="94"/>
      <c r="F3118" s="94"/>
      <c r="G3118" s="94"/>
      <c r="H3118" s="94"/>
      <c r="I3118" s="94"/>
      <c r="J3118" s="94"/>
      <c r="K3118" s="94"/>
      <c r="L3118" s="94"/>
      <c r="M3118" s="94"/>
      <c r="N3118" s="94"/>
      <c r="O3118" s="94"/>
      <c r="P3118" s="27"/>
      <c r="Q3118" s="131">
        <f t="shared" si="567"/>
        <v>0</v>
      </c>
    </row>
    <row r="3119" spans="1:17">
      <c r="A3119" s="150"/>
      <c r="B3119" s="153"/>
      <c r="C3119" s="116" t="s">
        <v>55</v>
      </c>
      <c r="D3119" s="89"/>
      <c r="E3119" s="89"/>
      <c r="F3119" s="89"/>
      <c r="G3119" s="89"/>
      <c r="H3119" s="89"/>
      <c r="I3119" s="89"/>
      <c r="J3119" s="89"/>
      <c r="K3119" s="89"/>
      <c r="L3119" s="89"/>
      <c r="M3119" s="89"/>
      <c r="N3119" s="89"/>
      <c r="O3119" s="89"/>
      <c r="P3119" s="28"/>
      <c r="Q3119" s="132">
        <f t="shared" si="567"/>
        <v>0</v>
      </c>
    </row>
    <row r="3120" spans="1:17">
      <c r="A3120" s="150"/>
      <c r="B3120" s="153"/>
      <c r="C3120" s="8" t="s">
        <v>56</v>
      </c>
      <c r="D3120" s="89"/>
      <c r="E3120" s="89"/>
      <c r="F3120" s="89"/>
      <c r="G3120" s="89"/>
      <c r="H3120" s="89"/>
      <c r="I3120" s="89"/>
      <c r="J3120" s="89"/>
      <c r="K3120" s="89"/>
      <c r="L3120" s="89"/>
      <c r="M3120" s="89"/>
      <c r="N3120" s="89"/>
      <c r="O3120" s="89"/>
      <c r="P3120" s="28"/>
      <c r="Q3120" s="132">
        <f t="shared" si="567"/>
        <v>0</v>
      </c>
    </row>
    <row r="3121" spans="1:17" ht="14.25" thickBot="1">
      <c r="A3121" s="150"/>
      <c r="B3121" s="154"/>
      <c r="C3121" s="4" t="s">
        <v>61</v>
      </c>
      <c r="D3121" s="92"/>
      <c r="E3121" s="92"/>
      <c r="F3121" s="92"/>
      <c r="G3121" s="92"/>
      <c r="H3121" s="92"/>
      <c r="I3121" s="92"/>
      <c r="J3121" s="92"/>
      <c r="K3121" s="92"/>
      <c r="L3121" s="92"/>
      <c r="M3121" s="92"/>
      <c r="N3121" s="92"/>
      <c r="O3121" s="92"/>
      <c r="P3121" s="33"/>
      <c r="Q3121" s="133">
        <f t="shared" si="567"/>
        <v>0</v>
      </c>
    </row>
    <row r="3122" spans="1:17" ht="14.25" thickBot="1">
      <c r="A3122" s="150"/>
      <c r="B3122" s="156" t="s">
        <v>54</v>
      </c>
      <c r="C3122" s="157"/>
      <c r="D3122" s="56">
        <f>SUM(D3108:D3112)-SUM(D3116:D3117)</f>
        <v>0</v>
      </c>
      <c r="E3122" s="56">
        <f t="shared" ref="E3122:O3122" si="569">SUM(E3108:E3112)-SUM(E3116:E3117)</f>
        <v>0</v>
      </c>
      <c r="F3122" s="56">
        <f t="shared" si="569"/>
        <v>0</v>
      </c>
      <c r="G3122" s="56">
        <f t="shared" si="569"/>
        <v>0</v>
      </c>
      <c r="H3122" s="56">
        <f t="shared" si="569"/>
        <v>0</v>
      </c>
      <c r="I3122" s="56">
        <f t="shared" si="569"/>
        <v>0</v>
      </c>
      <c r="J3122" s="56">
        <f t="shared" si="569"/>
        <v>0</v>
      </c>
      <c r="K3122" s="56">
        <f t="shared" si="569"/>
        <v>0</v>
      </c>
      <c r="L3122" s="56">
        <f t="shared" si="569"/>
        <v>0</v>
      </c>
      <c r="M3122" s="56">
        <f t="shared" si="569"/>
        <v>0</v>
      </c>
      <c r="N3122" s="56">
        <f t="shared" si="569"/>
        <v>0</v>
      </c>
      <c r="O3122" s="56">
        <f t="shared" si="569"/>
        <v>0</v>
      </c>
      <c r="P3122" s="58">
        <f>SUM(P3106:P3112)-SUM(P3116:P3117)</f>
        <v>0</v>
      </c>
      <c r="Q3122" s="130">
        <f t="shared" si="567"/>
        <v>0</v>
      </c>
    </row>
    <row r="3123" spans="1:17" ht="14.25" thickBot="1">
      <c r="A3123" s="151"/>
      <c r="B3123" s="147" t="s">
        <v>5</v>
      </c>
      <c r="C3123" s="148"/>
      <c r="D3123" s="42">
        <f>SUM(D3108:D3112)-SUM(D3113:D3117)+SUM(D3118:D3121)</f>
        <v>0</v>
      </c>
      <c r="E3123" s="42">
        <f t="shared" ref="E3123:O3123" si="570">SUM(E3108:E3112)-SUM(E3113:E3117)+SUM(E3118:E3121)</f>
        <v>0</v>
      </c>
      <c r="F3123" s="42">
        <f t="shared" si="570"/>
        <v>0</v>
      </c>
      <c r="G3123" s="42">
        <f t="shared" si="570"/>
        <v>0</v>
      </c>
      <c r="H3123" s="42">
        <f t="shared" si="570"/>
        <v>0</v>
      </c>
      <c r="I3123" s="42">
        <f t="shared" si="570"/>
        <v>0</v>
      </c>
      <c r="J3123" s="42">
        <f t="shared" si="570"/>
        <v>0</v>
      </c>
      <c r="K3123" s="42">
        <f t="shared" si="570"/>
        <v>0</v>
      </c>
      <c r="L3123" s="42">
        <f t="shared" si="570"/>
        <v>0</v>
      </c>
      <c r="M3123" s="42">
        <f t="shared" si="570"/>
        <v>0</v>
      </c>
      <c r="N3123" s="42">
        <f t="shared" si="570"/>
        <v>0</v>
      </c>
      <c r="O3123" s="42">
        <f t="shared" si="570"/>
        <v>0</v>
      </c>
      <c r="P3123" s="44">
        <f>SUM(P3106:P3112)-SUM(P3113:P3117)+SUM(P3118:P3121)</f>
        <v>0</v>
      </c>
      <c r="Q3123" s="46">
        <f>SUM(D3123:P3123)</f>
        <v>0</v>
      </c>
    </row>
    <row r="3124" spans="1:17">
      <c r="A3124" s="149"/>
      <c r="B3124" s="152" t="s">
        <v>12</v>
      </c>
      <c r="C3124" s="114" t="s">
        <v>84</v>
      </c>
      <c r="D3124" s="87"/>
      <c r="E3124" s="87"/>
      <c r="F3124" s="87"/>
      <c r="G3124" s="87"/>
      <c r="H3124" s="87"/>
      <c r="I3124" s="87"/>
      <c r="J3124" s="87"/>
      <c r="K3124" s="87"/>
      <c r="L3124" s="87"/>
      <c r="M3124" s="87"/>
      <c r="N3124" s="87"/>
      <c r="O3124" s="87"/>
      <c r="P3124" s="30"/>
      <c r="Q3124" s="134">
        <f>SUM(D3124:P3124)</f>
        <v>0</v>
      </c>
    </row>
    <row r="3125" spans="1:17">
      <c r="A3125" s="150"/>
      <c r="B3125" s="153"/>
      <c r="C3125" s="115" t="s">
        <v>85</v>
      </c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28"/>
      <c r="Q3125" s="132">
        <f t="shared" ref="Q3125:Q3140" si="571">SUM(D3125:P3125)</f>
        <v>0</v>
      </c>
    </row>
    <row r="3126" spans="1:17">
      <c r="A3126" s="150"/>
      <c r="B3126" s="153"/>
      <c r="C3126" s="116" t="s">
        <v>86</v>
      </c>
      <c r="D3126" s="91">
        <f t="shared" ref="D3126:O3126" si="572">D3124*D3125</f>
        <v>0</v>
      </c>
      <c r="E3126" s="91">
        <f t="shared" si="572"/>
        <v>0</v>
      </c>
      <c r="F3126" s="91">
        <f t="shared" si="572"/>
        <v>0</v>
      </c>
      <c r="G3126" s="91">
        <f t="shared" si="572"/>
        <v>0</v>
      </c>
      <c r="H3126" s="91">
        <f t="shared" si="572"/>
        <v>0</v>
      </c>
      <c r="I3126" s="91">
        <f t="shared" si="572"/>
        <v>0</v>
      </c>
      <c r="J3126" s="91">
        <f t="shared" si="572"/>
        <v>0</v>
      </c>
      <c r="K3126" s="91">
        <f t="shared" si="572"/>
        <v>0</v>
      </c>
      <c r="L3126" s="91">
        <f t="shared" si="572"/>
        <v>0</v>
      </c>
      <c r="M3126" s="91">
        <f t="shared" si="572"/>
        <v>0</v>
      </c>
      <c r="N3126" s="91">
        <f t="shared" si="572"/>
        <v>0</v>
      </c>
      <c r="O3126" s="91">
        <f t="shared" si="572"/>
        <v>0</v>
      </c>
      <c r="P3126" s="32"/>
      <c r="Q3126" s="132">
        <f t="shared" si="571"/>
        <v>0</v>
      </c>
    </row>
    <row r="3127" spans="1:17">
      <c r="A3127" s="150"/>
      <c r="B3127" s="153"/>
      <c r="C3127" s="117" t="s">
        <v>9</v>
      </c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91"/>
      <c r="O3127" s="91"/>
      <c r="P3127" s="32"/>
      <c r="Q3127" s="132">
        <f t="shared" si="571"/>
        <v>0</v>
      </c>
    </row>
    <row r="3128" spans="1:17">
      <c r="A3128" s="150"/>
      <c r="B3128" s="153"/>
      <c r="C3128" s="117" t="s">
        <v>38</v>
      </c>
      <c r="D3128" s="89"/>
      <c r="E3128" s="89"/>
      <c r="F3128" s="89"/>
      <c r="G3128" s="89"/>
      <c r="H3128" s="89"/>
      <c r="I3128" s="89"/>
      <c r="J3128" s="89"/>
      <c r="K3128" s="89"/>
      <c r="L3128" s="89"/>
      <c r="M3128" s="89"/>
      <c r="N3128" s="89"/>
      <c r="O3128" s="89"/>
      <c r="P3128" s="28"/>
      <c r="Q3128" s="132">
        <f t="shared" si="571"/>
        <v>0</v>
      </c>
    </row>
    <row r="3129" spans="1:17">
      <c r="A3129" s="150"/>
      <c r="B3129" s="153"/>
      <c r="C3129" s="62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91"/>
      <c r="O3129" s="91"/>
      <c r="P3129" s="32"/>
      <c r="Q3129" s="132">
        <f t="shared" si="571"/>
        <v>0</v>
      </c>
    </row>
    <row r="3130" spans="1:17">
      <c r="A3130" s="150"/>
      <c r="B3130" s="154"/>
      <c r="C3130" s="6" t="s">
        <v>42</v>
      </c>
      <c r="D3130" s="92"/>
      <c r="E3130" s="92"/>
      <c r="F3130" s="92"/>
      <c r="G3130" s="92"/>
      <c r="H3130" s="92"/>
      <c r="I3130" s="92"/>
      <c r="J3130" s="92"/>
      <c r="K3130" s="92"/>
      <c r="L3130" s="92"/>
      <c r="M3130" s="92"/>
      <c r="N3130" s="92"/>
      <c r="O3130" s="92"/>
      <c r="P3130" s="33"/>
      <c r="Q3130" s="135">
        <f t="shared" si="571"/>
        <v>0</v>
      </c>
    </row>
    <row r="3131" spans="1:17">
      <c r="A3131" s="150"/>
      <c r="B3131" s="155" t="s">
        <v>11</v>
      </c>
      <c r="C3131" s="5" t="s">
        <v>7</v>
      </c>
      <c r="D3131" s="94"/>
      <c r="E3131" s="94"/>
      <c r="F3131" s="94"/>
      <c r="G3131" s="94"/>
      <c r="H3131" s="94"/>
      <c r="I3131" s="94"/>
      <c r="J3131" s="94"/>
      <c r="K3131" s="94"/>
      <c r="L3131" s="94"/>
      <c r="M3131" s="94"/>
      <c r="N3131" s="94"/>
      <c r="O3131" s="94"/>
      <c r="P3131" s="27"/>
      <c r="Q3131" s="136">
        <f t="shared" si="571"/>
        <v>0</v>
      </c>
    </row>
    <row r="3132" spans="1:17">
      <c r="A3132" s="150"/>
      <c r="B3132" s="153"/>
      <c r="C3132" s="6" t="s">
        <v>4</v>
      </c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91"/>
      <c r="O3132" s="91"/>
      <c r="P3132" s="32"/>
      <c r="Q3132" s="132">
        <f t="shared" si="571"/>
        <v>0</v>
      </c>
    </row>
    <row r="3133" spans="1:17">
      <c r="A3133" s="150"/>
      <c r="B3133" s="153"/>
      <c r="C3133" s="6" t="s">
        <v>17</v>
      </c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91"/>
      <c r="O3133" s="91"/>
      <c r="P3133" s="32"/>
      <c r="Q3133" s="132">
        <f t="shared" si="571"/>
        <v>0</v>
      </c>
    </row>
    <row r="3134" spans="1:17">
      <c r="A3134" s="150"/>
      <c r="B3134" s="153"/>
      <c r="C3134" s="6" t="s">
        <v>18</v>
      </c>
      <c r="D3134" s="91"/>
      <c r="E3134" s="91"/>
      <c r="F3134" s="91"/>
      <c r="G3134" s="91"/>
      <c r="H3134" s="91"/>
      <c r="I3134" s="91"/>
      <c r="J3134" s="91"/>
      <c r="K3134" s="91"/>
      <c r="L3134" s="91"/>
      <c r="M3134" s="91"/>
      <c r="N3134" s="91"/>
      <c r="O3134" s="91"/>
      <c r="P3134" s="32"/>
      <c r="Q3134" s="132">
        <f t="shared" si="571"/>
        <v>0</v>
      </c>
    </row>
    <row r="3135" spans="1:17">
      <c r="A3135" s="150"/>
      <c r="B3135" s="153"/>
      <c r="C3135" s="6" t="s">
        <v>60</v>
      </c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91"/>
      <c r="O3135" s="91"/>
      <c r="P3135" s="32"/>
      <c r="Q3135" s="135">
        <f t="shared" si="571"/>
        <v>0</v>
      </c>
    </row>
    <row r="3136" spans="1:17">
      <c r="A3136" s="150"/>
      <c r="B3136" s="155" t="s">
        <v>13</v>
      </c>
      <c r="C3136" s="5" t="s">
        <v>10</v>
      </c>
      <c r="D3136" s="94"/>
      <c r="E3136" s="94"/>
      <c r="F3136" s="94"/>
      <c r="G3136" s="94"/>
      <c r="H3136" s="94"/>
      <c r="I3136" s="94"/>
      <c r="J3136" s="94"/>
      <c r="K3136" s="94"/>
      <c r="L3136" s="94"/>
      <c r="M3136" s="94"/>
      <c r="N3136" s="94"/>
      <c r="O3136" s="94"/>
      <c r="P3136" s="27"/>
      <c r="Q3136" s="131">
        <f t="shared" si="571"/>
        <v>0</v>
      </c>
    </row>
    <row r="3137" spans="1:17">
      <c r="A3137" s="150"/>
      <c r="B3137" s="153"/>
      <c r="C3137" s="116" t="s">
        <v>55</v>
      </c>
      <c r="D3137" s="89"/>
      <c r="E3137" s="89"/>
      <c r="F3137" s="89"/>
      <c r="G3137" s="89"/>
      <c r="H3137" s="89"/>
      <c r="I3137" s="89"/>
      <c r="J3137" s="89"/>
      <c r="K3137" s="89"/>
      <c r="L3137" s="89"/>
      <c r="M3137" s="89"/>
      <c r="N3137" s="89"/>
      <c r="O3137" s="89"/>
      <c r="P3137" s="28"/>
      <c r="Q3137" s="132">
        <f t="shared" si="571"/>
        <v>0</v>
      </c>
    </row>
    <row r="3138" spans="1:17">
      <c r="A3138" s="150"/>
      <c r="B3138" s="153"/>
      <c r="C3138" s="8" t="s">
        <v>56</v>
      </c>
      <c r="D3138" s="89"/>
      <c r="E3138" s="89"/>
      <c r="F3138" s="89"/>
      <c r="G3138" s="89"/>
      <c r="H3138" s="89"/>
      <c r="I3138" s="89"/>
      <c r="J3138" s="89"/>
      <c r="K3138" s="89"/>
      <c r="L3138" s="89"/>
      <c r="M3138" s="89"/>
      <c r="N3138" s="89"/>
      <c r="O3138" s="89"/>
      <c r="P3138" s="28"/>
      <c r="Q3138" s="132">
        <f t="shared" si="571"/>
        <v>0</v>
      </c>
    </row>
    <row r="3139" spans="1:17" ht="14.25" thickBot="1">
      <c r="A3139" s="150"/>
      <c r="B3139" s="154"/>
      <c r="C3139" s="4" t="s">
        <v>61</v>
      </c>
      <c r="D3139" s="92"/>
      <c r="E3139" s="92"/>
      <c r="F3139" s="92"/>
      <c r="G3139" s="92"/>
      <c r="H3139" s="92"/>
      <c r="I3139" s="92"/>
      <c r="J3139" s="92"/>
      <c r="K3139" s="92"/>
      <c r="L3139" s="92"/>
      <c r="M3139" s="92"/>
      <c r="N3139" s="92"/>
      <c r="O3139" s="92"/>
      <c r="P3139" s="33"/>
      <c r="Q3139" s="133">
        <f t="shared" si="571"/>
        <v>0</v>
      </c>
    </row>
    <row r="3140" spans="1:17" ht="14.25" thickBot="1">
      <c r="A3140" s="150"/>
      <c r="B3140" s="156" t="s">
        <v>54</v>
      </c>
      <c r="C3140" s="157"/>
      <c r="D3140" s="56">
        <f>SUM(D3126:D3130)-SUM(D3134:D3135)</f>
        <v>0</v>
      </c>
      <c r="E3140" s="56">
        <f t="shared" ref="E3140:O3140" si="573">SUM(E3126:E3130)-SUM(E3134:E3135)</f>
        <v>0</v>
      </c>
      <c r="F3140" s="56">
        <f t="shared" si="573"/>
        <v>0</v>
      </c>
      <c r="G3140" s="56">
        <f t="shared" si="573"/>
        <v>0</v>
      </c>
      <c r="H3140" s="56">
        <f t="shared" si="573"/>
        <v>0</v>
      </c>
      <c r="I3140" s="56">
        <f t="shared" si="573"/>
        <v>0</v>
      </c>
      <c r="J3140" s="56">
        <f t="shared" si="573"/>
        <v>0</v>
      </c>
      <c r="K3140" s="56">
        <f t="shared" si="573"/>
        <v>0</v>
      </c>
      <c r="L3140" s="56">
        <f t="shared" si="573"/>
        <v>0</v>
      </c>
      <c r="M3140" s="56">
        <f t="shared" si="573"/>
        <v>0</v>
      </c>
      <c r="N3140" s="56">
        <f t="shared" si="573"/>
        <v>0</v>
      </c>
      <c r="O3140" s="56">
        <f t="shared" si="573"/>
        <v>0</v>
      </c>
      <c r="P3140" s="58">
        <f>SUM(P3124:P3130)-SUM(P3134:P3135)</f>
        <v>0</v>
      </c>
      <c r="Q3140" s="130">
        <f t="shared" si="571"/>
        <v>0</v>
      </c>
    </row>
    <row r="3141" spans="1:17" ht="14.25" thickBot="1">
      <c r="A3141" s="151"/>
      <c r="B3141" s="147" t="s">
        <v>5</v>
      </c>
      <c r="C3141" s="148"/>
      <c r="D3141" s="42">
        <f>SUM(D3126:D3130)-SUM(D3131:D3135)+SUM(D3136:D3139)</f>
        <v>0</v>
      </c>
      <c r="E3141" s="42">
        <f t="shared" ref="E3141:O3141" si="574">SUM(E3126:E3130)-SUM(E3131:E3135)+SUM(E3136:E3139)</f>
        <v>0</v>
      </c>
      <c r="F3141" s="42">
        <f t="shared" si="574"/>
        <v>0</v>
      </c>
      <c r="G3141" s="42">
        <f t="shared" si="574"/>
        <v>0</v>
      </c>
      <c r="H3141" s="42">
        <f t="shared" si="574"/>
        <v>0</v>
      </c>
      <c r="I3141" s="42">
        <f t="shared" si="574"/>
        <v>0</v>
      </c>
      <c r="J3141" s="42">
        <f t="shared" si="574"/>
        <v>0</v>
      </c>
      <c r="K3141" s="42">
        <f t="shared" si="574"/>
        <v>0</v>
      </c>
      <c r="L3141" s="42">
        <f t="shared" si="574"/>
        <v>0</v>
      </c>
      <c r="M3141" s="42">
        <f t="shared" si="574"/>
        <v>0</v>
      </c>
      <c r="N3141" s="42">
        <f t="shared" si="574"/>
        <v>0</v>
      </c>
      <c r="O3141" s="42">
        <f t="shared" si="574"/>
        <v>0</v>
      </c>
      <c r="P3141" s="44">
        <f>SUM(P3124:P3130)-SUM(P3131:P3135)+SUM(P3136:P3139)</f>
        <v>0</v>
      </c>
      <c r="Q3141" s="46">
        <f>SUM(D3141:P3141)</f>
        <v>0</v>
      </c>
    </row>
    <row r="3142" spans="1:17">
      <c r="A3142" s="149"/>
      <c r="B3142" s="152" t="s">
        <v>12</v>
      </c>
      <c r="C3142" s="114" t="s">
        <v>84</v>
      </c>
      <c r="D3142" s="87"/>
      <c r="E3142" s="87"/>
      <c r="F3142" s="87"/>
      <c r="G3142" s="87"/>
      <c r="H3142" s="87"/>
      <c r="I3142" s="87"/>
      <c r="J3142" s="87"/>
      <c r="K3142" s="87"/>
      <c r="L3142" s="87"/>
      <c r="M3142" s="87"/>
      <c r="N3142" s="87"/>
      <c r="O3142" s="87"/>
      <c r="P3142" s="30"/>
      <c r="Q3142" s="134">
        <f>SUM(D3142:P3142)</f>
        <v>0</v>
      </c>
    </row>
    <row r="3143" spans="1:17">
      <c r="A3143" s="150"/>
      <c r="B3143" s="153"/>
      <c r="C3143" s="115" t="s">
        <v>85</v>
      </c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28"/>
      <c r="Q3143" s="132">
        <f t="shared" ref="Q3143:Q3158" si="575">SUM(D3143:P3143)</f>
        <v>0</v>
      </c>
    </row>
    <row r="3144" spans="1:17">
      <c r="A3144" s="150"/>
      <c r="B3144" s="153"/>
      <c r="C3144" s="116" t="s">
        <v>86</v>
      </c>
      <c r="D3144" s="91">
        <f t="shared" ref="D3144:O3144" si="576">D3142*D3143</f>
        <v>0</v>
      </c>
      <c r="E3144" s="91">
        <f t="shared" si="576"/>
        <v>0</v>
      </c>
      <c r="F3144" s="91">
        <f t="shared" si="576"/>
        <v>0</v>
      </c>
      <c r="G3144" s="91">
        <f t="shared" si="576"/>
        <v>0</v>
      </c>
      <c r="H3144" s="91">
        <f t="shared" si="576"/>
        <v>0</v>
      </c>
      <c r="I3144" s="91">
        <f t="shared" si="576"/>
        <v>0</v>
      </c>
      <c r="J3144" s="91">
        <f t="shared" si="576"/>
        <v>0</v>
      </c>
      <c r="K3144" s="91">
        <f t="shared" si="576"/>
        <v>0</v>
      </c>
      <c r="L3144" s="91">
        <f t="shared" si="576"/>
        <v>0</v>
      </c>
      <c r="M3144" s="91">
        <f t="shared" si="576"/>
        <v>0</v>
      </c>
      <c r="N3144" s="91">
        <f t="shared" si="576"/>
        <v>0</v>
      </c>
      <c r="O3144" s="91">
        <f t="shared" si="576"/>
        <v>0</v>
      </c>
      <c r="P3144" s="32"/>
      <c r="Q3144" s="132">
        <f t="shared" si="575"/>
        <v>0</v>
      </c>
    </row>
    <row r="3145" spans="1:17">
      <c r="A3145" s="150"/>
      <c r="B3145" s="153"/>
      <c r="C3145" s="117" t="s">
        <v>9</v>
      </c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32"/>
      <c r="Q3145" s="132">
        <f t="shared" si="575"/>
        <v>0</v>
      </c>
    </row>
    <row r="3146" spans="1:17">
      <c r="A3146" s="150"/>
      <c r="B3146" s="153"/>
      <c r="C3146" s="117" t="s">
        <v>38</v>
      </c>
      <c r="D3146" s="89"/>
      <c r="E3146" s="89"/>
      <c r="F3146" s="89"/>
      <c r="G3146" s="89"/>
      <c r="H3146" s="89"/>
      <c r="I3146" s="89"/>
      <c r="J3146" s="89"/>
      <c r="K3146" s="89"/>
      <c r="L3146" s="89"/>
      <c r="M3146" s="89"/>
      <c r="N3146" s="89"/>
      <c r="O3146" s="89"/>
      <c r="P3146" s="28"/>
      <c r="Q3146" s="132">
        <f t="shared" si="575"/>
        <v>0</v>
      </c>
    </row>
    <row r="3147" spans="1:17">
      <c r="A3147" s="150"/>
      <c r="B3147" s="153"/>
      <c r="C3147" s="62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32"/>
      <c r="Q3147" s="132">
        <f t="shared" si="575"/>
        <v>0</v>
      </c>
    </row>
    <row r="3148" spans="1:17">
      <c r="A3148" s="150"/>
      <c r="B3148" s="154"/>
      <c r="C3148" s="6" t="s">
        <v>42</v>
      </c>
      <c r="D3148" s="92"/>
      <c r="E3148" s="92"/>
      <c r="F3148" s="92"/>
      <c r="G3148" s="92"/>
      <c r="H3148" s="92"/>
      <c r="I3148" s="92"/>
      <c r="J3148" s="92"/>
      <c r="K3148" s="92"/>
      <c r="L3148" s="92"/>
      <c r="M3148" s="92"/>
      <c r="N3148" s="92"/>
      <c r="O3148" s="92"/>
      <c r="P3148" s="33"/>
      <c r="Q3148" s="135">
        <f t="shared" si="575"/>
        <v>0</v>
      </c>
    </row>
    <row r="3149" spans="1:17">
      <c r="A3149" s="150"/>
      <c r="B3149" s="155" t="s">
        <v>11</v>
      </c>
      <c r="C3149" s="5" t="s">
        <v>7</v>
      </c>
      <c r="D3149" s="94"/>
      <c r="E3149" s="94"/>
      <c r="F3149" s="94"/>
      <c r="G3149" s="94"/>
      <c r="H3149" s="94"/>
      <c r="I3149" s="94"/>
      <c r="J3149" s="94"/>
      <c r="K3149" s="94"/>
      <c r="L3149" s="94"/>
      <c r="M3149" s="94"/>
      <c r="N3149" s="94"/>
      <c r="O3149" s="94"/>
      <c r="P3149" s="27"/>
      <c r="Q3149" s="136">
        <f t="shared" si="575"/>
        <v>0</v>
      </c>
    </row>
    <row r="3150" spans="1:17">
      <c r="A3150" s="150"/>
      <c r="B3150" s="153"/>
      <c r="C3150" s="6" t="s">
        <v>4</v>
      </c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32"/>
      <c r="Q3150" s="132">
        <f t="shared" si="575"/>
        <v>0</v>
      </c>
    </row>
    <row r="3151" spans="1:17">
      <c r="A3151" s="150"/>
      <c r="B3151" s="153"/>
      <c r="C3151" s="6" t="s">
        <v>17</v>
      </c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32"/>
      <c r="Q3151" s="132">
        <f t="shared" si="575"/>
        <v>0</v>
      </c>
    </row>
    <row r="3152" spans="1:17">
      <c r="A3152" s="150"/>
      <c r="B3152" s="153"/>
      <c r="C3152" s="6" t="s">
        <v>18</v>
      </c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32"/>
      <c r="Q3152" s="132">
        <f t="shared" si="575"/>
        <v>0</v>
      </c>
    </row>
    <row r="3153" spans="1:17">
      <c r="A3153" s="150"/>
      <c r="B3153" s="153"/>
      <c r="C3153" s="6" t="s">
        <v>60</v>
      </c>
      <c r="D3153" s="91"/>
      <c r="E3153" s="91"/>
      <c r="F3153" s="91"/>
      <c r="G3153" s="91"/>
      <c r="H3153" s="91"/>
      <c r="I3153" s="91"/>
      <c r="J3153" s="91"/>
      <c r="K3153" s="91"/>
      <c r="L3153" s="91"/>
      <c r="M3153" s="91"/>
      <c r="N3153" s="91"/>
      <c r="O3153" s="91"/>
      <c r="P3153" s="32"/>
      <c r="Q3153" s="135">
        <f t="shared" si="575"/>
        <v>0</v>
      </c>
    </row>
    <row r="3154" spans="1:17">
      <c r="A3154" s="150"/>
      <c r="B3154" s="155" t="s">
        <v>13</v>
      </c>
      <c r="C3154" s="5" t="s">
        <v>10</v>
      </c>
      <c r="D3154" s="94"/>
      <c r="E3154" s="94"/>
      <c r="F3154" s="94"/>
      <c r="G3154" s="94"/>
      <c r="H3154" s="94"/>
      <c r="I3154" s="94"/>
      <c r="J3154" s="94"/>
      <c r="K3154" s="94"/>
      <c r="L3154" s="94"/>
      <c r="M3154" s="94"/>
      <c r="N3154" s="94"/>
      <c r="O3154" s="94"/>
      <c r="P3154" s="27"/>
      <c r="Q3154" s="131">
        <f t="shared" si="575"/>
        <v>0</v>
      </c>
    </row>
    <row r="3155" spans="1:17">
      <c r="A3155" s="150"/>
      <c r="B3155" s="153"/>
      <c r="C3155" s="116" t="s">
        <v>55</v>
      </c>
      <c r="D3155" s="89"/>
      <c r="E3155" s="89"/>
      <c r="F3155" s="89"/>
      <c r="G3155" s="89"/>
      <c r="H3155" s="89"/>
      <c r="I3155" s="89"/>
      <c r="J3155" s="89"/>
      <c r="K3155" s="89"/>
      <c r="L3155" s="89"/>
      <c r="M3155" s="89"/>
      <c r="N3155" s="89"/>
      <c r="O3155" s="89"/>
      <c r="P3155" s="28"/>
      <c r="Q3155" s="132">
        <f t="shared" si="575"/>
        <v>0</v>
      </c>
    </row>
    <row r="3156" spans="1:17">
      <c r="A3156" s="150"/>
      <c r="B3156" s="153"/>
      <c r="C3156" s="8" t="s">
        <v>56</v>
      </c>
      <c r="D3156" s="89"/>
      <c r="E3156" s="89"/>
      <c r="F3156" s="89"/>
      <c r="G3156" s="89"/>
      <c r="H3156" s="89"/>
      <c r="I3156" s="89"/>
      <c r="J3156" s="89"/>
      <c r="K3156" s="89"/>
      <c r="L3156" s="89"/>
      <c r="M3156" s="89"/>
      <c r="N3156" s="89"/>
      <c r="O3156" s="89"/>
      <c r="P3156" s="28"/>
      <c r="Q3156" s="132">
        <f t="shared" si="575"/>
        <v>0</v>
      </c>
    </row>
    <row r="3157" spans="1:17" ht="14.25" thickBot="1">
      <c r="A3157" s="150"/>
      <c r="B3157" s="154"/>
      <c r="C3157" s="4" t="s">
        <v>61</v>
      </c>
      <c r="D3157" s="92"/>
      <c r="E3157" s="92"/>
      <c r="F3157" s="92"/>
      <c r="G3157" s="92"/>
      <c r="H3157" s="92"/>
      <c r="I3157" s="92"/>
      <c r="J3157" s="92"/>
      <c r="K3157" s="92"/>
      <c r="L3157" s="92"/>
      <c r="M3157" s="92"/>
      <c r="N3157" s="92"/>
      <c r="O3157" s="92"/>
      <c r="P3157" s="33"/>
      <c r="Q3157" s="133">
        <f t="shared" si="575"/>
        <v>0</v>
      </c>
    </row>
    <row r="3158" spans="1:17" ht="14.25" thickBot="1">
      <c r="A3158" s="150"/>
      <c r="B3158" s="156" t="s">
        <v>54</v>
      </c>
      <c r="C3158" s="157"/>
      <c r="D3158" s="56">
        <f>SUM(D3144:D3148)-SUM(D3152:D3153)</f>
        <v>0</v>
      </c>
      <c r="E3158" s="56">
        <f t="shared" ref="E3158:O3158" si="577">SUM(E3144:E3148)-SUM(E3152:E3153)</f>
        <v>0</v>
      </c>
      <c r="F3158" s="56">
        <f t="shared" si="577"/>
        <v>0</v>
      </c>
      <c r="G3158" s="56">
        <f t="shared" si="577"/>
        <v>0</v>
      </c>
      <c r="H3158" s="56">
        <f t="shared" si="577"/>
        <v>0</v>
      </c>
      <c r="I3158" s="56">
        <f t="shared" si="577"/>
        <v>0</v>
      </c>
      <c r="J3158" s="56">
        <f t="shared" si="577"/>
        <v>0</v>
      </c>
      <c r="K3158" s="56">
        <f t="shared" si="577"/>
        <v>0</v>
      </c>
      <c r="L3158" s="56">
        <f t="shared" si="577"/>
        <v>0</v>
      </c>
      <c r="M3158" s="56">
        <f t="shared" si="577"/>
        <v>0</v>
      </c>
      <c r="N3158" s="56">
        <f t="shared" si="577"/>
        <v>0</v>
      </c>
      <c r="O3158" s="56">
        <f t="shared" si="577"/>
        <v>0</v>
      </c>
      <c r="P3158" s="58">
        <f>SUM(P3142:P3148)-SUM(P3152:P3153)</f>
        <v>0</v>
      </c>
      <c r="Q3158" s="130">
        <f t="shared" si="575"/>
        <v>0</v>
      </c>
    </row>
    <row r="3159" spans="1:17" ht="14.25" thickBot="1">
      <c r="A3159" s="151"/>
      <c r="B3159" s="147" t="s">
        <v>5</v>
      </c>
      <c r="C3159" s="148"/>
      <c r="D3159" s="42">
        <f>SUM(D3144:D3148)-SUM(D3149:D3153)+SUM(D3154:D3157)</f>
        <v>0</v>
      </c>
      <c r="E3159" s="42">
        <f t="shared" ref="E3159:O3159" si="578">SUM(E3144:E3148)-SUM(E3149:E3153)+SUM(E3154:E3157)</f>
        <v>0</v>
      </c>
      <c r="F3159" s="42">
        <f t="shared" si="578"/>
        <v>0</v>
      </c>
      <c r="G3159" s="42">
        <f t="shared" si="578"/>
        <v>0</v>
      </c>
      <c r="H3159" s="42">
        <f t="shared" si="578"/>
        <v>0</v>
      </c>
      <c r="I3159" s="42">
        <f t="shared" si="578"/>
        <v>0</v>
      </c>
      <c r="J3159" s="42">
        <f t="shared" si="578"/>
        <v>0</v>
      </c>
      <c r="K3159" s="42">
        <f t="shared" si="578"/>
        <v>0</v>
      </c>
      <c r="L3159" s="42">
        <f t="shared" si="578"/>
        <v>0</v>
      </c>
      <c r="M3159" s="42">
        <f t="shared" si="578"/>
        <v>0</v>
      </c>
      <c r="N3159" s="42">
        <f t="shared" si="578"/>
        <v>0</v>
      </c>
      <c r="O3159" s="42">
        <f t="shared" si="578"/>
        <v>0</v>
      </c>
      <c r="P3159" s="44">
        <f>SUM(P3142:P3148)-SUM(P3149:P3153)+SUM(P3154:P3157)</f>
        <v>0</v>
      </c>
      <c r="Q3159" s="46">
        <f>SUM(D3159:P3159)</f>
        <v>0</v>
      </c>
    </row>
    <row r="3160" spans="1:17">
      <c r="A3160" s="163" t="s">
        <v>40</v>
      </c>
      <c r="B3160" s="164"/>
      <c r="C3160" s="164"/>
      <c r="D3160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9580</v>
      </c>
      <c r="E3160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160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160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160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160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160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160" s="47">
        <f t="shared" ref="K3160:P3160" ca="1" si="579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160" s="47">
        <f t="shared" ca="1" si="579"/>
        <v>0</v>
      </c>
      <c r="M3160" s="47">
        <f t="shared" ca="1" si="579"/>
        <v>0</v>
      </c>
      <c r="N3160" s="47">
        <f t="shared" ca="1" si="579"/>
        <v>0</v>
      </c>
      <c r="O3160" s="47">
        <f t="shared" ca="1" si="579"/>
        <v>0</v>
      </c>
      <c r="P3160" s="47">
        <f t="shared" ca="1" si="579"/>
        <v>0</v>
      </c>
      <c r="Q3160" s="49">
        <f ca="1">SUM(P3160:P3160)</f>
        <v>0</v>
      </c>
    </row>
    <row r="3161" spans="1:17">
      <c r="A3161" s="165" t="s">
        <v>41</v>
      </c>
      <c r="B3161" s="166"/>
      <c r="C3161" s="167"/>
      <c r="D3161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9525</v>
      </c>
      <c r="E3161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161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161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161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161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161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161" s="50">
        <f t="shared" ref="K3161:P3161" ca="1" si="580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161" s="50">
        <f t="shared" ca="1" si="580"/>
        <v>0</v>
      </c>
      <c r="M3161" s="50">
        <f t="shared" ca="1" si="580"/>
        <v>0</v>
      </c>
      <c r="N3161" s="50">
        <f t="shared" ca="1" si="580"/>
        <v>0</v>
      </c>
      <c r="O3161" s="50">
        <f t="shared" ca="1" si="580"/>
        <v>0</v>
      </c>
      <c r="P3161" s="50">
        <f t="shared" ca="1" si="580"/>
        <v>0</v>
      </c>
      <c r="Q3161" s="52">
        <f ca="1">SUM(P3161:P3161)</f>
        <v>0</v>
      </c>
    </row>
    <row r="3162" spans="1:17">
      <c r="A3162" s="165" t="s">
        <v>31</v>
      </c>
      <c r="B3162" s="166"/>
      <c r="C3162" s="167"/>
      <c r="D3162" s="50">
        <f t="shared" ref="D3162:P3162" si="581">SUMIF($B:$B,"計",D:D)</f>
        <v>10084</v>
      </c>
      <c r="E3162" s="50">
        <f t="shared" si="581"/>
        <v>0</v>
      </c>
      <c r="F3162" s="50">
        <f t="shared" si="581"/>
        <v>0</v>
      </c>
      <c r="G3162" s="50">
        <f t="shared" si="581"/>
        <v>0</v>
      </c>
      <c r="H3162" s="50">
        <f t="shared" si="581"/>
        <v>0</v>
      </c>
      <c r="I3162" s="50">
        <f t="shared" si="581"/>
        <v>0</v>
      </c>
      <c r="J3162" s="50">
        <f t="shared" si="581"/>
        <v>0</v>
      </c>
      <c r="K3162" s="50">
        <f t="shared" si="581"/>
        <v>0</v>
      </c>
      <c r="L3162" s="50">
        <f t="shared" si="581"/>
        <v>0</v>
      </c>
      <c r="M3162" s="50">
        <f t="shared" si="581"/>
        <v>0</v>
      </c>
      <c r="N3162" s="50">
        <f t="shared" si="581"/>
        <v>0</v>
      </c>
      <c r="O3162" s="50">
        <f t="shared" si="581"/>
        <v>0</v>
      </c>
      <c r="P3162" s="50">
        <f t="shared" si="581"/>
        <v>0</v>
      </c>
      <c r="Q3162" s="52">
        <f t="shared" si="205"/>
        <v>0</v>
      </c>
    </row>
    <row r="3163" spans="1:17">
      <c r="A3163" s="159" t="s">
        <v>20</v>
      </c>
      <c r="B3163" s="160"/>
      <c r="C3163" s="160"/>
      <c r="D3163" s="53">
        <f t="shared" ref="D3163:P3163" si="582">SUMIF($C:$C,"所得税",D:D)</f>
        <v>63</v>
      </c>
      <c r="E3163" s="53">
        <f t="shared" si="582"/>
        <v>0</v>
      </c>
      <c r="F3163" s="53">
        <f t="shared" si="582"/>
        <v>0</v>
      </c>
      <c r="G3163" s="53">
        <f t="shared" si="582"/>
        <v>0</v>
      </c>
      <c r="H3163" s="53">
        <f t="shared" si="582"/>
        <v>0</v>
      </c>
      <c r="I3163" s="53">
        <f t="shared" si="582"/>
        <v>0</v>
      </c>
      <c r="J3163" s="53">
        <f t="shared" si="582"/>
        <v>0</v>
      </c>
      <c r="K3163" s="53">
        <f t="shared" si="582"/>
        <v>0</v>
      </c>
      <c r="L3163" s="53">
        <f t="shared" si="582"/>
        <v>0</v>
      </c>
      <c r="M3163" s="53">
        <f t="shared" si="582"/>
        <v>0</v>
      </c>
      <c r="N3163" s="53">
        <f t="shared" si="582"/>
        <v>0</v>
      </c>
      <c r="O3163" s="53">
        <f t="shared" si="582"/>
        <v>0</v>
      </c>
      <c r="P3163" s="53">
        <f t="shared" si="582"/>
        <v>0</v>
      </c>
      <c r="Q3163" s="52">
        <f t="shared" si="205"/>
        <v>0</v>
      </c>
    </row>
    <row r="3164" spans="1:17">
      <c r="A3164" s="159" t="s">
        <v>43</v>
      </c>
      <c r="B3164" s="160"/>
      <c r="C3164" s="160"/>
      <c r="D3164" s="53">
        <f t="shared" ref="D3164:P3164" si="583">SUMIF($C:$C,"住民税",D:D)</f>
        <v>0</v>
      </c>
      <c r="E3164" s="53">
        <f t="shared" si="583"/>
        <v>0</v>
      </c>
      <c r="F3164" s="53">
        <f t="shared" si="583"/>
        <v>0</v>
      </c>
      <c r="G3164" s="53">
        <f t="shared" si="583"/>
        <v>0</v>
      </c>
      <c r="H3164" s="53">
        <f t="shared" si="583"/>
        <v>0</v>
      </c>
      <c r="I3164" s="53">
        <f t="shared" si="583"/>
        <v>0</v>
      </c>
      <c r="J3164" s="53">
        <f t="shared" si="583"/>
        <v>0</v>
      </c>
      <c r="K3164" s="53">
        <f t="shared" si="583"/>
        <v>0</v>
      </c>
      <c r="L3164" s="53">
        <f t="shared" si="583"/>
        <v>0</v>
      </c>
      <c r="M3164" s="53">
        <f t="shared" si="583"/>
        <v>0</v>
      </c>
      <c r="N3164" s="53">
        <f t="shared" si="583"/>
        <v>0</v>
      </c>
      <c r="O3164" s="53">
        <f t="shared" si="583"/>
        <v>0</v>
      </c>
      <c r="P3164" s="53">
        <f t="shared" si="583"/>
        <v>0</v>
      </c>
      <c r="Q3164" s="52">
        <f t="shared" si="205"/>
        <v>0</v>
      </c>
    </row>
    <row r="3165" spans="1:17">
      <c r="A3165" s="159" t="s">
        <v>53</v>
      </c>
      <c r="B3165" s="160"/>
      <c r="C3165" s="160"/>
      <c r="D3165" s="53">
        <f t="shared" ref="D3165:P3165" si="584">SUMIF($C:$C,"健康保険料",D:D)+SUMIF($C:$C,"厚生年金",D:D)</f>
        <v>99</v>
      </c>
      <c r="E3165" s="53">
        <f t="shared" si="584"/>
        <v>0</v>
      </c>
      <c r="F3165" s="53">
        <f t="shared" si="584"/>
        <v>0</v>
      </c>
      <c r="G3165" s="53">
        <f t="shared" si="584"/>
        <v>0</v>
      </c>
      <c r="H3165" s="53">
        <f t="shared" si="584"/>
        <v>0</v>
      </c>
      <c r="I3165" s="53">
        <f t="shared" si="584"/>
        <v>0</v>
      </c>
      <c r="J3165" s="53">
        <f t="shared" si="584"/>
        <v>0</v>
      </c>
      <c r="K3165" s="53">
        <f t="shared" si="584"/>
        <v>0</v>
      </c>
      <c r="L3165" s="53">
        <f t="shared" si="584"/>
        <v>0</v>
      </c>
      <c r="M3165" s="53">
        <f t="shared" si="584"/>
        <v>0</v>
      </c>
      <c r="N3165" s="53">
        <f t="shared" si="584"/>
        <v>0</v>
      </c>
      <c r="O3165" s="53">
        <f t="shared" si="584"/>
        <v>0</v>
      </c>
      <c r="P3165" s="53">
        <f t="shared" si="584"/>
        <v>0</v>
      </c>
      <c r="Q3165" s="52">
        <f t="shared" si="205"/>
        <v>0</v>
      </c>
    </row>
    <row r="3166" spans="1:17">
      <c r="A3166" s="159" t="s">
        <v>22</v>
      </c>
      <c r="B3166" s="160"/>
      <c r="C3166" s="160"/>
      <c r="D3166" s="53">
        <f t="shared" ref="D3166:P3166" si="585">SUMIF($C:$C,"雇用保険",D:D)</f>
        <v>0</v>
      </c>
      <c r="E3166" s="53">
        <f t="shared" si="585"/>
        <v>0</v>
      </c>
      <c r="F3166" s="53">
        <f t="shared" si="585"/>
        <v>0</v>
      </c>
      <c r="G3166" s="53">
        <f t="shared" si="585"/>
        <v>0</v>
      </c>
      <c r="H3166" s="53">
        <f t="shared" si="585"/>
        <v>0</v>
      </c>
      <c r="I3166" s="53">
        <f t="shared" si="585"/>
        <v>0</v>
      </c>
      <c r="J3166" s="53">
        <f t="shared" si="585"/>
        <v>0</v>
      </c>
      <c r="K3166" s="53">
        <f t="shared" si="585"/>
        <v>0</v>
      </c>
      <c r="L3166" s="53">
        <f t="shared" si="585"/>
        <v>0</v>
      </c>
      <c r="M3166" s="53">
        <f t="shared" si="585"/>
        <v>0</v>
      </c>
      <c r="N3166" s="53">
        <f t="shared" si="585"/>
        <v>0</v>
      </c>
      <c r="O3166" s="53">
        <f t="shared" si="585"/>
        <v>0</v>
      </c>
      <c r="P3166" s="53">
        <f t="shared" si="585"/>
        <v>0</v>
      </c>
      <c r="Q3166" s="52">
        <f t="shared" si="205"/>
        <v>0</v>
      </c>
    </row>
    <row r="3167" spans="1:17">
      <c r="A3167" s="159" t="s">
        <v>21</v>
      </c>
      <c r="B3167" s="160"/>
      <c r="C3167" s="160"/>
      <c r="D3167" s="53">
        <f t="shared" ref="D3167:P3167" si="586">SUMIF($C:$C,"交通費",D:D)</f>
        <v>0</v>
      </c>
      <c r="E3167" s="53">
        <f t="shared" si="586"/>
        <v>0</v>
      </c>
      <c r="F3167" s="53">
        <f t="shared" si="586"/>
        <v>0</v>
      </c>
      <c r="G3167" s="53">
        <f t="shared" si="586"/>
        <v>0</v>
      </c>
      <c r="H3167" s="53">
        <f t="shared" si="586"/>
        <v>0</v>
      </c>
      <c r="I3167" s="53">
        <f t="shared" si="586"/>
        <v>0</v>
      </c>
      <c r="J3167" s="53">
        <f t="shared" si="586"/>
        <v>0</v>
      </c>
      <c r="K3167" s="53">
        <f t="shared" si="586"/>
        <v>0</v>
      </c>
      <c r="L3167" s="53">
        <f t="shared" si="586"/>
        <v>0</v>
      </c>
      <c r="M3167" s="53">
        <f t="shared" si="586"/>
        <v>0</v>
      </c>
      <c r="N3167" s="53">
        <f t="shared" si="586"/>
        <v>0</v>
      </c>
      <c r="O3167" s="53">
        <f t="shared" si="586"/>
        <v>0</v>
      </c>
      <c r="P3167" s="53">
        <f t="shared" si="586"/>
        <v>0</v>
      </c>
      <c r="Q3167" s="52">
        <f t="shared" si="205"/>
        <v>0</v>
      </c>
    </row>
    <row r="3168" spans="1:17" ht="14.25" thickBot="1">
      <c r="A3168" s="161" t="s">
        <v>57</v>
      </c>
      <c r="B3168" s="162"/>
      <c r="C3168" s="162"/>
      <c r="D3168" s="55">
        <f t="shared" ref="D3168:P3168" si="587">SUMIF($C:$C,"*精算分*",D:D)</f>
        <v>666</v>
      </c>
      <c r="E3168" s="55">
        <f t="shared" si="587"/>
        <v>0</v>
      </c>
      <c r="F3168" s="55">
        <f t="shared" si="587"/>
        <v>0</v>
      </c>
      <c r="G3168" s="55">
        <f t="shared" si="587"/>
        <v>0</v>
      </c>
      <c r="H3168" s="55">
        <f t="shared" si="587"/>
        <v>0</v>
      </c>
      <c r="I3168" s="55">
        <f t="shared" si="587"/>
        <v>0</v>
      </c>
      <c r="J3168" s="55">
        <f t="shared" si="587"/>
        <v>0</v>
      </c>
      <c r="K3168" s="55">
        <f t="shared" si="587"/>
        <v>0</v>
      </c>
      <c r="L3168" s="55">
        <f t="shared" si="587"/>
        <v>0</v>
      </c>
      <c r="M3168" s="55">
        <f t="shared" si="587"/>
        <v>0</v>
      </c>
      <c r="N3168" s="55">
        <f t="shared" si="587"/>
        <v>0</v>
      </c>
      <c r="O3168" s="55">
        <f t="shared" si="587"/>
        <v>0</v>
      </c>
      <c r="P3168" s="55">
        <f t="shared" si="587"/>
        <v>0</v>
      </c>
      <c r="Q3168" s="45">
        <f>SUM(P3168:P3168)</f>
        <v>0</v>
      </c>
    </row>
    <row r="3169" spans="1:17">
      <c r="A3169" s="26"/>
      <c r="B3169" s="26"/>
      <c r="C3169" s="26"/>
      <c r="D3169" s="24"/>
      <c r="E3169" s="24"/>
      <c r="F3169" s="24"/>
      <c r="G3169" s="24"/>
      <c r="H3169" s="24"/>
      <c r="I3169" s="37"/>
      <c r="J3169" s="37"/>
      <c r="K3169" s="37"/>
      <c r="L3169" s="24"/>
      <c r="M3169" s="24"/>
      <c r="N3169" s="24"/>
      <c r="O3169" s="24"/>
      <c r="P3169" s="24"/>
      <c r="Q3169" s="25"/>
    </row>
    <row r="3171" spans="1:17">
      <c r="A3171" s="10"/>
      <c r="C3171" s="112" t="s">
        <v>81</v>
      </c>
      <c r="D3171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10</v>
      </c>
      <c r="E3171" s="1" t="e">
        <f>SUM(E14:E21)+SUM(#REF!)+SUM(#REF!)+SUM(#REF!)+SUM(#REF!)+SUM(#REF!)+SUM(#REF!)+SUM(#REF!)+SUM(#REF!)+SUM(#REF!)</f>
        <v>#REF!</v>
      </c>
      <c r="F3171" s="1" t="e">
        <f>SUM(F14:F21)+SUM(#REF!)+SUM(#REF!)+SUM(#REF!)+SUM(#REF!)+SUM(#REF!)+SUM(#REF!)+SUM(#REF!)+SUM(#REF!)+SUM(#REF!)</f>
        <v>#REF!</v>
      </c>
      <c r="G3171" s="1" t="e">
        <f>SUM(G14:G21)+SUM(#REF!)+SUM(#REF!)+SUM(#REF!)+SUM(#REF!)+SUM(#REF!)+SUM(#REF!)+SUM(#REF!)+SUM(#REF!)+SUM(#REF!)</f>
        <v>#REF!</v>
      </c>
      <c r="H3171" s="1" t="e">
        <f>SUM(H14:H21)+SUM(#REF!)+SUM(#REF!)+SUM(#REF!)+SUM(#REF!)+SUM(#REF!)+SUM(#REF!)+SUM(#REF!)+SUM(#REF!)+SUM(#REF!)</f>
        <v>#REF!</v>
      </c>
      <c r="I3171" s="1" t="e">
        <f>SUM(I14:I21)+SUM(#REF!)+SUM(#REF!)+SUM(#REF!)+SUM(#REF!)+SUM(#REF!)+SUM(#REF!)+SUM(#REF!)+SUM(#REF!)+SUM(#REF!)</f>
        <v>#REF!</v>
      </c>
      <c r="J3171" s="1" t="e">
        <f>SUM(J14:J21)+SUM(#REF!)+SUM(#REF!)+SUM(#REF!)+SUM(#REF!)+SUM(#REF!)+SUM(#REF!)+SUM(#REF!)+SUM(#REF!)+SUM(#REF!)</f>
        <v>#REF!</v>
      </c>
      <c r="K3171" s="1" t="e">
        <f>SUM(K14:K21)+SUM(#REF!)+SUM(#REF!)+SUM(#REF!)+SUM(#REF!)+SUM(#REF!)+SUM(#REF!)+SUM(#REF!)+SUM(#REF!)+SUM(#REF!)</f>
        <v>#REF!</v>
      </c>
      <c r="L3171" s="1" t="e">
        <f>SUM(L14:L21)+SUM(#REF!)+SUM(#REF!)+SUM(#REF!)+SUM(#REF!)+SUM(#REF!)+SUM(#REF!)+SUM(#REF!)+SUM(#REF!)+SUM(#REF!)</f>
        <v>#REF!</v>
      </c>
      <c r="M3171" s="1" t="e">
        <f>SUM(M14:M21)+SUM(#REF!)+SUM(#REF!)+SUM(#REF!)+SUM(#REF!)+SUM(#REF!)+SUM(#REF!)+SUM(#REF!)+SUM(#REF!)+SUM(#REF!)</f>
        <v>#REF!</v>
      </c>
      <c r="N3171" s="1" t="e">
        <f>SUM(N14:N21)+SUM(#REF!)+SUM(#REF!)+SUM(#REF!)+SUM(#REF!)+SUM(#REF!)+SUM(#REF!)+SUM(#REF!)+SUM(#REF!)+SUM(#REF!)</f>
        <v>#REF!</v>
      </c>
      <c r="O3171" s="1" t="e">
        <f>SUM(O14:O21)+SUM(#REF!)+SUM(#REF!)+SUM(#REF!)+SUM(#REF!)+SUM(#REF!)+SUM(#REF!)+SUM(#REF!)+SUM(#REF!)+SUM(#REF!)</f>
        <v>#REF!</v>
      </c>
    </row>
    <row r="3172" spans="1:17">
      <c r="A3172" s="10"/>
      <c r="C3172" s="112" t="s">
        <v>82</v>
      </c>
      <c r="D3172" s="36">
        <f ca="1">SUMIF($C:$C,"小計",D:D)
+SUMIF($C:$C,"営業手当",D:D)
+SUMIF($C:$C,"管理手当",D:D)
+SUMIF($C:$C,"在宅手当",D:D)
+SUMIF($C:$C,"特別手当",D:D)
+SUMIF($C:$C,"特別手当",INDEX(D:D,2,1))
+SUMIF($C:$C,"調整金",D:D)</f>
        <v>9570</v>
      </c>
      <c r="E3172" s="36" t="e">
        <f>E1322+#REF!+#REF!+#REF!+#REF!+#REF!+#REF!+#REF!+#REF!</f>
        <v>#REF!</v>
      </c>
      <c r="F3172" s="36" t="e">
        <f>F1322+#REF!+#REF!+#REF!+#REF!+#REF!+#REF!+#REF!+#REF!</f>
        <v>#REF!</v>
      </c>
      <c r="G3172" s="36" t="e">
        <f>G1322+#REF!+#REF!+#REF!+#REF!+#REF!+#REF!+#REF!+#REF!</f>
        <v>#REF!</v>
      </c>
      <c r="H3172" s="36" t="e">
        <f>H1322+#REF!+#REF!+#REF!+#REF!+#REF!+#REF!+#REF!+#REF!</f>
        <v>#REF!</v>
      </c>
      <c r="I3172" s="36" t="e">
        <f>I1322+#REF!+#REF!+#REF!+#REF!+#REF!+#REF!+#REF!+#REF!</f>
        <v>#REF!</v>
      </c>
      <c r="J3172" s="36" t="e">
        <f>J1322+#REF!+#REF!+#REF!+#REF!+#REF!+#REF!+#REF!+#REF!</f>
        <v>#REF!</v>
      </c>
      <c r="K3172" s="36" t="e">
        <f>K1322+#REF!+#REF!+#REF!+#REF!+#REF!+#REF!+#REF!+#REF!</f>
        <v>#REF!</v>
      </c>
      <c r="L3172" s="36" t="e">
        <f>L1322+#REF!+#REF!+#REF!+#REF!+#REF!+#REF!+#REF!+#REF!</f>
        <v>#REF!</v>
      </c>
      <c r="M3172" s="36" t="e">
        <f>M1322+#REF!+#REF!+#REF!+#REF!+#REF!+#REF!+#REF!+#REF!</f>
        <v>#REF!</v>
      </c>
      <c r="N3172" s="36" t="e">
        <f>N1322+#REF!+#REF!+#REF!+#REF!+#REF!+#REF!+#REF!+#REF!</f>
        <v>#REF!</v>
      </c>
      <c r="O3172" s="36" t="e">
        <f>O1322+#REF!+#REF!+#REF!+#REF!+#REF!+#REF!+#REF!+#REF!</f>
        <v>#REF!</v>
      </c>
    </row>
    <row r="3173" spans="1:17">
      <c r="A3173" s="10"/>
      <c r="B3173" s="11"/>
    </row>
  </sheetData>
  <mergeCells count="1040">
    <mergeCell ref="A2458:A2475"/>
    <mergeCell ref="B2458:B2464"/>
    <mergeCell ref="B2465:B2469"/>
    <mergeCell ref="B2470:B2473"/>
    <mergeCell ref="B2474:C2474"/>
    <mergeCell ref="B2475:C2475"/>
    <mergeCell ref="A2512:A2529"/>
    <mergeCell ref="B2512:B2518"/>
    <mergeCell ref="B2519:B2523"/>
    <mergeCell ref="B2524:B2527"/>
    <mergeCell ref="B2528:C2528"/>
    <mergeCell ref="B2529:C2529"/>
    <mergeCell ref="A2476:A2493"/>
    <mergeCell ref="B2476:B2482"/>
    <mergeCell ref="B2483:B2487"/>
    <mergeCell ref="B2488:B2491"/>
    <mergeCell ref="B2492:C2492"/>
    <mergeCell ref="B2493:C2493"/>
    <mergeCell ref="A2494:A2511"/>
    <mergeCell ref="B2494:B2500"/>
    <mergeCell ref="B2501:B2505"/>
    <mergeCell ref="B2506:B2509"/>
    <mergeCell ref="B2510:C2510"/>
    <mergeCell ref="B2511:C2511"/>
    <mergeCell ref="A2404:A2421"/>
    <mergeCell ref="B2404:B2410"/>
    <mergeCell ref="B2411:B2415"/>
    <mergeCell ref="B2416:B2419"/>
    <mergeCell ref="B2420:C2420"/>
    <mergeCell ref="B2421:C2421"/>
    <mergeCell ref="A2422:A2439"/>
    <mergeCell ref="B2422:B2428"/>
    <mergeCell ref="B2429:B2433"/>
    <mergeCell ref="B2434:B2437"/>
    <mergeCell ref="B2438:C2438"/>
    <mergeCell ref="B2439:C2439"/>
    <mergeCell ref="A2440:A2457"/>
    <mergeCell ref="B2440:B2446"/>
    <mergeCell ref="B2447:B2451"/>
    <mergeCell ref="B2452:B2455"/>
    <mergeCell ref="B2456:C2456"/>
    <mergeCell ref="B2457:C2457"/>
    <mergeCell ref="A2350:A2367"/>
    <mergeCell ref="B2350:B2356"/>
    <mergeCell ref="B2357:B2361"/>
    <mergeCell ref="B2362:B2365"/>
    <mergeCell ref="B2366:C2366"/>
    <mergeCell ref="B2367:C2367"/>
    <mergeCell ref="A2368:A2385"/>
    <mergeCell ref="B2368:B2374"/>
    <mergeCell ref="B2375:B2379"/>
    <mergeCell ref="B2380:B2383"/>
    <mergeCell ref="B2384:C2384"/>
    <mergeCell ref="B2385:C2385"/>
    <mergeCell ref="A2386:A2403"/>
    <mergeCell ref="B2386:B2392"/>
    <mergeCell ref="B2393:B2397"/>
    <mergeCell ref="B2398:B2401"/>
    <mergeCell ref="B2402:C2402"/>
    <mergeCell ref="B2403:C2403"/>
    <mergeCell ref="A2296:A2313"/>
    <mergeCell ref="B2296:B2302"/>
    <mergeCell ref="B2303:B2307"/>
    <mergeCell ref="B2308:B2311"/>
    <mergeCell ref="B2312:C2312"/>
    <mergeCell ref="B2313:C2313"/>
    <mergeCell ref="A2314:A2331"/>
    <mergeCell ref="B2314:B2320"/>
    <mergeCell ref="B2321:B2325"/>
    <mergeCell ref="B2326:B2329"/>
    <mergeCell ref="B2330:C2330"/>
    <mergeCell ref="B2331:C2331"/>
    <mergeCell ref="A2332:A2349"/>
    <mergeCell ref="B2332:B2338"/>
    <mergeCell ref="B2339:B2343"/>
    <mergeCell ref="B2344:B2347"/>
    <mergeCell ref="B2348:C2348"/>
    <mergeCell ref="B2349:C2349"/>
    <mergeCell ref="A2242:A2259"/>
    <mergeCell ref="B2242:B2248"/>
    <mergeCell ref="B2249:B2253"/>
    <mergeCell ref="B2254:B2257"/>
    <mergeCell ref="B2258:C2258"/>
    <mergeCell ref="B2259:C2259"/>
    <mergeCell ref="A2260:A2277"/>
    <mergeCell ref="B2260:B2266"/>
    <mergeCell ref="B2267:B2271"/>
    <mergeCell ref="B2272:B2275"/>
    <mergeCell ref="B2276:C2276"/>
    <mergeCell ref="B2277:C2277"/>
    <mergeCell ref="A2278:A2295"/>
    <mergeCell ref="B2278:B2284"/>
    <mergeCell ref="B2285:B2289"/>
    <mergeCell ref="B2290:B2293"/>
    <mergeCell ref="B2294:C2294"/>
    <mergeCell ref="B2295:C2295"/>
    <mergeCell ref="A2188:A2205"/>
    <mergeCell ref="B2188:B2194"/>
    <mergeCell ref="B2195:B2199"/>
    <mergeCell ref="B2200:B2203"/>
    <mergeCell ref="B2204:C2204"/>
    <mergeCell ref="B2205:C2205"/>
    <mergeCell ref="A2206:A2223"/>
    <mergeCell ref="B2206:B2212"/>
    <mergeCell ref="B2213:B2217"/>
    <mergeCell ref="B2218:B2221"/>
    <mergeCell ref="B2222:C2222"/>
    <mergeCell ref="B2223:C2223"/>
    <mergeCell ref="A2224:A2241"/>
    <mergeCell ref="B2224:B2230"/>
    <mergeCell ref="B2231:B2235"/>
    <mergeCell ref="B2236:B2239"/>
    <mergeCell ref="B2240:C2240"/>
    <mergeCell ref="B2241:C2241"/>
    <mergeCell ref="A2152:A2169"/>
    <mergeCell ref="B2152:B2158"/>
    <mergeCell ref="B2159:B2163"/>
    <mergeCell ref="B2164:B2167"/>
    <mergeCell ref="B2168:C2168"/>
    <mergeCell ref="B2169:C2169"/>
    <mergeCell ref="A2170:A2187"/>
    <mergeCell ref="B2170:B2176"/>
    <mergeCell ref="B2177:B2181"/>
    <mergeCell ref="B2182:B2185"/>
    <mergeCell ref="B2186:C2186"/>
    <mergeCell ref="B2187:C2187"/>
    <mergeCell ref="A679:A697"/>
    <mergeCell ref="B679:B686"/>
    <mergeCell ref="B687:B691"/>
    <mergeCell ref="B692:B695"/>
    <mergeCell ref="B696:C696"/>
    <mergeCell ref="B697:C697"/>
    <mergeCell ref="A717:A735"/>
    <mergeCell ref="B717:B724"/>
    <mergeCell ref="B725:B729"/>
    <mergeCell ref="B730:B733"/>
    <mergeCell ref="B734:C734"/>
    <mergeCell ref="B735:C735"/>
    <mergeCell ref="A736:A754"/>
    <mergeCell ref="B736:B743"/>
    <mergeCell ref="B744:B748"/>
    <mergeCell ref="B749:B752"/>
    <mergeCell ref="B753:C753"/>
    <mergeCell ref="B754:C754"/>
    <mergeCell ref="A2098:A2115"/>
    <mergeCell ref="B2098:B2104"/>
    <mergeCell ref="B2105:B2109"/>
    <mergeCell ref="B2110:B2113"/>
    <mergeCell ref="B2114:C2114"/>
    <mergeCell ref="B2115:C2115"/>
    <mergeCell ref="A2116:A2133"/>
    <mergeCell ref="B2116:B2122"/>
    <mergeCell ref="B2123:B2127"/>
    <mergeCell ref="B2128:B2131"/>
    <mergeCell ref="B2132:C2132"/>
    <mergeCell ref="B2133:C2133"/>
    <mergeCell ref="A2134:A2151"/>
    <mergeCell ref="B2134:B2140"/>
    <mergeCell ref="B2141:B2145"/>
    <mergeCell ref="B2146:B2149"/>
    <mergeCell ref="B2150:C2150"/>
    <mergeCell ref="B2151:C2151"/>
    <mergeCell ref="A2044:A2061"/>
    <mergeCell ref="B2044:B2050"/>
    <mergeCell ref="B2051:B2055"/>
    <mergeCell ref="B2056:B2059"/>
    <mergeCell ref="B2060:C2060"/>
    <mergeCell ref="B2061:C2061"/>
    <mergeCell ref="A2062:A2079"/>
    <mergeCell ref="B2062:B2068"/>
    <mergeCell ref="B2069:B2073"/>
    <mergeCell ref="B2074:B2077"/>
    <mergeCell ref="B2078:C2078"/>
    <mergeCell ref="B2079:C2079"/>
    <mergeCell ref="A2080:A2097"/>
    <mergeCell ref="B2080:B2086"/>
    <mergeCell ref="B2087:B2091"/>
    <mergeCell ref="B2092:B2095"/>
    <mergeCell ref="B2096:C2096"/>
    <mergeCell ref="B2097:C2097"/>
    <mergeCell ref="A1990:A2007"/>
    <mergeCell ref="B1990:B1996"/>
    <mergeCell ref="B1997:B2001"/>
    <mergeCell ref="B2002:B2005"/>
    <mergeCell ref="B2006:C2006"/>
    <mergeCell ref="B2007:C2007"/>
    <mergeCell ref="A2008:A2025"/>
    <mergeCell ref="B2008:B2014"/>
    <mergeCell ref="B2015:B2019"/>
    <mergeCell ref="B2020:B2023"/>
    <mergeCell ref="B2024:C2024"/>
    <mergeCell ref="B2025:C2025"/>
    <mergeCell ref="A2026:A2043"/>
    <mergeCell ref="B2026:B2032"/>
    <mergeCell ref="B2033:B2037"/>
    <mergeCell ref="B2038:B2041"/>
    <mergeCell ref="B2042:C2042"/>
    <mergeCell ref="B2043:C2043"/>
    <mergeCell ref="A1936:A1953"/>
    <mergeCell ref="B1936:B1942"/>
    <mergeCell ref="B1943:B1947"/>
    <mergeCell ref="B1948:B1951"/>
    <mergeCell ref="B1952:C1952"/>
    <mergeCell ref="B1953:C1953"/>
    <mergeCell ref="A1954:A1971"/>
    <mergeCell ref="B1954:B1960"/>
    <mergeCell ref="B1961:B1965"/>
    <mergeCell ref="B1966:B1969"/>
    <mergeCell ref="B1970:C1970"/>
    <mergeCell ref="B1971:C1971"/>
    <mergeCell ref="A1972:A1989"/>
    <mergeCell ref="B1972:B1978"/>
    <mergeCell ref="B1979:B1983"/>
    <mergeCell ref="B1984:B1987"/>
    <mergeCell ref="B1988:C1988"/>
    <mergeCell ref="B1989:C1989"/>
    <mergeCell ref="A1882:A1899"/>
    <mergeCell ref="B1882:B1888"/>
    <mergeCell ref="B1889:B1893"/>
    <mergeCell ref="B1894:B1897"/>
    <mergeCell ref="B1898:C1898"/>
    <mergeCell ref="B1899:C1899"/>
    <mergeCell ref="A1900:A1917"/>
    <mergeCell ref="B1900:B1906"/>
    <mergeCell ref="B1907:B1911"/>
    <mergeCell ref="B1912:B1915"/>
    <mergeCell ref="B1916:C1916"/>
    <mergeCell ref="B1917:C1917"/>
    <mergeCell ref="A1918:A1935"/>
    <mergeCell ref="B1918:B1924"/>
    <mergeCell ref="B1925:B1929"/>
    <mergeCell ref="B1930:B1933"/>
    <mergeCell ref="B1934:C1934"/>
    <mergeCell ref="B1935:C1935"/>
    <mergeCell ref="A1828:A1845"/>
    <mergeCell ref="B1828:B1834"/>
    <mergeCell ref="B1835:B1839"/>
    <mergeCell ref="B1840:B1843"/>
    <mergeCell ref="B1844:C1844"/>
    <mergeCell ref="B1845:C1845"/>
    <mergeCell ref="A1846:A1863"/>
    <mergeCell ref="B1846:B1852"/>
    <mergeCell ref="B1853:B1857"/>
    <mergeCell ref="B1858:B1861"/>
    <mergeCell ref="B1862:C1862"/>
    <mergeCell ref="B1863:C1863"/>
    <mergeCell ref="A1864:A1881"/>
    <mergeCell ref="B1864:B1870"/>
    <mergeCell ref="B1871:B1875"/>
    <mergeCell ref="B1876:B1879"/>
    <mergeCell ref="B1880:C1880"/>
    <mergeCell ref="B1881:C1881"/>
    <mergeCell ref="A1774:A1791"/>
    <mergeCell ref="B1774:B1780"/>
    <mergeCell ref="B1781:B1785"/>
    <mergeCell ref="B1786:B1789"/>
    <mergeCell ref="B1790:C1790"/>
    <mergeCell ref="B1791:C1791"/>
    <mergeCell ref="A1792:A1809"/>
    <mergeCell ref="B1792:B1798"/>
    <mergeCell ref="B1799:B1803"/>
    <mergeCell ref="B1804:B1807"/>
    <mergeCell ref="B1808:C1808"/>
    <mergeCell ref="B1809:C1809"/>
    <mergeCell ref="A1810:A1827"/>
    <mergeCell ref="B1810:B1816"/>
    <mergeCell ref="B1817:B1821"/>
    <mergeCell ref="B1822:B1825"/>
    <mergeCell ref="B1826:C1826"/>
    <mergeCell ref="B1827:C1827"/>
    <mergeCell ref="A1720:A1737"/>
    <mergeCell ref="B1720:B1726"/>
    <mergeCell ref="B1727:B1731"/>
    <mergeCell ref="B1732:B1735"/>
    <mergeCell ref="B1736:C1736"/>
    <mergeCell ref="B1737:C1737"/>
    <mergeCell ref="A1738:A1755"/>
    <mergeCell ref="B1738:B1744"/>
    <mergeCell ref="B1745:B1749"/>
    <mergeCell ref="B1750:B1753"/>
    <mergeCell ref="B1754:C1754"/>
    <mergeCell ref="B1755:C1755"/>
    <mergeCell ref="A1756:A1773"/>
    <mergeCell ref="B1756:B1762"/>
    <mergeCell ref="B1763:B1767"/>
    <mergeCell ref="B1768:B1771"/>
    <mergeCell ref="B1772:C1772"/>
    <mergeCell ref="B1773:C1773"/>
    <mergeCell ref="A1666:A1683"/>
    <mergeCell ref="B1666:B1672"/>
    <mergeCell ref="B1673:B1677"/>
    <mergeCell ref="B1678:B1681"/>
    <mergeCell ref="B1682:C1682"/>
    <mergeCell ref="B1683:C1683"/>
    <mergeCell ref="A1684:A1701"/>
    <mergeCell ref="B1684:B1690"/>
    <mergeCell ref="B1691:B1695"/>
    <mergeCell ref="B1696:B1699"/>
    <mergeCell ref="B1700:C1700"/>
    <mergeCell ref="B1701:C1701"/>
    <mergeCell ref="A1702:A1719"/>
    <mergeCell ref="B1702:B1708"/>
    <mergeCell ref="B1709:B1713"/>
    <mergeCell ref="B1714:B1717"/>
    <mergeCell ref="B1718:C1718"/>
    <mergeCell ref="B1719:C1719"/>
    <mergeCell ref="A1612:A1629"/>
    <mergeCell ref="B1612:B1618"/>
    <mergeCell ref="B1619:B1623"/>
    <mergeCell ref="B1624:B1627"/>
    <mergeCell ref="B1628:C1628"/>
    <mergeCell ref="B1629:C1629"/>
    <mergeCell ref="A1630:A1647"/>
    <mergeCell ref="B1630:B1636"/>
    <mergeCell ref="B1637:B1641"/>
    <mergeCell ref="B1642:B1645"/>
    <mergeCell ref="B1646:C1646"/>
    <mergeCell ref="B1647:C1647"/>
    <mergeCell ref="A1648:A1665"/>
    <mergeCell ref="B1648:B1654"/>
    <mergeCell ref="B1655:B1659"/>
    <mergeCell ref="B1660:B1663"/>
    <mergeCell ref="B1664:C1664"/>
    <mergeCell ref="B1665:C1665"/>
    <mergeCell ref="A1558:A1575"/>
    <mergeCell ref="B1558:B1564"/>
    <mergeCell ref="B1565:B1569"/>
    <mergeCell ref="B1570:B1573"/>
    <mergeCell ref="B1574:C1574"/>
    <mergeCell ref="B1575:C1575"/>
    <mergeCell ref="A1576:A1593"/>
    <mergeCell ref="B1576:B1582"/>
    <mergeCell ref="B1583:B1587"/>
    <mergeCell ref="B1588:B1591"/>
    <mergeCell ref="B1592:C1592"/>
    <mergeCell ref="B1593:C1593"/>
    <mergeCell ref="A1594:A1611"/>
    <mergeCell ref="B1594:B1600"/>
    <mergeCell ref="B1601:B1605"/>
    <mergeCell ref="B1606:B1609"/>
    <mergeCell ref="B1610:C1610"/>
    <mergeCell ref="B1611:C1611"/>
    <mergeCell ref="A622:A640"/>
    <mergeCell ref="B622:B629"/>
    <mergeCell ref="B630:B634"/>
    <mergeCell ref="B635:B638"/>
    <mergeCell ref="B639:C639"/>
    <mergeCell ref="B640:C640"/>
    <mergeCell ref="A641:A659"/>
    <mergeCell ref="B641:B648"/>
    <mergeCell ref="B649:B653"/>
    <mergeCell ref="B654:B657"/>
    <mergeCell ref="B658:C658"/>
    <mergeCell ref="B659:C659"/>
    <mergeCell ref="A698:A716"/>
    <mergeCell ref="B698:B705"/>
    <mergeCell ref="B706:B710"/>
    <mergeCell ref="B711:B714"/>
    <mergeCell ref="B715:C715"/>
    <mergeCell ref="B716:C716"/>
    <mergeCell ref="A660:A678"/>
    <mergeCell ref="B660:B667"/>
    <mergeCell ref="B668:B672"/>
    <mergeCell ref="B673:B676"/>
    <mergeCell ref="B677:C677"/>
    <mergeCell ref="B678:C678"/>
    <mergeCell ref="A565:A583"/>
    <mergeCell ref="B565:B572"/>
    <mergeCell ref="B573:B577"/>
    <mergeCell ref="B578:B581"/>
    <mergeCell ref="B582:C582"/>
    <mergeCell ref="B583:C583"/>
    <mergeCell ref="A584:A602"/>
    <mergeCell ref="B584:B591"/>
    <mergeCell ref="B592:B596"/>
    <mergeCell ref="B597:B600"/>
    <mergeCell ref="B601:C601"/>
    <mergeCell ref="B602:C602"/>
    <mergeCell ref="A603:A621"/>
    <mergeCell ref="B603:B610"/>
    <mergeCell ref="B611:B615"/>
    <mergeCell ref="B616:B619"/>
    <mergeCell ref="B620:C620"/>
    <mergeCell ref="B621:C621"/>
    <mergeCell ref="A508:A526"/>
    <mergeCell ref="B508:B515"/>
    <mergeCell ref="B516:B520"/>
    <mergeCell ref="B521:B524"/>
    <mergeCell ref="B525:C525"/>
    <mergeCell ref="B526:C526"/>
    <mergeCell ref="A527:A545"/>
    <mergeCell ref="B527:B534"/>
    <mergeCell ref="B535:B539"/>
    <mergeCell ref="B540:B543"/>
    <mergeCell ref="B544:C544"/>
    <mergeCell ref="B545:C545"/>
    <mergeCell ref="A546:A564"/>
    <mergeCell ref="B546:B553"/>
    <mergeCell ref="B554:B558"/>
    <mergeCell ref="B559:B562"/>
    <mergeCell ref="B563:C563"/>
    <mergeCell ref="B564:C564"/>
    <mergeCell ref="A451:A469"/>
    <mergeCell ref="B451:B458"/>
    <mergeCell ref="B459:B463"/>
    <mergeCell ref="B464:B467"/>
    <mergeCell ref="B468:C468"/>
    <mergeCell ref="B469:C469"/>
    <mergeCell ref="A470:A488"/>
    <mergeCell ref="B470:B477"/>
    <mergeCell ref="B478:B482"/>
    <mergeCell ref="B483:B486"/>
    <mergeCell ref="B487:C487"/>
    <mergeCell ref="B488:C488"/>
    <mergeCell ref="A489:A507"/>
    <mergeCell ref="B489:B496"/>
    <mergeCell ref="B497:B501"/>
    <mergeCell ref="B502:B505"/>
    <mergeCell ref="B506:C506"/>
    <mergeCell ref="B507:C507"/>
    <mergeCell ref="A394:A412"/>
    <mergeCell ref="B394:B401"/>
    <mergeCell ref="B402:B406"/>
    <mergeCell ref="B407:B410"/>
    <mergeCell ref="B411:C411"/>
    <mergeCell ref="B412:C412"/>
    <mergeCell ref="A413:A431"/>
    <mergeCell ref="B413:B420"/>
    <mergeCell ref="B421:B425"/>
    <mergeCell ref="B426:B429"/>
    <mergeCell ref="B430:C430"/>
    <mergeCell ref="B431:C431"/>
    <mergeCell ref="A432:A450"/>
    <mergeCell ref="B432:B439"/>
    <mergeCell ref="B440:B444"/>
    <mergeCell ref="B445:B448"/>
    <mergeCell ref="B449:C449"/>
    <mergeCell ref="B450:C450"/>
    <mergeCell ref="B65:B68"/>
    <mergeCell ref="A337:A355"/>
    <mergeCell ref="B337:B344"/>
    <mergeCell ref="B345:B349"/>
    <mergeCell ref="B350:B353"/>
    <mergeCell ref="B354:C354"/>
    <mergeCell ref="B355:C355"/>
    <mergeCell ref="A356:A374"/>
    <mergeCell ref="B356:B363"/>
    <mergeCell ref="B364:B368"/>
    <mergeCell ref="B369:B372"/>
    <mergeCell ref="B373:C373"/>
    <mergeCell ref="B374:C374"/>
    <mergeCell ref="A375:A393"/>
    <mergeCell ref="B375:B382"/>
    <mergeCell ref="B69:C69"/>
    <mergeCell ref="B3:C3"/>
    <mergeCell ref="A4:A13"/>
    <mergeCell ref="B5:B9"/>
    <mergeCell ref="B10:B12"/>
    <mergeCell ref="B13:C13"/>
    <mergeCell ref="A14:A32"/>
    <mergeCell ref="B14:B21"/>
    <mergeCell ref="B22:B26"/>
    <mergeCell ref="B27:B30"/>
    <mergeCell ref="B31:C31"/>
    <mergeCell ref="B32:C32"/>
    <mergeCell ref="B392:C392"/>
    <mergeCell ref="B393:C393"/>
    <mergeCell ref="A147:A165"/>
    <mergeCell ref="B147:B154"/>
    <mergeCell ref="B155:B159"/>
    <mergeCell ref="A3166:C3166"/>
    <mergeCell ref="A3167:C3167"/>
    <mergeCell ref="A3168:C3168"/>
    <mergeCell ref="A33:A51"/>
    <mergeCell ref="B33:B40"/>
    <mergeCell ref="B41:B45"/>
    <mergeCell ref="B46:B49"/>
    <mergeCell ref="B50:C50"/>
    <mergeCell ref="B51:C51"/>
    <mergeCell ref="A52:A70"/>
    <mergeCell ref="A3160:C3160"/>
    <mergeCell ref="A3161:C3161"/>
    <mergeCell ref="A3162:C3162"/>
    <mergeCell ref="A3163:C3163"/>
    <mergeCell ref="A3164:C3164"/>
    <mergeCell ref="A3165:C3165"/>
    <mergeCell ref="B383:B387"/>
    <mergeCell ref="B388:B391"/>
    <mergeCell ref="A90:A108"/>
    <mergeCell ref="B90:B97"/>
    <mergeCell ref="B98:B102"/>
    <mergeCell ref="B103:B106"/>
    <mergeCell ref="B107:C107"/>
    <mergeCell ref="B108:C108"/>
    <mergeCell ref="A1306:A1323"/>
    <mergeCell ref="B1306:B1312"/>
    <mergeCell ref="B1313:B1317"/>
    <mergeCell ref="B1318:B1321"/>
    <mergeCell ref="B1322:C1322"/>
    <mergeCell ref="B1323:C1323"/>
    <mergeCell ref="B52:B59"/>
    <mergeCell ref="B60:B64"/>
    <mergeCell ref="B160:B163"/>
    <mergeCell ref="B164:C164"/>
    <mergeCell ref="B165:C165"/>
    <mergeCell ref="B70:C70"/>
    <mergeCell ref="A71:A89"/>
    <mergeCell ref="B71:B78"/>
    <mergeCell ref="B79:B83"/>
    <mergeCell ref="B84:B87"/>
    <mergeCell ref="B88:C88"/>
    <mergeCell ref="B89:C89"/>
    <mergeCell ref="A128:A146"/>
    <mergeCell ref="B128:B135"/>
    <mergeCell ref="B136:B140"/>
    <mergeCell ref="B141:B144"/>
    <mergeCell ref="B145:C145"/>
    <mergeCell ref="B146:C146"/>
    <mergeCell ref="A109:A127"/>
    <mergeCell ref="B109:B116"/>
    <mergeCell ref="B117:B121"/>
    <mergeCell ref="B122:B125"/>
    <mergeCell ref="B126:C126"/>
    <mergeCell ref="B127:C127"/>
    <mergeCell ref="A204:A222"/>
    <mergeCell ref="B204:B211"/>
    <mergeCell ref="B212:B216"/>
    <mergeCell ref="B217:B220"/>
    <mergeCell ref="B221:C221"/>
    <mergeCell ref="B222:C222"/>
    <mergeCell ref="A185:A203"/>
    <mergeCell ref="B185:B192"/>
    <mergeCell ref="B193:B197"/>
    <mergeCell ref="B198:B201"/>
    <mergeCell ref="B202:C202"/>
    <mergeCell ref="B203:C203"/>
    <mergeCell ref="A166:A184"/>
    <mergeCell ref="B166:B173"/>
    <mergeCell ref="B174:B178"/>
    <mergeCell ref="B179:B182"/>
    <mergeCell ref="B183:C183"/>
    <mergeCell ref="B184:C184"/>
    <mergeCell ref="A261:A279"/>
    <mergeCell ref="B261:B268"/>
    <mergeCell ref="B269:B273"/>
    <mergeCell ref="B274:B277"/>
    <mergeCell ref="B278:C278"/>
    <mergeCell ref="B279:C279"/>
    <mergeCell ref="A242:A260"/>
    <mergeCell ref="B242:B249"/>
    <mergeCell ref="B250:B254"/>
    <mergeCell ref="B255:B258"/>
    <mergeCell ref="B259:C259"/>
    <mergeCell ref="B260:C260"/>
    <mergeCell ref="A223:A241"/>
    <mergeCell ref="B223:B230"/>
    <mergeCell ref="B231:B235"/>
    <mergeCell ref="B236:B239"/>
    <mergeCell ref="B240:C240"/>
    <mergeCell ref="B241:C241"/>
    <mergeCell ref="A318:A336"/>
    <mergeCell ref="B318:B325"/>
    <mergeCell ref="B326:B330"/>
    <mergeCell ref="B331:B334"/>
    <mergeCell ref="B335:C335"/>
    <mergeCell ref="B336:C336"/>
    <mergeCell ref="A299:A317"/>
    <mergeCell ref="B299:B306"/>
    <mergeCell ref="B307:B311"/>
    <mergeCell ref="B312:B315"/>
    <mergeCell ref="B316:C316"/>
    <mergeCell ref="B317:C317"/>
    <mergeCell ref="A280:A298"/>
    <mergeCell ref="B280:B287"/>
    <mergeCell ref="B288:B292"/>
    <mergeCell ref="B293:B296"/>
    <mergeCell ref="B297:C297"/>
    <mergeCell ref="B298:C298"/>
    <mergeCell ref="A1360:A1377"/>
    <mergeCell ref="B1360:B1366"/>
    <mergeCell ref="B1367:B1371"/>
    <mergeCell ref="B1372:B1375"/>
    <mergeCell ref="B1376:C1376"/>
    <mergeCell ref="B1377:C1377"/>
    <mergeCell ref="B1340:C1340"/>
    <mergeCell ref="B1341:C1341"/>
    <mergeCell ref="A1342:A1359"/>
    <mergeCell ref="B1342:B1348"/>
    <mergeCell ref="B1349:B1353"/>
    <mergeCell ref="B1354:B1357"/>
    <mergeCell ref="B1358:C1358"/>
    <mergeCell ref="B1359:C1359"/>
    <mergeCell ref="A1324:A1341"/>
    <mergeCell ref="B1324:B1330"/>
    <mergeCell ref="B1331:B1335"/>
    <mergeCell ref="B1336:B1339"/>
    <mergeCell ref="A1414:A1431"/>
    <mergeCell ref="B1414:B1420"/>
    <mergeCell ref="B1421:B1425"/>
    <mergeCell ref="B1426:B1429"/>
    <mergeCell ref="B1430:C1430"/>
    <mergeCell ref="B1431:C1431"/>
    <mergeCell ref="A1396:A1413"/>
    <mergeCell ref="B1396:B1402"/>
    <mergeCell ref="B1403:B1407"/>
    <mergeCell ref="B1408:B1411"/>
    <mergeCell ref="B1412:C1412"/>
    <mergeCell ref="B1413:C1413"/>
    <mergeCell ref="A1378:A1395"/>
    <mergeCell ref="B1378:B1384"/>
    <mergeCell ref="B1385:B1389"/>
    <mergeCell ref="B1390:B1393"/>
    <mergeCell ref="B1394:C1394"/>
    <mergeCell ref="B1395:C1395"/>
    <mergeCell ref="B1493:B1497"/>
    <mergeCell ref="B1498:B1501"/>
    <mergeCell ref="B1502:C1502"/>
    <mergeCell ref="B1503:C1503"/>
    <mergeCell ref="A1468:A1485"/>
    <mergeCell ref="B1468:B1474"/>
    <mergeCell ref="B1475:B1479"/>
    <mergeCell ref="B1480:B1483"/>
    <mergeCell ref="B1484:C1484"/>
    <mergeCell ref="B1485:C1485"/>
    <mergeCell ref="A1450:A1467"/>
    <mergeCell ref="B1450:B1456"/>
    <mergeCell ref="B1457:B1461"/>
    <mergeCell ref="B1462:B1465"/>
    <mergeCell ref="B1466:C1466"/>
    <mergeCell ref="B1467:C1467"/>
    <mergeCell ref="A1432:A1449"/>
    <mergeCell ref="B1432:B1438"/>
    <mergeCell ref="B1439:B1443"/>
    <mergeCell ref="B1444:B1447"/>
    <mergeCell ref="B1448:C1448"/>
    <mergeCell ref="B1449:C1449"/>
    <mergeCell ref="A755:A773"/>
    <mergeCell ref="B755:B762"/>
    <mergeCell ref="B763:B767"/>
    <mergeCell ref="B768:B771"/>
    <mergeCell ref="B772:C772"/>
    <mergeCell ref="B773:C773"/>
    <mergeCell ref="A774:A792"/>
    <mergeCell ref="B774:B781"/>
    <mergeCell ref="B782:B786"/>
    <mergeCell ref="B787:B790"/>
    <mergeCell ref="B791:C791"/>
    <mergeCell ref="B792:C792"/>
    <mergeCell ref="A1540:A1557"/>
    <mergeCell ref="B1540:B1546"/>
    <mergeCell ref="B1547:B1551"/>
    <mergeCell ref="B1552:B1555"/>
    <mergeCell ref="B1556:C1556"/>
    <mergeCell ref="B1557:C1557"/>
    <mergeCell ref="A1522:A1539"/>
    <mergeCell ref="B1522:B1528"/>
    <mergeCell ref="B1529:B1533"/>
    <mergeCell ref="B1534:B1537"/>
    <mergeCell ref="B1538:C1538"/>
    <mergeCell ref="B1539:C1539"/>
    <mergeCell ref="A1504:A1521"/>
    <mergeCell ref="B1504:B1510"/>
    <mergeCell ref="B1511:B1515"/>
    <mergeCell ref="B1516:B1519"/>
    <mergeCell ref="B1520:C1520"/>
    <mergeCell ref="B1521:C1521"/>
    <mergeCell ref="A1486:A1503"/>
    <mergeCell ref="B1486:B1492"/>
    <mergeCell ref="A831:A849"/>
    <mergeCell ref="B831:B838"/>
    <mergeCell ref="B839:B843"/>
    <mergeCell ref="B844:B847"/>
    <mergeCell ref="B848:C848"/>
    <mergeCell ref="B849:C849"/>
    <mergeCell ref="A850:A868"/>
    <mergeCell ref="B850:B857"/>
    <mergeCell ref="B858:B862"/>
    <mergeCell ref="B863:B866"/>
    <mergeCell ref="B867:C867"/>
    <mergeCell ref="B868:C868"/>
    <mergeCell ref="A793:A811"/>
    <mergeCell ref="B793:B800"/>
    <mergeCell ref="B801:B805"/>
    <mergeCell ref="B806:B809"/>
    <mergeCell ref="B810:C810"/>
    <mergeCell ref="B811:C811"/>
    <mergeCell ref="A812:A830"/>
    <mergeCell ref="B812:B819"/>
    <mergeCell ref="B820:B824"/>
    <mergeCell ref="B825:B828"/>
    <mergeCell ref="B829:C829"/>
    <mergeCell ref="B830:C830"/>
    <mergeCell ref="A907:A925"/>
    <mergeCell ref="B907:B914"/>
    <mergeCell ref="B915:B919"/>
    <mergeCell ref="B920:B923"/>
    <mergeCell ref="B924:C924"/>
    <mergeCell ref="B925:C925"/>
    <mergeCell ref="A926:A944"/>
    <mergeCell ref="B926:B933"/>
    <mergeCell ref="B934:B938"/>
    <mergeCell ref="B939:B942"/>
    <mergeCell ref="B943:C943"/>
    <mergeCell ref="B944:C944"/>
    <mergeCell ref="A869:A887"/>
    <mergeCell ref="B869:B876"/>
    <mergeCell ref="B877:B881"/>
    <mergeCell ref="B882:B885"/>
    <mergeCell ref="B886:C886"/>
    <mergeCell ref="B887:C887"/>
    <mergeCell ref="A888:A906"/>
    <mergeCell ref="B888:B895"/>
    <mergeCell ref="B896:B900"/>
    <mergeCell ref="B901:B904"/>
    <mergeCell ref="B905:C905"/>
    <mergeCell ref="B906:C906"/>
    <mergeCell ref="A983:A1001"/>
    <mergeCell ref="B983:B990"/>
    <mergeCell ref="B991:B995"/>
    <mergeCell ref="B996:B999"/>
    <mergeCell ref="B1000:C1000"/>
    <mergeCell ref="B1001:C1001"/>
    <mergeCell ref="A1002:A1020"/>
    <mergeCell ref="B1002:B1009"/>
    <mergeCell ref="B1010:B1014"/>
    <mergeCell ref="B1015:B1018"/>
    <mergeCell ref="B1019:C1019"/>
    <mergeCell ref="B1020:C1020"/>
    <mergeCell ref="A945:A963"/>
    <mergeCell ref="B945:B952"/>
    <mergeCell ref="B953:B957"/>
    <mergeCell ref="B958:B961"/>
    <mergeCell ref="B962:C962"/>
    <mergeCell ref="B963:C963"/>
    <mergeCell ref="A964:A982"/>
    <mergeCell ref="B964:B971"/>
    <mergeCell ref="B972:B976"/>
    <mergeCell ref="B977:B980"/>
    <mergeCell ref="B981:C981"/>
    <mergeCell ref="B982:C982"/>
    <mergeCell ref="A1059:A1077"/>
    <mergeCell ref="B1059:B1066"/>
    <mergeCell ref="B1067:B1071"/>
    <mergeCell ref="B1072:B1075"/>
    <mergeCell ref="B1076:C1076"/>
    <mergeCell ref="B1077:C1077"/>
    <mergeCell ref="A1078:A1096"/>
    <mergeCell ref="B1078:B1085"/>
    <mergeCell ref="B1086:B1090"/>
    <mergeCell ref="B1091:B1094"/>
    <mergeCell ref="B1095:C1095"/>
    <mergeCell ref="B1096:C1096"/>
    <mergeCell ref="A1021:A1039"/>
    <mergeCell ref="B1021:B1028"/>
    <mergeCell ref="B1029:B1033"/>
    <mergeCell ref="B1034:B1037"/>
    <mergeCell ref="B1038:C1038"/>
    <mergeCell ref="B1039:C1039"/>
    <mergeCell ref="A1040:A1058"/>
    <mergeCell ref="B1040:B1047"/>
    <mergeCell ref="B1048:B1052"/>
    <mergeCell ref="B1053:B1056"/>
    <mergeCell ref="B1057:C1057"/>
    <mergeCell ref="B1058:C1058"/>
    <mergeCell ref="A1135:A1153"/>
    <mergeCell ref="B1135:B1142"/>
    <mergeCell ref="B1143:B1147"/>
    <mergeCell ref="B1148:B1151"/>
    <mergeCell ref="B1152:C1152"/>
    <mergeCell ref="B1153:C1153"/>
    <mergeCell ref="A1154:A1172"/>
    <mergeCell ref="B1154:B1161"/>
    <mergeCell ref="B1162:B1166"/>
    <mergeCell ref="B1167:B1170"/>
    <mergeCell ref="B1171:C1171"/>
    <mergeCell ref="B1172:C1172"/>
    <mergeCell ref="A1097:A1115"/>
    <mergeCell ref="B1097:B1104"/>
    <mergeCell ref="B1105:B1109"/>
    <mergeCell ref="B1110:B1113"/>
    <mergeCell ref="B1114:C1114"/>
    <mergeCell ref="B1115:C1115"/>
    <mergeCell ref="A1116:A1134"/>
    <mergeCell ref="B1116:B1123"/>
    <mergeCell ref="B1124:B1128"/>
    <mergeCell ref="B1129:B1132"/>
    <mergeCell ref="B1133:C1133"/>
    <mergeCell ref="B1134:C1134"/>
    <mergeCell ref="A2566:A2583"/>
    <mergeCell ref="B2566:B2572"/>
    <mergeCell ref="B2573:B2577"/>
    <mergeCell ref="B2578:B2581"/>
    <mergeCell ref="B2582:C2582"/>
    <mergeCell ref="B2583:C2583"/>
    <mergeCell ref="A2530:A2547"/>
    <mergeCell ref="B2530:B2536"/>
    <mergeCell ref="B2537:B2541"/>
    <mergeCell ref="B2542:B2545"/>
    <mergeCell ref="B2546:C2546"/>
    <mergeCell ref="B2547:C2547"/>
    <mergeCell ref="A2548:A2565"/>
    <mergeCell ref="B2548:B2554"/>
    <mergeCell ref="B2555:B2559"/>
    <mergeCell ref="B2560:B2563"/>
    <mergeCell ref="B2564:C2564"/>
    <mergeCell ref="B2565:C2565"/>
    <mergeCell ref="A2620:A2637"/>
    <mergeCell ref="B2620:B2626"/>
    <mergeCell ref="B2627:B2631"/>
    <mergeCell ref="B2632:B2635"/>
    <mergeCell ref="B2636:C2636"/>
    <mergeCell ref="B2637:C2637"/>
    <mergeCell ref="A2638:A2655"/>
    <mergeCell ref="B2638:B2644"/>
    <mergeCell ref="B2645:B2649"/>
    <mergeCell ref="B2650:B2653"/>
    <mergeCell ref="B2654:C2654"/>
    <mergeCell ref="B2655:C2655"/>
    <mergeCell ref="A2584:A2601"/>
    <mergeCell ref="B2584:B2590"/>
    <mergeCell ref="B2591:B2595"/>
    <mergeCell ref="B2596:B2599"/>
    <mergeCell ref="B2600:C2600"/>
    <mergeCell ref="B2601:C2601"/>
    <mergeCell ref="A2602:A2619"/>
    <mergeCell ref="B2602:B2608"/>
    <mergeCell ref="B2609:B2613"/>
    <mergeCell ref="B2614:B2617"/>
    <mergeCell ref="B2618:C2618"/>
    <mergeCell ref="B2619:C2619"/>
    <mergeCell ref="A2692:A2709"/>
    <mergeCell ref="B2692:B2698"/>
    <mergeCell ref="B2699:B2703"/>
    <mergeCell ref="B2704:B2707"/>
    <mergeCell ref="B2708:C2708"/>
    <mergeCell ref="B2709:C2709"/>
    <mergeCell ref="A2710:A2727"/>
    <mergeCell ref="B2710:B2716"/>
    <mergeCell ref="B2717:B2721"/>
    <mergeCell ref="B2722:B2725"/>
    <mergeCell ref="B2726:C2726"/>
    <mergeCell ref="B2727:C2727"/>
    <mergeCell ref="A2656:A2673"/>
    <mergeCell ref="B2656:B2662"/>
    <mergeCell ref="B2663:B2667"/>
    <mergeCell ref="B2668:B2671"/>
    <mergeCell ref="B2672:C2672"/>
    <mergeCell ref="B2673:C2673"/>
    <mergeCell ref="A2674:A2691"/>
    <mergeCell ref="B2674:B2680"/>
    <mergeCell ref="B2681:B2685"/>
    <mergeCell ref="B2686:B2689"/>
    <mergeCell ref="B2690:C2690"/>
    <mergeCell ref="B2691:C2691"/>
    <mergeCell ref="A2764:A2781"/>
    <mergeCell ref="B2764:B2770"/>
    <mergeCell ref="B2771:B2775"/>
    <mergeCell ref="B2776:B2779"/>
    <mergeCell ref="B2780:C2780"/>
    <mergeCell ref="B2781:C2781"/>
    <mergeCell ref="A2782:A2799"/>
    <mergeCell ref="B2782:B2788"/>
    <mergeCell ref="B2789:B2793"/>
    <mergeCell ref="B2794:B2797"/>
    <mergeCell ref="B2798:C2798"/>
    <mergeCell ref="B2799:C2799"/>
    <mergeCell ref="A2728:A2745"/>
    <mergeCell ref="B2728:B2734"/>
    <mergeCell ref="B2735:B2739"/>
    <mergeCell ref="B2740:B2743"/>
    <mergeCell ref="B2744:C2744"/>
    <mergeCell ref="B2745:C2745"/>
    <mergeCell ref="A2746:A2763"/>
    <mergeCell ref="B2746:B2752"/>
    <mergeCell ref="B2753:B2757"/>
    <mergeCell ref="B2758:B2761"/>
    <mergeCell ref="B2762:C2762"/>
    <mergeCell ref="B2763:C2763"/>
    <mergeCell ref="A2836:A2853"/>
    <mergeCell ref="B2836:B2842"/>
    <mergeCell ref="B2843:B2847"/>
    <mergeCell ref="B2848:B2851"/>
    <mergeCell ref="B2852:C2852"/>
    <mergeCell ref="B2853:C2853"/>
    <mergeCell ref="A2854:A2871"/>
    <mergeCell ref="B2854:B2860"/>
    <mergeCell ref="B2861:B2865"/>
    <mergeCell ref="B2866:B2869"/>
    <mergeCell ref="B2870:C2870"/>
    <mergeCell ref="B2871:C2871"/>
    <mergeCell ref="A2800:A2817"/>
    <mergeCell ref="B2800:B2806"/>
    <mergeCell ref="B2807:B2811"/>
    <mergeCell ref="B2812:B2815"/>
    <mergeCell ref="B2816:C2816"/>
    <mergeCell ref="B2817:C2817"/>
    <mergeCell ref="A2818:A2835"/>
    <mergeCell ref="B2818:B2824"/>
    <mergeCell ref="B2825:B2829"/>
    <mergeCell ref="B2830:B2833"/>
    <mergeCell ref="B2834:C2834"/>
    <mergeCell ref="B2835:C2835"/>
    <mergeCell ref="A2908:A2925"/>
    <mergeCell ref="B2908:B2914"/>
    <mergeCell ref="B2915:B2919"/>
    <mergeCell ref="B2920:B2923"/>
    <mergeCell ref="B2924:C2924"/>
    <mergeCell ref="B2925:C2925"/>
    <mergeCell ref="A2926:A2943"/>
    <mergeCell ref="B2926:B2932"/>
    <mergeCell ref="B2933:B2937"/>
    <mergeCell ref="B2938:B2941"/>
    <mergeCell ref="B2942:C2942"/>
    <mergeCell ref="B2943:C2943"/>
    <mergeCell ref="A2872:A2889"/>
    <mergeCell ref="B2872:B2878"/>
    <mergeCell ref="B2879:B2883"/>
    <mergeCell ref="B2884:B2887"/>
    <mergeCell ref="B2888:C2888"/>
    <mergeCell ref="B2889:C2889"/>
    <mergeCell ref="A2890:A2907"/>
    <mergeCell ref="B2890:B2896"/>
    <mergeCell ref="B2897:B2901"/>
    <mergeCell ref="B2902:B2905"/>
    <mergeCell ref="B2906:C2906"/>
    <mergeCell ref="B2907:C2907"/>
    <mergeCell ref="A2980:A2997"/>
    <mergeCell ref="B2980:B2986"/>
    <mergeCell ref="B2987:B2991"/>
    <mergeCell ref="B2992:B2995"/>
    <mergeCell ref="B2996:C2996"/>
    <mergeCell ref="B2997:C2997"/>
    <mergeCell ref="A2998:A3015"/>
    <mergeCell ref="B2998:B3004"/>
    <mergeCell ref="B3005:B3009"/>
    <mergeCell ref="B3010:B3013"/>
    <mergeCell ref="B3014:C3014"/>
    <mergeCell ref="B3015:C3015"/>
    <mergeCell ref="A2944:A2961"/>
    <mergeCell ref="B2944:B2950"/>
    <mergeCell ref="B2951:B2955"/>
    <mergeCell ref="B2956:B2959"/>
    <mergeCell ref="B2960:C2960"/>
    <mergeCell ref="B2961:C2961"/>
    <mergeCell ref="A2962:A2979"/>
    <mergeCell ref="B2962:B2968"/>
    <mergeCell ref="B2969:B2973"/>
    <mergeCell ref="B2974:B2977"/>
    <mergeCell ref="B2978:C2978"/>
    <mergeCell ref="B2979:C2979"/>
    <mergeCell ref="A3052:A3069"/>
    <mergeCell ref="B3052:B3058"/>
    <mergeCell ref="B3059:B3063"/>
    <mergeCell ref="B3064:B3067"/>
    <mergeCell ref="B3068:C3068"/>
    <mergeCell ref="B3069:C3069"/>
    <mergeCell ref="A3070:A3087"/>
    <mergeCell ref="B3070:B3076"/>
    <mergeCell ref="B3077:B3081"/>
    <mergeCell ref="B3082:B3085"/>
    <mergeCell ref="B3086:C3086"/>
    <mergeCell ref="B3087:C3087"/>
    <mergeCell ref="A3016:A3033"/>
    <mergeCell ref="B3016:B3022"/>
    <mergeCell ref="B3023:B3027"/>
    <mergeCell ref="B3028:B3031"/>
    <mergeCell ref="B3032:C3032"/>
    <mergeCell ref="B3033:C3033"/>
    <mergeCell ref="A3034:A3051"/>
    <mergeCell ref="B3034:B3040"/>
    <mergeCell ref="B3041:B3045"/>
    <mergeCell ref="B3046:B3049"/>
    <mergeCell ref="B3050:C3050"/>
    <mergeCell ref="B3051:C3051"/>
    <mergeCell ref="A3124:A3141"/>
    <mergeCell ref="B3124:B3130"/>
    <mergeCell ref="B3131:B3135"/>
    <mergeCell ref="B3136:B3139"/>
    <mergeCell ref="B3140:C3140"/>
    <mergeCell ref="B3141:C3141"/>
    <mergeCell ref="A3142:A3159"/>
    <mergeCell ref="B3142:B3148"/>
    <mergeCell ref="B3149:B3153"/>
    <mergeCell ref="B3154:B3157"/>
    <mergeCell ref="B3158:C3158"/>
    <mergeCell ref="B3159:C3159"/>
    <mergeCell ref="A3088:A3105"/>
    <mergeCell ref="B3088:B3094"/>
    <mergeCell ref="B3095:B3099"/>
    <mergeCell ref="B3100:B3103"/>
    <mergeCell ref="B3104:C3104"/>
    <mergeCell ref="B3105:C3105"/>
    <mergeCell ref="A3106:A3123"/>
    <mergeCell ref="B3106:B3112"/>
    <mergeCell ref="B3113:B3117"/>
    <mergeCell ref="B3118:B3121"/>
    <mergeCell ref="B3122:C3122"/>
    <mergeCell ref="B3123:C3123"/>
    <mergeCell ref="A1211:A1229"/>
    <mergeCell ref="B1211:B1218"/>
    <mergeCell ref="B1219:B1223"/>
    <mergeCell ref="B1224:B1227"/>
    <mergeCell ref="B1228:C1228"/>
    <mergeCell ref="B1229:C1229"/>
    <mergeCell ref="A1230:A1248"/>
    <mergeCell ref="B1230:B1237"/>
    <mergeCell ref="B1238:B1242"/>
    <mergeCell ref="B1243:B1246"/>
    <mergeCell ref="B1247:C1247"/>
    <mergeCell ref="B1248:C1248"/>
    <mergeCell ref="A1173:A1191"/>
    <mergeCell ref="B1173:B1180"/>
    <mergeCell ref="B1181:B1185"/>
    <mergeCell ref="B1186:B1189"/>
    <mergeCell ref="B1190:C1190"/>
    <mergeCell ref="B1191:C1191"/>
    <mergeCell ref="A1192:A1210"/>
    <mergeCell ref="B1192:B1199"/>
    <mergeCell ref="B1200:B1204"/>
    <mergeCell ref="B1205:B1208"/>
    <mergeCell ref="B1209:C1209"/>
    <mergeCell ref="B1210:C1210"/>
    <mergeCell ref="A1287:A1305"/>
    <mergeCell ref="B1287:B1294"/>
    <mergeCell ref="B1295:B1299"/>
    <mergeCell ref="B1300:B1303"/>
    <mergeCell ref="B1304:C1304"/>
    <mergeCell ref="B1305:C1305"/>
    <mergeCell ref="A1249:A1267"/>
    <mergeCell ref="B1249:B1256"/>
    <mergeCell ref="B1257:B1261"/>
    <mergeCell ref="B1262:B1265"/>
    <mergeCell ref="B1266:C1266"/>
    <mergeCell ref="B1267:C1267"/>
    <mergeCell ref="A1268:A1286"/>
    <mergeCell ref="B1268:B1275"/>
    <mergeCell ref="B1276:B1280"/>
    <mergeCell ref="B1281:B1284"/>
    <mergeCell ref="B1285:C1285"/>
    <mergeCell ref="B1286:C1286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■2017年度　社員給与詳細 (雛形)</vt:lpstr>
      <vt:lpstr>■2017年度　社員給与詳細 (ED)</vt:lpstr>
      <vt:lpstr>■振込額一覧</vt:lpstr>
      <vt:lpstr>■振込額一覧 (2)</vt:lpstr>
      <vt:lpstr>Data</vt:lpstr>
      <vt:lpstr>■2017年度　社員給与詳細 (ED) (2)</vt:lpstr>
      <vt:lpstr>'■2017年度　社員給与詳細 (ED)'!Print_Area</vt:lpstr>
      <vt:lpstr>'■2017年度　社員給与詳細 (ED) (2)'!Print_Area</vt:lpstr>
      <vt:lpstr>'■2017年度　社員給与詳細 (雛形)'!Print_Area</vt:lpstr>
      <vt:lpstr>'■2017年度　社員給与詳細 (ED)'!Print_Titles</vt:lpstr>
      <vt:lpstr>'■2017年度　社員給与詳細 (ED) (2)'!Print_Titles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2017-07-14T07:42:00Z</dcterms:modified>
</cp:coreProperties>
</file>