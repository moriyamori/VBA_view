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2"/>
  </bookViews>
  <sheets>
    <sheet name="■2017年度　社員給与詳細 (雛形)" sheetId="9" r:id="rId1"/>
    <sheet name="■2017年度　社員給与詳細" sheetId="13" r:id="rId2"/>
    <sheet name="■振込額一覧" sheetId="6" r:id="rId3"/>
    <sheet name="Data" sheetId="12" r:id="rId4"/>
  </sheets>
  <definedNames>
    <definedName name="_xlnm.Print_Area" localSheetId="1">'■2017年度　社員給与詳細'!$A$1:$P$41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D16" i="6"/>
  <c r="E16"/>
  <c r="F16"/>
  <c r="G16"/>
  <c r="H16"/>
  <c r="I16"/>
  <c r="J16"/>
  <c r="K16"/>
  <c r="L16"/>
  <c r="M16"/>
  <c r="N16"/>
  <c r="C16"/>
  <c r="D17"/>
  <c r="E17"/>
  <c r="F17"/>
  <c r="G17"/>
  <c r="H17"/>
  <c r="I17"/>
  <c r="J17"/>
  <c r="K17"/>
  <c r="L17"/>
  <c r="M17"/>
  <c r="N17"/>
  <c r="C17"/>
  <c r="F23"/>
  <c r="D23"/>
  <c r="D44" i="13" l="1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P37"/>
  <c r="P36"/>
  <c r="Q35"/>
  <c r="Q34"/>
  <c r="Q33"/>
  <c r="Q32"/>
  <c r="Q31"/>
  <c r="Q30"/>
  <c r="Q29"/>
  <c r="Q28"/>
  <c r="Q27"/>
  <c r="Q26"/>
  <c r="Q25"/>
  <c r="Q24"/>
  <c r="Q23"/>
  <c r="O22"/>
  <c r="O37" s="1"/>
  <c r="N22"/>
  <c r="N37" s="1"/>
  <c r="M22"/>
  <c r="M37" s="1"/>
  <c r="L22"/>
  <c r="L36" s="1"/>
  <c r="K22"/>
  <c r="K36" s="1"/>
  <c r="J22"/>
  <c r="J37" s="1"/>
  <c r="I22"/>
  <c r="I37" s="1"/>
  <c r="H22"/>
  <c r="H36" s="1"/>
  <c r="G22"/>
  <c r="G36" s="1"/>
  <c r="F22"/>
  <c r="F37" s="1"/>
  <c r="E22"/>
  <c r="E37" s="1"/>
  <c r="D22"/>
  <c r="D36" s="1"/>
  <c r="Q21"/>
  <c r="Q20"/>
  <c r="D24" i="6" l="1"/>
  <c r="D25" s="1"/>
  <c r="F36" i="12"/>
  <c r="M36"/>
  <c r="J36"/>
  <c r="N36"/>
  <c r="E36"/>
  <c r="I36"/>
  <c r="Q18"/>
  <c r="Q19"/>
  <c r="G37"/>
  <c r="K37"/>
  <c r="O36"/>
  <c r="Q22"/>
  <c r="D37"/>
  <c r="H37"/>
  <c r="L37"/>
  <c r="E24" i="6" l="1"/>
  <c r="F24"/>
  <c r="F25" s="1"/>
  <c r="C24"/>
  <c r="E23"/>
  <c r="Q36" i="12"/>
  <c r="Q37"/>
  <c r="C23" i="6" l="1"/>
  <c r="C25" s="1"/>
  <c r="E25"/>
  <c r="G11"/>
  <c r="Q30" i="13"/>
  <c r="Q4"/>
  <c r="Q4" i="9"/>
  <c r="C15" i="6"/>
  <c r="B8"/>
  <c r="B7"/>
  <c r="K15"/>
  <c r="N15"/>
  <c r="D15"/>
  <c r="C18" l="1"/>
  <c r="J41" i="13" l="1"/>
  <c r="J40"/>
  <c r="J39"/>
  <c r="J38"/>
  <c r="J37"/>
  <c r="J36"/>
  <c r="O44"/>
  <c r="E44" l="1"/>
  <c r="D41"/>
  <c r="D36"/>
  <c r="E32"/>
  <c r="F44"/>
  <c r="D31"/>
  <c r="D32"/>
  <c r="D63" i="9"/>
  <c r="D52"/>
  <c r="E41" i="13" l="1"/>
  <c r="F41"/>
  <c r="G41"/>
  <c r="H41"/>
  <c r="I41"/>
  <c r="K41"/>
  <c r="L41"/>
  <c r="M41"/>
  <c r="N41"/>
  <c r="O41"/>
  <c r="P41"/>
  <c r="Q41" s="1"/>
  <c r="E40"/>
  <c r="F40"/>
  <c r="G40"/>
  <c r="H40"/>
  <c r="I40"/>
  <c r="K40"/>
  <c r="L40"/>
  <c r="M40"/>
  <c r="N40"/>
  <c r="O40"/>
  <c r="P40"/>
  <c r="E39"/>
  <c r="F39"/>
  <c r="G39"/>
  <c r="H39"/>
  <c r="I39"/>
  <c r="K39"/>
  <c r="L39"/>
  <c r="M39"/>
  <c r="N39"/>
  <c r="O39"/>
  <c r="P39"/>
  <c r="E38"/>
  <c r="F38"/>
  <c r="G38"/>
  <c r="H38"/>
  <c r="I38"/>
  <c r="K38"/>
  <c r="L38"/>
  <c r="M38"/>
  <c r="N38"/>
  <c r="O38"/>
  <c r="P38"/>
  <c r="E37"/>
  <c r="F37"/>
  <c r="G37"/>
  <c r="H37"/>
  <c r="I37"/>
  <c r="K37"/>
  <c r="L37"/>
  <c r="M37"/>
  <c r="N37"/>
  <c r="O37"/>
  <c r="P37"/>
  <c r="E36"/>
  <c r="F36"/>
  <c r="G36"/>
  <c r="H36"/>
  <c r="I36"/>
  <c r="K36"/>
  <c r="L36"/>
  <c r="M36"/>
  <c r="N36"/>
  <c r="O36"/>
  <c r="P36"/>
  <c r="P34"/>
  <c r="Q34" s="1"/>
  <c r="D40"/>
  <c r="D39"/>
  <c r="D38"/>
  <c r="D37"/>
  <c r="P33"/>
  <c r="Q33" s="1"/>
  <c r="E33"/>
  <c r="F33"/>
  <c r="G33"/>
  <c r="H33"/>
  <c r="I33"/>
  <c r="K33"/>
  <c r="L33"/>
  <c r="M33"/>
  <c r="N33"/>
  <c r="O33"/>
  <c r="Q14"/>
  <c r="D45" l="1"/>
  <c r="D34"/>
  <c r="D33"/>
  <c r="N44"/>
  <c r="M44"/>
  <c r="L44"/>
  <c r="K44"/>
  <c r="J44"/>
  <c r="I44"/>
  <c r="H44"/>
  <c r="G44"/>
  <c r="Q40"/>
  <c r="Q39"/>
  <c r="Q38"/>
  <c r="Q37"/>
  <c r="Q36"/>
  <c r="O34"/>
  <c r="N34"/>
  <c r="M34"/>
  <c r="L34"/>
  <c r="I34"/>
  <c r="H34"/>
  <c r="G34"/>
  <c r="E34"/>
  <c r="P32"/>
  <c r="P35" s="1"/>
  <c r="O32"/>
  <c r="N32"/>
  <c r="M32"/>
  <c r="L32"/>
  <c r="K32"/>
  <c r="J32"/>
  <c r="I32"/>
  <c r="H32"/>
  <c r="G32"/>
  <c r="F32"/>
  <c r="P31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O16" i="6" l="1"/>
  <c r="F34" i="13"/>
  <c r="F45"/>
  <c r="J33"/>
  <c r="J34"/>
  <c r="O35"/>
  <c r="Q32"/>
  <c r="Q8" i="6" s="1"/>
  <c r="K35" i="13"/>
  <c r="K34"/>
  <c r="D35"/>
  <c r="I35"/>
  <c r="O45"/>
  <c r="H35"/>
  <c r="G45"/>
  <c r="G35"/>
  <c r="M35"/>
  <c r="L35"/>
  <c r="Q31"/>
  <c r="K45"/>
  <c r="E35"/>
  <c r="J45"/>
  <c r="Q13"/>
  <c r="Q7" i="6" s="1"/>
  <c r="E45" i="13"/>
  <c r="I45"/>
  <c r="M45"/>
  <c r="N45"/>
  <c r="H45"/>
  <c r="L45"/>
  <c r="F35"/>
  <c r="J35"/>
  <c r="N35"/>
  <c r="Q35" l="1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5" i="6" l="1"/>
  <c r="J15" l="1"/>
  <c r="L15"/>
  <c r="I15"/>
  <c r="H15"/>
  <c r="F15"/>
  <c r="G15"/>
  <c r="E15"/>
  <c r="O15" l="1"/>
  <c r="O17"/>
  <c r="L18"/>
  <c r="O8"/>
  <c r="O7"/>
  <c r="I18" l="1"/>
  <c r="F18"/>
  <c r="K18"/>
  <c r="N18"/>
  <c r="J18"/>
  <c r="D18"/>
  <c r="G18"/>
  <c r="E18"/>
  <c r="M18"/>
  <c r="H18" l="1"/>
  <c r="O18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<sst xmlns="http://schemas.openxmlformats.org/spreadsheetml/2006/main" count="257" uniqueCount="96">
  <si>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</si>
  <si>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</si>
  <si>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</si>
  <si>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</si>
  <si>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</si>
  <si>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</si>
  <si>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</si>
  <si>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</si>
  <si>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</si>
  <si>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</si>
  <si>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</si>
  <si>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</si>
  <si>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</si>
  <si>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</si>
  <si>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</si>
  <si>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</si>
  <si>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</si>
  <si>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</si>
  <si>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</si>
  <si>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</si>
  <si>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</si>
  <si>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</si>
  <si>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</si>
  <si>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</si>
  <si>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</si>
  <si>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</si>
  <si>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</si>
  <si>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</si>
  <si>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</si>
  <si>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</si>
  <si>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</si>
  <si>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</si>
  <si>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</si>
  <si>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</si>
  <si>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</si>
  <si>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</si>
  <si>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</si>
  <si>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</si>
  <si>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</si>
  <si>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</si>
  <si>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</si>
  <si>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</si>
  <si>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</si>
  <si>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</si>
  <si>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</si>
  <si>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</si>
  <si>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</si>
  <si>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</si>
  <si>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</si>
  <si>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</si>
  <si>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</si>
  <si>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</si>
  <si>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</si>
  <si>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</si>
  <si>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</si>
  <si>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</si>
  <si>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</si>
  <si>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</si>
  <si>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</si>
  <si>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</si>
  <si>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</si>
  <si>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</si>
  <si>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</si>
  <si>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</si>
  <si>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</si>
  <si>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</si>
  <si>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</si>
  <si>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</si>
  <si>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</si>
  <si>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</si>
  <si>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</si>
  <si>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</si>
  <si>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</si>
  <si>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</si>
  <si>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</si>
  <si>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</si>
  <si>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</si>
  <si>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</si>
  <si>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</si>
  <si>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</si>
  <si>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</si>
  <si>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</si>
  <si>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</si>
  <si>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</si>
  <si>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</si>
  <si>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</si>
  <si>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</si>
  <si>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</si>
  <si>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</si>
  <si>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</si>
  <si>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</si>
  <si>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</si>
  <si>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</si>
  <si>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</si>
  <si>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</si>
  <si>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>iii</t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</si>
</sst>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64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3" fillId="9" borderId="0" xfId="0" applyFont="1" applyFill="1"/>
    <xf numFmtId="0" fontId="14" fillId="9" borderId="0" xfId="0" applyFont="1" applyFill="1"/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/>
    </xf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/>
    </xf>
    <xf numFmtId="0" fontId="10" fillId="5" borderId="0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30" t="s">
        <v>1</v>
      </c>
      <c r="C3" s="131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32" t="s">
        <v>83</v>
      </c>
      <c r="B4" s="111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33"/>
      <c r="B5" s="135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2" si="0">SUM(D5:P5)</f>
        <v>0</v>
      </c>
    </row>
    <row r="6" spans="1:17">
      <c r="A6" s="133"/>
      <c r="B6" s="135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33"/>
      <c r="B7" s="135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33"/>
      <c r="B8" s="135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33"/>
      <c r="B9" s="135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33"/>
      <c r="B10" s="136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33"/>
      <c r="B11" s="137"/>
      <c r="C11" s="99" t="s">
        <v>71</v>
      </c>
      <c r="D11" s="89"/>
      <c r="E11" s="107"/>
      <c r="F11" s="98"/>
      <c r="G11" s="98"/>
      <c r="H11" s="98"/>
      <c r="I11" s="98"/>
      <c r="J11" s="98"/>
      <c r="K11" s="98"/>
      <c r="L11" s="98"/>
      <c r="M11" s="88"/>
      <c r="N11" s="88"/>
      <c r="O11" s="17"/>
      <c r="P11" s="29"/>
      <c r="Q11" s="20">
        <f t="shared" si="0"/>
        <v>0</v>
      </c>
    </row>
    <row r="12" spans="1:17">
      <c r="A12" s="133"/>
      <c r="B12" s="138"/>
      <c r="C12" s="99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34"/>
      <c r="B13" s="139" t="s">
        <v>5</v>
      </c>
      <c r="C13" s="14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32"/>
      <c r="B14" s="150" t="s">
        <v>12</v>
      </c>
      <c r="C14" s="7" t="s">
        <v>8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 t="shared" si="0"/>
        <v>0</v>
      </c>
    </row>
    <row r="15" spans="1:17">
      <c r="A15" s="133"/>
      <c r="B15" s="146"/>
      <c r="C15" s="3" t="s">
        <v>14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33"/>
      <c r="B16" s="135"/>
      <c r="C16" s="8" t="s">
        <v>9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33"/>
      <c r="B17" s="135"/>
      <c r="C17" s="6" t="s">
        <v>52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33"/>
      <c r="B18" s="135"/>
      <c r="C18" s="6" t="s">
        <v>16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33"/>
      <c r="B19" s="135"/>
      <c r="C19" s="6" t="s">
        <v>38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33"/>
      <c r="B20" s="135"/>
      <c r="C20" s="8" t="s">
        <v>15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33"/>
      <c r="B21" s="135"/>
      <c r="C21" s="15" t="s">
        <v>42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33"/>
      <c r="B22" s="135" t="s">
        <v>11</v>
      </c>
      <c r="C22" s="5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33"/>
      <c r="B23" s="135"/>
      <c r="C23" s="6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33"/>
      <c r="B24" s="135"/>
      <c r="C24" s="6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33"/>
      <c r="B25" s="135"/>
      <c r="C25" s="6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33"/>
      <c r="B26" s="135"/>
      <c r="C26" s="4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33"/>
      <c r="B27" s="135" t="s">
        <v>13</v>
      </c>
      <c r="C27" s="5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33"/>
      <c r="B28" s="135"/>
      <c r="C28" s="8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33"/>
      <c r="B29" s="135"/>
      <c r="C29" s="8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33"/>
      <c r="B30" s="135"/>
      <c r="C30" s="61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 t="shared" si="0"/>
        <v>0</v>
      </c>
    </row>
    <row r="31" spans="1:17">
      <c r="A31" s="133"/>
      <c r="B31" s="148" t="s">
        <v>54</v>
      </c>
      <c r="C31" s="14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34"/>
      <c r="B32" s="139" t="s">
        <v>5</v>
      </c>
      <c r="C32" s="14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41"/>
      <c r="B33" s="144" t="s">
        <v>12</v>
      </c>
      <c r="C33" s="112" t="s">
        <v>84</v>
      </c>
      <c r="D33" s="87">
        <v>950</v>
      </c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30"/>
      <c r="Q33" s="19">
        <f t="shared" ref="Q33:Q51" si="4">SUM(D33:P33)</f>
        <v>950</v>
      </c>
    </row>
    <row r="34" spans="1:17">
      <c r="A34" s="142"/>
      <c r="B34" s="145"/>
      <c r="C34" s="113" t="s">
        <v>85</v>
      </c>
      <c r="D34" s="97">
        <v>10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28"/>
      <c r="Q34" s="20">
        <f t="shared" si="4"/>
        <v>10</v>
      </c>
    </row>
    <row r="35" spans="1:17">
      <c r="A35" s="142"/>
      <c r="B35" s="145"/>
      <c r="C35" s="114" t="s">
        <v>86</v>
      </c>
      <c r="D35" s="91">
        <f>D33*D34</f>
        <v>9500</v>
      </c>
      <c r="E35" s="91">
        <f>E33*E34</f>
        <v>0</v>
      </c>
      <c r="F35" s="91">
        <f>F33*F34</f>
        <v>0</v>
      </c>
      <c r="G35" s="91">
        <f>G33*G34</f>
        <v>0</v>
      </c>
      <c r="H35" s="91">
        <f>H33*H34</f>
        <v>0</v>
      </c>
      <c r="I35" s="91">
        <f t="shared" ref="I35:O35" si="5">I33*I34</f>
        <v>0</v>
      </c>
      <c r="J35" s="91">
        <f t="shared" si="5"/>
        <v>0</v>
      </c>
      <c r="K35" s="91">
        <f t="shared" si="5"/>
        <v>0</v>
      </c>
      <c r="L35" s="91">
        <f t="shared" si="5"/>
        <v>0</v>
      </c>
      <c r="M35" s="91">
        <f t="shared" si="5"/>
        <v>0</v>
      </c>
      <c r="N35" s="91">
        <f t="shared" si="5"/>
        <v>0</v>
      </c>
      <c r="O35" s="91">
        <f t="shared" si="5"/>
        <v>0</v>
      </c>
      <c r="P35" s="32"/>
      <c r="Q35" s="20">
        <f t="shared" si="4"/>
        <v>9500</v>
      </c>
    </row>
    <row r="36" spans="1:17">
      <c r="A36" s="142"/>
      <c r="B36" s="145"/>
      <c r="C36" s="115" t="s">
        <v>9</v>
      </c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32"/>
      <c r="Q36" s="20">
        <f t="shared" si="4"/>
        <v>0</v>
      </c>
    </row>
    <row r="37" spans="1:17">
      <c r="A37" s="142"/>
      <c r="B37" s="145"/>
      <c r="C37" s="115" t="s">
        <v>38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28"/>
      <c r="Q37" s="20">
        <f t="shared" si="4"/>
        <v>0</v>
      </c>
    </row>
    <row r="38" spans="1:17">
      <c r="A38" s="142"/>
      <c r="B38" s="145"/>
      <c r="C38" s="62" t="s">
        <v>38</v>
      </c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32"/>
      <c r="Q38" s="20">
        <f t="shared" si="4"/>
        <v>0</v>
      </c>
    </row>
    <row r="39" spans="1:17">
      <c r="A39" s="142"/>
      <c r="B39" s="145"/>
      <c r="C39" s="63" t="s">
        <v>15</v>
      </c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32"/>
      <c r="Q39" s="20">
        <f t="shared" si="4"/>
        <v>0</v>
      </c>
    </row>
    <row r="40" spans="1:17">
      <c r="A40" s="142"/>
      <c r="B40" s="146"/>
      <c r="C40" s="6" t="s">
        <v>42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33"/>
      <c r="Q40" s="22">
        <f t="shared" si="4"/>
        <v>0</v>
      </c>
    </row>
    <row r="41" spans="1:17">
      <c r="A41" s="142"/>
      <c r="B41" s="147" t="s">
        <v>11</v>
      </c>
      <c r="C41" s="5" t="s">
        <v>7</v>
      </c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27"/>
      <c r="Q41" s="21">
        <f t="shared" si="4"/>
        <v>0</v>
      </c>
    </row>
    <row r="42" spans="1:17">
      <c r="A42" s="142"/>
      <c r="B42" s="145"/>
      <c r="C42" s="6" t="s">
        <v>4</v>
      </c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32"/>
      <c r="Q42" s="20">
        <f t="shared" si="4"/>
        <v>0</v>
      </c>
    </row>
    <row r="43" spans="1:17">
      <c r="A43" s="142"/>
      <c r="B43" s="145"/>
      <c r="C43" s="6" t="s">
        <v>17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32"/>
      <c r="Q43" s="20">
        <f t="shared" si="4"/>
        <v>0</v>
      </c>
    </row>
    <row r="44" spans="1:17">
      <c r="A44" s="142"/>
      <c r="B44" s="145"/>
      <c r="C44" s="6" t="s">
        <v>18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32"/>
      <c r="Q44" s="20">
        <f t="shared" si="4"/>
        <v>0</v>
      </c>
    </row>
    <row r="45" spans="1:17">
      <c r="A45" s="142"/>
      <c r="B45" s="145"/>
      <c r="C45" s="6" t="s">
        <v>60</v>
      </c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32"/>
      <c r="Q45" s="20">
        <f t="shared" si="4"/>
        <v>0</v>
      </c>
    </row>
    <row r="46" spans="1:17">
      <c r="A46" s="142"/>
      <c r="B46" s="147" t="s">
        <v>13</v>
      </c>
      <c r="C46" s="5" t="s">
        <v>10</v>
      </c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27"/>
      <c r="Q46" s="21">
        <f t="shared" si="4"/>
        <v>0</v>
      </c>
    </row>
    <row r="47" spans="1:17">
      <c r="A47" s="142"/>
      <c r="B47" s="145"/>
      <c r="C47" s="8" t="s">
        <v>55</v>
      </c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28"/>
      <c r="Q47" s="20">
        <f t="shared" si="4"/>
        <v>0</v>
      </c>
    </row>
    <row r="48" spans="1:17">
      <c r="A48" s="142"/>
      <c r="B48" s="145"/>
      <c r="C48" s="8" t="s">
        <v>56</v>
      </c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28"/>
      <c r="Q48" s="20">
        <f t="shared" si="4"/>
        <v>0</v>
      </c>
    </row>
    <row r="49" spans="1:18">
      <c r="A49" s="142"/>
      <c r="B49" s="146"/>
      <c r="C49" s="4" t="s">
        <v>61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33"/>
      <c r="Q49" s="22">
        <f t="shared" si="4"/>
        <v>0</v>
      </c>
    </row>
    <row r="50" spans="1:18">
      <c r="A50" s="142"/>
      <c r="B50" s="148" t="s">
        <v>54</v>
      </c>
      <c r="C50" s="14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43"/>
      <c r="B51" s="139" t="s">
        <v>5</v>
      </c>
      <c r="C51" s="14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55" t="s">
        <v>40</v>
      </c>
      <c r="B52" s="156"/>
      <c r="C52" s="156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57" t="s">
        <v>41</v>
      </c>
      <c r="B53" s="158"/>
      <c r="C53" s="159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57" t="s">
        <v>31</v>
      </c>
      <c r="B54" s="158"/>
      <c r="C54" s="159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51" t="s">
        <v>20</v>
      </c>
      <c r="B55" s="152"/>
      <c r="C55" s="152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51" t="s">
        <v>43</v>
      </c>
      <c r="B56" s="152"/>
      <c r="C56" s="152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51" t="s">
        <v>53</v>
      </c>
      <c r="B57" s="152"/>
      <c r="C57" s="152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51" t="s">
        <v>22</v>
      </c>
      <c r="B58" s="152"/>
      <c r="C58" s="152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51" t="s">
        <v>21</v>
      </c>
      <c r="B59" s="152"/>
      <c r="C59" s="152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53" t="s">
        <v>57</v>
      </c>
      <c r="B60" s="154"/>
      <c r="C60" s="154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10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10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Q46"/>
  <sheetViews>
    <sheetView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33" sqref="A33:Q51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117" customHeight="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30" t="s">
        <v>1</v>
      </c>
      <c r="C3" s="131"/>
      <c r="D3" s="84" t="s">
        <v>44</v>
      </c>
      <c r="E3" s="84" t="s">
        <v>45</v>
      </c>
      <c r="F3" s="84" t="s">
        <v>46</v>
      </c>
      <c r="G3" s="84" t="s">
        <v>47</v>
      </c>
      <c r="H3" s="84" t="s">
        <v>48</v>
      </c>
      <c r="I3" s="84" t="s">
        <v>2</v>
      </c>
      <c r="J3" s="84" t="s">
        <v>3</v>
      </c>
      <c r="K3" s="85" t="s">
        <v>49</v>
      </c>
      <c r="L3" s="84" t="s">
        <v>50</v>
      </c>
      <c r="M3" s="84" t="s">
        <v>51</v>
      </c>
      <c r="N3" s="86" t="s">
        <v>59</v>
      </c>
      <c r="O3" s="41" t="s">
        <v>29</v>
      </c>
      <c r="P3" s="23" t="s">
        <v>68</v>
      </c>
    </row>
    <row r="4" spans="1:17">
      <c r="A4" s="132" t="s">
        <v>83</v>
      </c>
      <c r="B4" s="111" t="s">
        <v>12</v>
      </c>
      <c r="C4" s="3" t="s">
        <v>6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78"/>
      <c r="P4" s="30"/>
      <c r="Q4" s="19">
        <f>SUM(D4:P4)</f>
        <v>0</v>
      </c>
    </row>
    <row r="5" spans="1:17">
      <c r="A5" s="133"/>
      <c r="B5" s="135" t="s">
        <v>11</v>
      </c>
      <c r="C5" s="5" t="s">
        <v>7</v>
      </c>
      <c r="D5" s="94"/>
      <c r="E5" s="93"/>
      <c r="F5" s="94"/>
      <c r="G5" s="94"/>
      <c r="H5" s="94"/>
      <c r="I5" s="94"/>
      <c r="J5" s="94"/>
      <c r="K5" s="94"/>
      <c r="L5" s="94"/>
      <c r="M5" s="94"/>
      <c r="N5" s="94"/>
      <c r="O5" s="79"/>
      <c r="P5" s="27"/>
      <c r="Q5" s="20">
        <f t="shared" ref="Q5:Q31" si="0">SUM(D5:P5)</f>
        <v>0</v>
      </c>
    </row>
    <row r="6" spans="1:17">
      <c r="A6" s="133"/>
      <c r="B6" s="135"/>
      <c r="C6" s="15" t="s">
        <v>39</v>
      </c>
      <c r="D6" s="89"/>
      <c r="E6" s="90"/>
      <c r="F6" s="89"/>
      <c r="G6" s="89"/>
      <c r="H6" s="89"/>
      <c r="I6" s="89"/>
      <c r="J6" s="89"/>
      <c r="K6" s="89"/>
      <c r="L6" s="89"/>
      <c r="M6" s="89"/>
      <c r="N6" s="89"/>
      <c r="O6" s="17"/>
      <c r="P6" s="28"/>
      <c r="Q6" s="20">
        <f t="shared" si="0"/>
        <v>0</v>
      </c>
    </row>
    <row r="7" spans="1:17">
      <c r="A7" s="133"/>
      <c r="B7" s="135"/>
      <c r="C7" s="6" t="s">
        <v>17</v>
      </c>
      <c r="D7" s="89"/>
      <c r="E7" s="95"/>
      <c r="F7" s="91"/>
      <c r="G7" s="91"/>
      <c r="H7" s="91"/>
      <c r="I7" s="91"/>
      <c r="J7" s="91"/>
      <c r="K7" s="91"/>
      <c r="L7" s="89"/>
      <c r="M7" s="89"/>
      <c r="N7" s="89"/>
      <c r="O7" s="17"/>
      <c r="P7" s="28"/>
      <c r="Q7" s="20">
        <f t="shared" si="0"/>
        <v>0</v>
      </c>
    </row>
    <row r="8" spans="1:17">
      <c r="A8" s="133"/>
      <c r="B8" s="135"/>
      <c r="C8" s="6" t="s">
        <v>18</v>
      </c>
      <c r="D8" s="91"/>
      <c r="E8" s="95"/>
      <c r="F8" s="91"/>
      <c r="G8" s="91"/>
      <c r="H8" s="91"/>
      <c r="I8" s="91"/>
      <c r="J8" s="91"/>
      <c r="K8" s="91"/>
      <c r="L8" s="91"/>
      <c r="M8" s="91"/>
      <c r="N8" s="91"/>
      <c r="O8" s="80"/>
      <c r="P8" s="32"/>
      <c r="Q8" s="20">
        <f t="shared" si="0"/>
        <v>0</v>
      </c>
    </row>
    <row r="9" spans="1:17">
      <c r="A9" s="133"/>
      <c r="B9" s="135"/>
      <c r="C9" s="4" t="s">
        <v>19</v>
      </c>
      <c r="D9" s="92"/>
      <c r="E9" s="96"/>
      <c r="F9" s="92"/>
      <c r="G9" s="92"/>
      <c r="H9" s="92"/>
      <c r="I9" s="92"/>
      <c r="J9" s="92"/>
      <c r="K9" s="92"/>
      <c r="L9" s="92"/>
      <c r="M9" s="92"/>
      <c r="N9" s="92"/>
      <c r="O9" s="18"/>
      <c r="P9" s="33"/>
      <c r="Q9" s="22">
        <f t="shared" si="0"/>
        <v>0</v>
      </c>
    </row>
    <row r="10" spans="1:17">
      <c r="A10" s="133"/>
      <c r="B10" s="136" t="s">
        <v>30</v>
      </c>
      <c r="C10" s="5" t="s">
        <v>10</v>
      </c>
      <c r="D10" s="94"/>
      <c r="E10" s="93"/>
      <c r="F10" s="94"/>
      <c r="G10" s="94"/>
      <c r="H10" s="94"/>
      <c r="I10" s="94"/>
      <c r="J10" s="94"/>
      <c r="K10" s="94"/>
      <c r="L10" s="94"/>
      <c r="M10" s="94"/>
      <c r="N10" s="94"/>
      <c r="O10" s="79"/>
      <c r="P10" s="27"/>
      <c r="Q10" s="21">
        <f t="shared" si="0"/>
        <v>0</v>
      </c>
    </row>
    <row r="11" spans="1:17">
      <c r="A11" s="133"/>
      <c r="B11" s="137"/>
      <c r="C11" s="116" t="s">
        <v>71</v>
      </c>
      <c r="D11" s="89"/>
      <c r="E11" s="107"/>
      <c r="F11" s="98"/>
      <c r="G11" s="98"/>
      <c r="H11" s="98"/>
      <c r="I11" s="98"/>
      <c r="J11" s="98"/>
      <c r="K11" s="98"/>
      <c r="L11" s="98"/>
      <c r="M11" s="88"/>
      <c r="N11" s="88"/>
      <c r="O11" s="17"/>
      <c r="P11" s="29"/>
      <c r="Q11" s="20">
        <f t="shared" si="0"/>
        <v>0</v>
      </c>
    </row>
    <row r="12" spans="1:17">
      <c r="A12" s="133"/>
      <c r="B12" s="138"/>
      <c r="C12" s="99" t="s">
        <v>70</v>
      </c>
      <c r="D12" s="92"/>
      <c r="E12" s="96"/>
      <c r="F12" s="96"/>
      <c r="G12" s="96"/>
      <c r="H12" s="96"/>
      <c r="I12" s="92"/>
      <c r="J12" s="92"/>
      <c r="K12" s="92"/>
      <c r="L12" s="92"/>
      <c r="M12" s="89"/>
      <c r="N12" s="92"/>
      <c r="O12" s="18"/>
      <c r="P12" s="33"/>
      <c r="Q12" s="20">
        <f>SUM(D12:P12)</f>
        <v>0</v>
      </c>
    </row>
    <row r="13" spans="1:17" ht="14.25" thickBot="1">
      <c r="A13" s="134"/>
      <c r="B13" s="139" t="s">
        <v>5</v>
      </c>
      <c r="C13" s="14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60" t="s">
        <v>95</v>
      </c>
      <c r="B14" s="150" t="s">
        <v>12</v>
      </c>
      <c r="C14" s="112" t="s">
        <v>87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78"/>
      <c r="P14" s="30"/>
      <c r="Q14" s="19">
        <f>SUM(D14:P14)</f>
        <v>0</v>
      </c>
    </row>
    <row r="15" spans="1:17">
      <c r="A15" s="133"/>
      <c r="B15" s="146"/>
      <c r="C15" s="113" t="s">
        <v>89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1"/>
      <c r="P15" s="31"/>
      <c r="Q15" s="20">
        <f t="shared" si="0"/>
        <v>0</v>
      </c>
    </row>
    <row r="16" spans="1:17">
      <c r="A16" s="133"/>
      <c r="B16" s="135"/>
      <c r="C16" s="114" t="s">
        <v>88</v>
      </c>
      <c r="D16" s="89"/>
      <c r="E16" s="90"/>
      <c r="F16" s="90"/>
      <c r="G16" s="90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33"/>
      <c r="B17" s="135"/>
      <c r="C17" s="115" t="s">
        <v>90</v>
      </c>
      <c r="D17" s="91"/>
      <c r="E17" s="89"/>
      <c r="F17" s="89"/>
      <c r="G17" s="91"/>
      <c r="H17" s="91"/>
      <c r="I17" s="91"/>
      <c r="J17" s="91"/>
      <c r="K17" s="91"/>
      <c r="L17" s="91"/>
      <c r="M17" s="91"/>
      <c r="N17" s="91"/>
      <c r="O17" s="80"/>
      <c r="P17" s="32"/>
      <c r="Q17" s="20">
        <f t="shared" si="0"/>
        <v>0</v>
      </c>
    </row>
    <row r="18" spans="1:17">
      <c r="A18" s="133"/>
      <c r="B18" s="135"/>
      <c r="C18" s="115" t="s">
        <v>91</v>
      </c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80"/>
      <c r="P18" s="32"/>
      <c r="Q18" s="20">
        <f t="shared" si="0"/>
        <v>0</v>
      </c>
    </row>
    <row r="19" spans="1:17">
      <c r="A19" s="133"/>
      <c r="B19" s="135"/>
      <c r="C19" s="115" t="s">
        <v>92</v>
      </c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80"/>
      <c r="P19" s="32"/>
      <c r="Q19" s="20">
        <f t="shared" si="0"/>
        <v>0</v>
      </c>
    </row>
    <row r="20" spans="1:17">
      <c r="A20" s="133"/>
      <c r="B20" s="135"/>
      <c r="C20" s="114" t="s">
        <v>93</v>
      </c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80"/>
      <c r="P20" s="32"/>
      <c r="Q20" s="20">
        <f t="shared" si="0"/>
        <v>0</v>
      </c>
    </row>
    <row r="21" spans="1:17">
      <c r="A21" s="133"/>
      <c r="B21" s="135"/>
      <c r="C21" s="116" t="s">
        <v>94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18"/>
      <c r="P21" s="33"/>
      <c r="Q21" s="22">
        <f t="shared" si="0"/>
        <v>0</v>
      </c>
    </row>
    <row r="22" spans="1:17">
      <c r="A22" s="133"/>
      <c r="B22" s="135" t="s">
        <v>11</v>
      </c>
      <c r="C22" s="117" t="s">
        <v>7</v>
      </c>
      <c r="D22" s="93"/>
      <c r="E22" s="93"/>
      <c r="F22" s="93"/>
      <c r="G22" s="93"/>
      <c r="H22" s="93"/>
      <c r="I22" s="93"/>
      <c r="J22" s="93"/>
      <c r="K22" s="93"/>
      <c r="L22" s="94"/>
      <c r="M22" s="94"/>
      <c r="N22" s="94"/>
      <c r="O22" s="79"/>
      <c r="P22" s="27"/>
      <c r="Q22" s="21">
        <f t="shared" si="0"/>
        <v>0</v>
      </c>
    </row>
    <row r="23" spans="1:17">
      <c r="A23" s="133"/>
      <c r="B23" s="135"/>
      <c r="C23" s="115" t="s">
        <v>4</v>
      </c>
      <c r="D23" s="95"/>
      <c r="E23" s="95"/>
      <c r="F23" s="95"/>
      <c r="G23" s="95"/>
      <c r="H23" s="95"/>
      <c r="I23" s="95"/>
      <c r="J23" s="95"/>
      <c r="K23" s="95"/>
      <c r="L23" s="91"/>
      <c r="M23" s="91"/>
      <c r="N23" s="91"/>
      <c r="O23" s="80"/>
      <c r="P23" s="32"/>
      <c r="Q23" s="20">
        <f t="shared" si="0"/>
        <v>0</v>
      </c>
    </row>
    <row r="24" spans="1:17">
      <c r="A24" s="133"/>
      <c r="B24" s="135"/>
      <c r="C24" s="115" t="s">
        <v>17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80"/>
      <c r="P24" s="32"/>
      <c r="Q24" s="20">
        <f t="shared" si="0"/>
        <v>0</v>
      </c>
    </row>
    <row r="25" spans="1:17">
      <c r="A25" s="133"/>
      <c r="B25" s="135"/>
      <c r="C25" s="115" t="s">
        <v>18</v>
      </c>
      <c r="D25" s="90"/>
      <c r="E25" s="90"/>
      <c r="F25" s="90"/>
      <c r="G25" s="90"/>
      <c r="H25" s="91"/>
      <c r="I25" s="91"/>
      <c r="J25" s="91"/>
      <c r="K25" s="91"/>
      <c r="L25" s="91"/>
      <c r="M25" s="91"/>
      <c r="N25" s="91"/>
      <c r="O25" s="80"/>
      <c r="P25" s="32"/>
      <c r="Q25" s="20">
        <f t="shared" si="0"/>
        <v>0</v>
      </c>
    </row>
    <row r="26" spans="1:17">
      <c r="A26" s="133"/>
      <c r="B26" s="135"/>
      <c r="C26" s="118" t="s">
        <v>19</v>
      </c>
      <c r="D26" s="96"/>
      <c r="E26" s="96"/>
      <c r="F26" s="96"/>
      <c r="G26" s="96"/>
      <c r="H26" s="92"/>
      <c r="I26" s="92"/>
      <c r="J26" s="92"/>
      <c r="K26" s="92"/>
      <c r="L26" s="92"/>
      <c r="M26" s="92"/>
      <c r="N26" s="92"/>
      <c r="O26" s="18"/>
      <c r="P26" s="33"/>
      <c r="Q26" s="22">
        <f t="shared" si="0"/>
        <v>0</v>
      </c>
    </row>
    <row r="27" spans="1:17">
      <c r="A27" s="133"/>
      <c r="B27" s="135" t="s">
        <v>13</v>
      </c>
      <c r="C27" s="117" t="s">
        <v>10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79"/>
      <c r="P27" s="27"/>
      <c r="Q27" s="21">
        <f t="shared" si="0"/>
        <v>0</v>
      </c>
    </row>
    <row r="28" spans="1:17">
      <c r="A28" s="133"/>
      <c r="B28" s="135"/>
      <c r="C28" s="114" t="s">
        <v>55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17"/>
      <c r="P28" s="28"/>
      <c r="Q28" s="20">
        <f t="shared" si="0"/>
        <v>0</v>
      </c>
    </row>
    <row r="29" spans="1:17">
      <c r="A29" s="133"/>
      <c r="B29" s="135"/>
      <c r="C29" s="114" t="s">
        <v>56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17"/>
      <c r="P29" s="28"/>
      <c r="Q29" s="20">
        <f t="shared" si="0"/>
        <v>0</v>
      </c>
    </row>
    <row r="30" spans="1:17">
      <c r="A30" s="133"/>
      <c r="B30" s="135"/>
      <c r="C30" s="118" t="s">
        <v>61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18"/>
      <c r="P30" s="33"/>
      <c r="Q30" s="22">
        <f>SUM(D30:P30)</f>
        <v>0</v>
      </c>
    </row>
    <row r="31" spans="1:17">
      <c r="A31" s="133"/>
      <c r="B31" s="148" t="s">
        <v>54</v>
      </c>
      <c r="C31" s="14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34"/>
      <c r="B32" s="139" t="s">
        <v>5</v>
      </c>
      <c r="C32" s="140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55" t="s">
        <v>40</v>
      </c>
      <c r="B33" s="156"/>
      <c r="C33" s="156"/>
      <c r="D33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33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33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33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33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33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33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33" s="47">
        <f ca="1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33" s="47">
        <f ca="1">SUMIF($C:$C,"役員手当",L:L)
+SUMIF($C:$C,"基本給",L:L)
+SUMIF($C:$C,"役職手当",L:L)
+SUMIF($C:$C,"営業手当",L:L)
+SUMIF($C:$C,"管理手当",L:L)
+SUMIF($C:$C,"在宅手当",L:L)
+SUMIF($C:$C,"特別手当",L:L)
+SUMIF($C:$C,"扶養家族手当",L:L)
+SUMIF($C:$C,"調整金",L:L)
+SUMIF($C:$C,"特別手当",INDEX(L:L,2,1))</f>
        <v>0</v>
      </c>
      <c r="M33" s="47">
        <f ca="1">SUMIF($C:$C,"役員手当",M:M)
+SUMIF($C:$C,"基本給",M:M)
+SUMIF($C:$C,"役職手当",M:M)
+SUMIF($C:$C,"営業手当",M:M)
+SUMIF($C:$C,"管理手当",M:M)
+SUMIF($C:$C,"在宅手当",M:M)
+SUMIF($C:$C,"特別手当",M:M)
+SUMIF($C:$C,"扶養家族手当",M:M)
+SUMIF($C:$C,"調整金",M:M)
+SUMIF($C:$C,"特別手当",INDEX(M:M,2,1))</f>
        <v>0</v>
      </c>
      <c r="N33" s="47">
        <f ca="1">SUMIF($C:$C,"役員手当",N:N)
+SUMIF($C:$C,"基本給",N:N)
+SUMIF($C:$C,"役職手当",N:N)
+SUMIF($C:$C,"営業手当",N:N)
+SUMIF($C:$C,"管理手当",N:N)
+SUMIF($C:$C,"在宅手当",N:N)
+SUMIF($C:$C,"特別手当",N:N)
+SUMIF($C:$C,"扶養家族手当",N:N)
+SUMIF($C:$C,"調整金",N:N)
+SUMIF($C:$C,"特別手当",INDEX(N:N,2,1))</f>
        <v>0</v>
      </c>
      <c r="O33" s="47">
        <f ca="1">SUMIF($C:$C,"役員手当",O:O)
+SUMIF($C:$C,"基本給",O:O)
+SUMIF($C:$C,"役職手当",O:O)
+SUMIF($C:$C,"営業手当",O:O)
+SUMIF($C:$C,"管理手当",O:O)
+SUMIF($C:$C,"在宅手当",O:O)
+SUMIF($C:$C,"特別手当",O:O)
+SUMIF($C:$C,"扶養家族手当",O:O)
+SUMIF($C:$C,"調整金",O:O)
+SUMIF($C:$C,"特別手当",INDEX(O:O,2,1))</f>
        <v>0</v>
      </c>
      <c r="P33" s="47">
        <f ca="1">SUMIF($C:$C,"役員手当",P:P)
+SUMIF($C:$C,"基本給",P:P)
+SUMIF($C:$C,"役職手当",P:P)
+SUMIF($C:$C,"営業手当",P:P)
+SUMIF($C:$C,"管理手当",P:P)
+SUMIF($C:$C,"在宅手当",P:P)
+SUMIF($C:$C,"特別手当",P:P)
+SUMIF($C:$C,"扶養家族手当",P:P)
+SUMIF($C:$C,"調整金",P:P)
+SUMIF($C:$C,"特別手当",INDEX(P:P,2,1))</f>
        <v>0</v>
      </c>
      <c r="Q33" s="49">
        <f ca="1">SUM(P33:P33)</f>
        <v>0</v>
      </c>
    </row>
    <row r="34" spans="1:17">
      <c r="A34" s="157" t="s">
        <v>41</v>
      </c>
      <c r="B34" s="158"/>
      <c r="C34" s="159"/>
      <c r="D34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34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34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34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34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34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34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34" s="50">
        <f ca="1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34" s="50">
        <f ca="1">SUMIF($C:$C,"基本給",L:L)
+SUMIF($C:$C,"役職手当",L:L)
+SUMIF($C:$C,"営業手当",L:L)
+SUMIF($C:$C,"管理手当",L:L)
+SUMIF($C:$C,"在宅手当",L:L)
+SUMIF($C:$C,"特別手当",L:L)
+SUMIF($C:$C,"扶養家族手当",L:L)
+SUMIF($C:$C,"調整金",L:L)
+SUMIF($C:$C,"小計",L:L)
+SUMIF($C:$C,"特別手当",INDEX(L:L,2,1))</f>
        <v>0</v>
      </c>
      <c r="M34" s="50">
        <f ca="1">SUMIF($C:$C,"基本給",M:M)
+SUMIF($C:$C,"役職手当",M:M)
+SUMIF($C:$C,"営業手当",M:M)
+SUMIF($C:$C,"管理手当",M:M)
+SUMIF($C:$C,"在宅手当",M:M)
+SUMIF($C:$C,"特別手当",M:M)
+SUMIF($C:$C,"扶養家族手当",M:M)
+SUMIF($C:$C,"調整金",M:M)
+SUMIF($C:$C,"小計",M:M)
+SUMIF($C:$C,"特別手当",INDEX(M:M,2,1))</f>
        <v>0</v>
      </c>
      <c r="N34" s="50">
        <f ca="1">SUMIF($C:$C,"基本給",N:N)
+SUMIF($C:$C,"役職手当",N:N)
+SUMIF($C:$C,"営業手当",N:N)
+SUMIF($C:$C,"管理手当",N:N)
+SUMIF($C:$C,"在宅手当",N:N)
+SUMIF($C:$C,"特別手当",N:N)
+SUMIF($C:$C,"扶養家族手当",N:N)
+SUMIF($C:$C,"調整金",N:N)
+SUMIF($C:$C,"小計",N:N)
+SUMIF($C:$C,"特別手当",INDEX(N:N,2,1))</f>
        <v>0</v>
      </c>
      <c r="O34" s="50">
        <f ca="1">SUMIF($C:$C,"基本給",O:O)
+SUMIF($C:$C,"役職手当",O:O)
+SUMIF($C:$C,"営業手当",O:O)
+SUMIF($C:$C,"管理手当",O:O)
+SUMIF($C:$C,"在宅手当",O:O)
+SUMIF($C:$C,"特別手当",O:O)
+SUMIF($C:$C,"扶養家族手当",O:O)
+SUMIF($C:$C,"調整金",O:O)
+SUMIF($C:$C,"小計",O:O)
+SUMIF($C:$C,"特別手当",INDEX(O:O,2,1))</f>
        <v>0</v>
      </c>
      <c r="P34" s="50">
        <f ca="1">SUMIF($C:$C,"基本給",P:P)
+SUMIF($C:$C,"役職手当",P:P)
+SUMIF($C:$C,"営業手当",P:P)
+SUMIF($C:$C,"管理手当",P:P)
+SUMIF($C:$C,"在宅手当",P:P)
+SUMIF($C:$C,"特別手当",P:P)
+SUMIF($C:$C,"扶養家族手当",P:P)
+SUMIF($C:$C,"調整金",P:P)
+SUMIF($C:$C,"小計",P:P)
+SUMIF($C:$C,"特別手当",INDEX(P:P,2,1))</f>
        <v>0</v>
      </c>
      <c r="Q34" s="52">
        <f ca="1">SUM(P34:P34)</f>
        <v>0</v>
      </c>
    </row>
    <row r="35" spans="1:17">
      <c r="A35" s="157" t="s">
        <v>31</v>
      </c>
      <c r="B35" s="158"/>
      <c r="C35" s="159"/>
      <c r="D35" s="50">
        <f>SUMIF($B:$B,"計",D:D)</f>
        <v>0</v>
      </c>
      <c r="E35" s="50">
        <f>SUMIF($B:$B,"計",E:E)</f>
        <v>0</v>
      </c>
      <c r="F35" s="50">
        <f>SUMIF($B:$B,"計",F:F)</f>
        <v>0</v>
      </c>
      <c r="G35" s="50">
        <f>SUMIF($B:$B,"計",G:G)</f>
        <v>0</v>
      </c>
      <c r="H35" s="50">
        <f>SUMIF($B:$B,"計",H:H)</f>
        <v>0</v>
      </c>
      <c r="I35" s="50">
        <f>SUMIF($B:$B,"計",I:I)</f>
        <v>0</v>
      </c>
      <c r="J35" s="50">
        <f>SUMIF($B:$B,"計",J:J)</f>
        <v>0</v>
      </c>
      <c r="K35" s="50">
        <f>SUMIF($B:$B,"計",K:K)</f>
        <v>0</v>
      </c>
      <c r="L35" s="50">
        <f>SUMIF($B:$B,"計",L:L)</f>
        <v>0</v>
      </c>
      <c r="M35" s="50">
        <f>SUMIF($B:$B,"計",M:M)</f>
        <v>0</v>
      </c>
      <c r="N35" s="50">
        <f>SUMIF($B:$B,"計",N:N)</f>
        <v>0</v>
      </c>
      <c r="O35" s="50">
        <f>SUMIF($B:$B,"計",O:O)</f>
        <v>0</v>
      </c>
      <c r="P35" s="50">
        <f>SUMIF($B:$B,"計",P:P)</f>
        <v>0</v>
      </c>
      <c r="Q35" s="52">
        <f t="shared" ref="Q35:Q40" si="4">SUM(P35:P35)</f>
        <v>0</v>
      </c>
    </row>
    <row r="36" spans="1:17">
      <c r="A36" s="151" t="s">
        <v>20</v>
      </c>
      <c r="B36" s="152"/>
      <c r="C36" s="152"/>
      <c r="D36" s="53">
        <f>SUMIF($C:$C,"所得税",D:D)</f>
        <v>0</v>
      </c>
      <c r="E36" s="53">
        <f>SUMIF($C:$C,"所得税",E:E)</f>
        <v>0</v>
      </c>
      <c r="F36" s="53">
        <f>SUMIF($C:$C,"所得税",F:F)</f>
        <v>0</v>
      </c>
      <c r="G36" s="53">
        <f>SUMIF($C:$C,"所得税",G:G)</f>
        <v>0</v>
      </c>
      <c r="H36" s="53">
        <f>SUMIF($C:$C,"所得税",H:H)</f>
        <v>0</v>
      </c>
      <c r="I36" s="53">
        <f>SUMIF($C:$C,"所得税",I:I)</f>
        <v>0</v>
      </c>
      <c r="J36" s="53">
        <f>SUMIF($C:$C,"所得税",J:J)</f>
        <v>0</v>
      </c>
      <c r="K36" s="53">
        <f>SUMIF($C:$C,"所得税",K:K)</f>
        <v>0</v>
      </c>
      <c r="L36" s="53">
        <f>SUMIF($C:$C,"所得税",L:L)</f>
        <v>0</v>
      </c>
      <c r="M36" s="53">
        <f>SUMIF($C:$C,"所得税",M:M)</f>
        <v>0</v>
      </c>
      <c r="N36" s="53">
        <f>SUMIF($C:$C,"所得税",N:N)</f>
        <v>0</v>
      </c>
      <c r="O36" s="53">
        <f>SUMIF($C:$C,"所得税",O:O)</f>
        <v>0</v>
      </c>
      <c r="P36" s="53">
        <f>SUMIF($C:$C,"所得税",P:P)</f>
        <v>0</v>
      </c>
      <c r="Q36" s="52">
        <f t="shared" si="4"/>
        <v>0</v>
      </c>
    </row>
    <row r="37" spans="1:17">
      <c r="A37" s="151" t="s">
        <v>43</v>
      </c>
      <c r="B37" s="152"/>
      <c r="C37" s="152"/>
      <c r="D37" s="53">
        <f>SUMIF($C:$C,"住民税",D:D)</f>
        <v>0</v>
      </c>
      <c r="E37" s="53">
        <f>SUMIF($C:$C,"住民税",E:E)</f>
        <v>0</v>
      </c>
      <c r="F37" s="53">
        <f>SUMIF($C:$C,"住民税",F:F)</f>
        <v>0</v>
      </c>
      <c r="G37" s="53">
        <f>SUMIF($C:$C,"住民税",G:G)</f>
        <v>0</v>
      </c>
      <c r="H37" s="53">
        <f>SUMIF($C:$C,"住民税",H:H)</f>
        <v>0</v>
      </c>
      <c r="I37" s="53">
        <f>SUMIF($C:$C,"住民税",I:I)</f>
        <v>0</v>
      </c>
      <c r="J37" s="53">
        <f>SUMIF($C:$C,"住民税",J:J)</f>
        <v>0</v>
      </c>
      <c r="K37" s="53">
        <f>SUMIF($C:$C,"住民税",K:K)</f>
        <v>0</v>
      </c>
      <c r="L37" s="53">
        <f>SUMIF($C:$C,"住民税",L:L)</f>
        <v>0</v>
      </c>
      <c r="M37" s="53">
        <f>SUMIF($C:$C,"住民税",M:M)</f>
        <v>0</v>
      </c>
      <c r="N37" s="53">
        <f>SUMIF($C:$C,"住民税",N:N)</f>
        <v>0</v>
      </c>
      <c r="O37" s="53">
        <f>SUMIF($C:$C,"住民税",O:O)</f>
        <v>0</v>
      </c>
      <c r="P37" s="53">
        <f>SUMIF($C:$C,"住民税",P:P)</f>
        <v>0</v>
      </c>
      <c r="Q37" s="52">
        <f t="shared" si="4"/>
        <v>0</v>
      </c>
    </row>
    <row r="38" spans="1:17">
      <c r="A38" s="151" t="s">
        <v>53</v>
      </c>
      <c r="B38" s="152"/>
      <c r="C38" s="152"/>
      <c r="D38" s="53">
        <f>SUMIF($C:$C,"健康保険料",D:D)+SUMIF($C:$C,"厚生年金",D:D)</f>
        <v>0</v>
      </c>
      <c r="E38" s="53">
        <f>SUMIF($C:$C,"健康保険料",E:E)+SUMIF($C:$C,"厚生年金",E:E)</f>
        <v>0</v>
      </c>
      <c r="F38" s="53">
        <f>SUMIF($C:$C,"健康保険料",F:F)+SUMIF($C:$C,"厚生年金",F:F)</f>
        <v>0</v>
      </c>
      <c r="G38" s="53">
        <f>SUMIF($C:$C,"健康保険料",G:G)+SUMIF($C:$C,"厚生年金",G:G)</f>
        <v>0</v>
      </c>
      <c r="H38" s="53">
        <f>SUMIF($C:$C,"健康保険料",H:H)+SUMIF($C:$C,"厚生年金",H:H)</f>
        <v>0</v>
      </c>
      <c r="I38" s="53">
        <f>SUMIF($C:$C,"健康保険料",I:I)+SUMIF($C:$C,"厚生年金",I:I)</f>
        <v>0</v>
      </c>
      <c r="J38" s="53">
        <f>SUMIF($C:$C,"健康保険料",J:J)+SUMIF($C:$C,"厚生年金",J:J)</f>
        <v>0</v>
      </c>
      <c r="K38" s="53">
        <f>SUMIF($C:$C,"健康保険料",K:K)+SUMIF($C:$C,"厚生年金",K:K)</f>
        <v>0</v>
      </c>
      <c r="L38" s="53">
        <f>SUMIF($C:$C,"健康保険料",L:L)+SUMIF($C:$C,"厚生年金",L:L)</f>
        <v>0</v>
      </c>
      <c r="M38" s="53">
        <f>SUMIF($C:$C,"健康保険料",M:M)+SUMIF($C:$C,"厚生年金",M:M)</f>
        <v>0</v>
      </c>
      <c r="N38" s="53">
        <f>SUMIF($C:$C,"健康保険料",N:N)+SUMIF($C:$C,"厚生年金",N:N)</f>
        <v>0</v>
      </c>
      <c r="O38" s="53">
        <f>SUMIF($C:$C,"健康保険料",O:O)+SUMIF($C:$C,"厚生年金",O:O)</f>
        <v>0</v>
      </c>
      <c r="P38" s="53">
        <f>SUMIF($C:$C,"健康保険料",P:P)+SUMIF($C:$C,"厚生年金",P:P)</f>
        <v>0</v>
      </c>
      <c r="Q38" s="52">
        <f t="shared" si="4"/>
        <v>0</v>
      </c>
    </row>
    <row r="39" spans="1:17">
      <c r="A39" s="151" t="s">
        <v>22</v>
      </c>
      <c r="B39" s="152"/>
      <c r="C39" s="152"/>
      <c r="D39" s="53">
        <f>SUMIF($C:$C,"雇用保険",D:D)</f>
        <v>0</v>
      </c>
      <c r="E39" s="53">
        <f>SUMIF($C:$C,"雇用保険",E:E)</f>
        <v>0</v>
      </c>
      <c r="F39" s="53">
        <f>SUMIF($C:$C,"雇用保険",F:F)</f>
        <v>0</v>
      </c>
      <c r="G39" s="53">
        <f>SUMIF($C:$C,"雇用保険",G:G)</f>
        <v>0</v>
      </c>
      <c r="H39" s="53">
        <f>SUMIF($C:$C,"雇用保険",H:H)</f>
        <v>0</v>
      </c>
      <c r="I39" s="53">
        <f>SUMIF($C:$C,"雇用保険",I:I)</f>
        <v>0</v>
      </c>
      <c r="J39" s="53">
        <f>SUMIF($C:$C,"雇用保険",J:J)</f>
        <v>0</v>
      </c>
      <c r="K39" s="53">
        <f>SUMIF($C:$C,"雇用保険",K:K)</f>
        <v>0</v>
      </c>
      <c r="L39" s="53">
        <f>SUMIF($C:$C,"雇用保険",L:L)</f>
        <v>0</v>
      </c>
      <c r="M39" s="53">
        <f>SUMIF($C:$C,"雇用保険",M:M)</f>
        <v>0</v>
      </c>
      <c r="N39" s="53">
        <f>SUMIF($C:$C,"雇用保険",N:N)</f>
        <v>0</v>
      </c>
      <c r="O39" s="53">
        <f>SUMIF($C:$C,"雇用保険",O:O)</f>
        <v>0</v>
      </c>
      <c r="P39" s="53">
        <f>SUMIF($C:$C,"雇用保険",P:P)</f>
        <v>0</v>
      </c>
      <c r="Q39" s="52">
        <f t="shared" si="4"/>
        <v>0</v>
      </c>
    </row>
    <row r="40" spans="1:17">
      <c r="A40" s="151" t="s">
        <v>21</v>
      </c>
      <c r="B40" s="152"/>
      <c r="C40" s="152"/>
      <c r="D40" s="53">
        <f>SUMIF($C:$C,"交通費",D:D)</f>
        <v>0</v>
      </c>
      <c r="E40" s="53">
        <f>SUMIF($C:$C,"交通費",E:E)</f>
        <v>0</v>
      </c>
      <c r="F40" s="53">
        <f>SUMIF($C:$C,"交通費",F:F)</f>
        <v>0</v>
      </c>
      <c r="G40" s="53">
        <f>SUMIF($C:$C,"交通費",G:G)</f>
        <v>0</v>
      </c>
      <c r="H40" s="53">
        <f>SUMIF($C:$C,"交通費",H:H)</f>
        <v>0</v>
      </c>
      <c r="I40" s="53">
        <f>SUMIF($C:$C,"交通費",I:I)</f>
        <v>0</v>
      </c>
      <c r="J40" s="53">
        <f>SUMIF($C:$C,"交通費",J:J)</f>
        <v>0</v>
      </c>
      <c r="K40" s="53">
        <f>SUMIF($C:$C,"交通費",K:K)</f>
        <v>0</v>
      </c>
      <c r="L40" s="53">
        <f>SUMIF($C:$C,"交通費",L:L)</f>
        <v>0</v>
      </c>
      <c r="M40" s="53">
        <f>SUMIF($C:$C,"交通費",M:M)</f>
        <v>0</v>
      </c>
      <c r="N40" s="53">
        <f>SUMIF($C:$C,"交通費",N:N)</f>
        <v>0</v>
      </c>
      <c r="O40" s="53">
        <f>SUMIF($C:$C,"交通費",O:O)</f>
        <v>0</v>
      </c>
      <c r="P40" s="53">
        <f>SUMIF($C:$C,"交通費",P:P)</f>
        <v>0</v>
      </c>
      <c r="Q40" s="52">
        <f t="shared" si="4"/>
        <v>0</v>
      </c>
    </row>
    <row r="41" spans="1:17" ht="14.25" thickBot="1">
      <c r="A41" s="153" t="s">
        <v>57</v>
      </c>
      <c r="B41" s="154"/>
      <c r="C41" s="154"/>
      <c r="D41" s="55">
        <f>SUMIF($C:$C,"*精算分*",D:D)</f>
        <v>0</v>
      </c>
      <c r="E41" s="55">
        <f>SUMIF($C:$C,"*精算分*",E:E)</f>
        <v>0</v>
      </c>
      <c r="F41" s="55">
        <f>SUMIF($C:$C,"*精算分*",F:F)</f>
        <v>0</v>
      </c>
      <c r="G41" s="55">
        <f>SUMIF($C:$C,"*精算分*",G:G)</f>
        <v>0</v>
      </c>
      <c r="H41" s="55">
        <f>SUMIF($C:$C,"*精算分*",H:H)</f>
        <v>0</v>
      </c>
      <c r="I41" s="55">
        <f>SUMIF($C:$C,"*精算分*",I:I)</f>
        <v>0</v>
      </c>
      <c r="J41" s="55">
        <f>SUMIF($C:$C,"*精算分*",J:J)</f>
        <v>0</v>
      </c>
      <c r="K41" s="55">
        <f>SUMIF($C:$C,"*精算分*",K:K)</f>
        <v>0</v>
      </c>
      <c r="L41" s="55">
        <f>SUMIF($C:$C,"*精算分*",L:L)</f>
        <v>0</v>
      </c>
      <c r="M41" s="55">
        <f>SUMIF($C:$C,"*精算分*",M:M)</f>
        <v>0</v>
      </c>
      <c r="N41" s="55">
        <f>SUMIF($C:$C,"*精算分*",N:N)</f>
        <v>0</v>
      </c>
      <c r="O41" s="55">
        <f>SUMIF($C:$C,"*精算分*",O:O)</f>
        <v>0</v>
      </c>
      <c r="P41" s="55">
        <f>SUMIF($C:$C,"*精算分*",P:P)</f>
        <v>0</v>
      </c>
      <c r="Q41" s="45">
        <f>SUM(P41:P41)</f>
        <v>0</v>
      </c>
    </row>
    <row r="42" spans="1:17">
      <c r="A42" s="26"/>
      <c r="B42" s="26"/>
      <c r="C42" s="26"/>
      <c r="D42" s="24"/>
      <c r="E42" s="24"/>
      <c r="F42" s="24"/>
      <c r="G42" s="24"/>
      <c r="H42" s="24"/>
      <c r="I42" s="37"/>
      <c r="J42" s="37"/>
      <c r="K42" s="37"/>
      <c r="L42" s="24"/>
      <c r="M42" s="24"/>
      <c r="N42" s="24"/>
      <c r="O42" s="24"/>
      <c r="P42" s="24"/>
      <c r="Q42" s="25"/>
    </row>
    <row r="44" spans="1:17">
      <c r="A44" s="10"/>
      <c r="C44" s="110" t="s">
        <v>81</v>
      </c>
      <c r="D44" s="1">
        <f>SUMIF($C:$C,"基本給 ",D:D)
+SUMIF($C:$C,"役職手当 ",D:D)
+SUMIF($C:$C,"営業手当 ",D:D)
+SUMIF($C:$C,"管理手当 ",D:D)
+SUMIF($C:$C,"在宅手当 ",D:D)
+SUMIF($C:$C,"特別手当 ",D:D)
+SUMIF($C:$C,"扶養家族手当 ",D:D)
+SUMIF($C:$C,"調整金 ",D:D)</f>
        <v>0</v>
      </c>
      <c r="E44" s="1" t="e">
        <f>SUM(E14:E21)+SUM(#REF!)+SUM(#REF!)+SUM(#REF!)+SUM(#REF!)+SUM(#REF!)+SUM(#REF!)+SUM(#REF!)+SUM(#REF!)+SUM(#REF!)</f>
        <v>#REF!</v>
      </c>
      <c r="F44" s="1" t="e">
        <f>SUM(F14:F21)+SUM(#REF!)+SUM(#REF!)+SUM(#REF!)+SUM(#REF!)+SUM(#REF!)+SUM(#REF!)+SUM(#REF!)+SUM(#REF!)+SUM(#REF!)</f>
        <v>#REF!</v>
      </c>
      <c r="G44" s="1" t="e">
        <f>SUM(G14:G21)+SUM(#REF!)+SUM(#REF!)+SUM(#REF!)+SUM(#REF!)+SUM(#REF!)+SUM(#REF!)+SUM(#REF!)+SUM(#REF!)+SUM(#REF!)</f>
        <v>#REF!</v>
      </c>
      <c r="H44" s="1" t="e">
        <f>SUM(H14:H21)+SUM(#REF!)+SUM(#REF!)+SUM(#REF!)+SUM(#REF!)+SUM(#REF!)+SUM(#REF!)+SUM(#REF!)+SUM(#REF!)+SUM(#REF!)</f>
        <v>#REF!</v>
      </c>
      <c r="I44" s="1" t="e">
        <f>SUM(I14:I21)+SUM(#REF!)+SUM(#REF!)+SUM(#REF!)+SUM(#REF!)+SUM(#REF!)+SUM(#REF!)+SUM(#REF!)+SUM(#REF!)+SUM(#REF!)</f>
        <v>#REF!</v>
      </c>
      <c r="J44" s="1" t="e">
        <f>SUM(J14:J21)+SUM(#REF!)+SUM(#REF!)+SUM(#REF!)+SUM(#REF!)+SUM(#REF!)+SUM(#REF!)+SUM(#REF!)+SUM(#REF!)+SUM(#REF!)</f>
        <v>#REF!</v>
      </c>
      <c r="K44" s="1" t="e">
        <f>SUM(K14:K21)+SUM(#REF!)+SUM(#REF!)+SUM(#REF!)+SUM(#REF!)+SUM(#REF!)+SUM(#REF!)+SUM(#REF!)+SUM(#REF!)+SUM(#REF!)</f>
        <v>#REF!</v>
      </c>
      <c r="L44" s="1" t="e">
        <f>SUM(L14:L21)+SUM(#REF!)+SUM(#REF!)+SUM(#REF!)+SUM(#REF!)+SUM(#REF!)+SUM(#REF!)+SUM(#REF!)+SUM(#REF!)+SUM(#REF!)</f>
        <v>#REF!</v>
      </c>
      <c r="M44" s="1" t="e">
        <f>SUM(M14:M21)+SUM(#REF!)+SUM(#REF!)+SUM(#REF!)+SUM(#REF!)+SUM(#REF!)+SUM(#REF!)+SUM(#REF!)+SUM(#REF!)+SUM(#REF!)</f>
        <v>#REF!</v>
      </c>
      <c r="N44" s="1" t="e">
        <f>SUM(N14:N21)+SUM(#REF!)+SUM(#REF!)+SUM(#REF!)+SUM(#REF!)+SUM(#REF!)+SUM(#REF!)+SUM(#REF!)+SUM(#REF!)+SUM(#REF!)</f>
        <v>#REF!</v>
      </c>
      <c r="O44" s="1" t="e">
        <f>SUM(O14:O21)+SUM(#REF!)+SUM(#REF!)+SUM(#REF!)+SUM(#REF!)+SUM(#REF!)+SUM(#REF!)+SUM(#REF!)+SUM(#REF!)+SUM(#REF!)</f>
        <v>#REF!</v>
      </c>
    </row>
    <row r="45" spans="1:17">
      <c r="A45" s="10"/>
      <c r="C45" s="110" t="s">
        <v>82</v>
      </c>
      <c r="D45" s="36">
        <f ca="1">SUMIF($C:$C,"小計",D:D)
+SUMIF($C:$C,"営業手当",D:D)
+SUMIF($C:$C,"管理手当",D:D)
+SUMIF($C:$C,"在宅手当",D:D)
+SUMIF($C:$C,"特別手当",D:D)
+SUMIF($C:$C,"特別手当",INDEX(D:D,2,1))
+SUMIF($C:$C,"調整金",D:D)</f>
        <v>0</v>
      </c>
      <c r="E45" s="36" t="e">
        <f>#REF!+#REF!+#REF!+#REF!+#REF!+#REF!+#REF!+#REF!+#REF!</f>
        <v>#REF!</v>
      </c>
      <c r="F45" s="36" t="e">
        <f>#REF!+#REF!+#REF!+#REF!+#REF!+#REF!+#REF!+#REF!+#REF!</f>
        <v>#REF!</v>
      </c>
      <c r="G45" s="36" t="e">
        <f>#REF!+#REF!+#REF!+#REF!+#REF!+#REF!+#REF!+#REF!+#REF!</f>
        <v>#REF!</v>
      </c>
      <c r="H45" s="36" t="e">
        <f>#REF!+#REF!+#REF!+#REF!+#REF!+#REF!+#REF!+#REF!+#REF!</f>
        <v>#REF!</v>
      </c>
      <c r="I45" s="36" t="e">
        <f>#REF!+#REF!+#REF!+#REF!+#REF!+#REF!+#REF!+#REF!+#REF!</f>
        <v>#REF!</v>
      </c>
      <c r="J45" s="36" t="e">
        <f>#REF!+#REF!+#REF!+#REF!+#REF!+#REF!+#REF!+#REF!+#REF!</f>
        <v>#REF!</v>
      </c>
      <c r="K45" s="36" t="e">
        <f>#REF!+#REF!+#REF!+#REF!+#REF!+#REF!+#REF!+#REF!+#REF!</f>
        <v>#REF!</v>
      </c>
      <c r="L45" s="36" t="e">
        <f>#REF!+#REF!+#REF!+#REF!+#REF!+#REF!+#REF!+#REF!+#REF!</f>
        <v>#REF!</v>
      </c>
      <c r="M45" s="36" t="e">
        <f>#REF!+#REF!+#REF!+#REF!+#REF!+#REF!+#REF!+#REF!+#REF!</f>
        <v>#REF!</v>
      </c>
      <c r="N45" s="36" t="e">
        <f>#REF!+#REF!+#REF!+#REF!+#REF!+#REF!+#REF!+#REF!+#REF!</f>
        <v>#REF!</v>
      </c>
      <c r="O45" s="36" t="e">
        <f>#REF!+#REF!+#REF!+#REF!+#REF!+#REF!+#REF!+#REF!+#REF!</f>
        <v>#REF!</v>
      </c>
    </row>
    <row r="46" spans="1:17">
      <c r="A46" s="10"/>
      <c r="B46" s="11"/>
    </row>
  </sheetData>
  <mergeCells count="20">
    <mergeCell ref="A39:C39"/>
    <mergeCell ref="A40:C40"/>
    <mergeCell ref="A41:C41"/>
    <mergeCell ref="A33:C33"/>
    <mergeCell ref="A34:C34"/>
    <mergeCell ref="A35:C35"/>
    <mergeCell ref="A36:C36"/>
    <mergeCell ref="A37:C37"/>
    <mergeCell ref="A38:C38"/>
    <mergeCell ref="B32:C32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legacyDrawing r:id="rId2"/>
  <controls>
    <control shapeId="15369" r:id="rId3" name="sideworkDeleteButton"/>
    <control shapeId="15368" r:id="rId4" name="sideworkAddButton"/>
    <control shapeId="15367" r:id="rId5" name="employeeDeleteButton"/>
    <control shapeId="15365" r:id="rId6" name="employeeAdd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Q46"/>
  <sheetViews>
    <sheetView tabSelected="1"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9" sqref="A9:XFD9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67" t="s">
        <v>80</v>
      </c>
      <c r="B1" s="68"/>
      <c r="C1" s="68"/>
      <c r="D1" s="68"/>
      <c r="E1" s="68"/>
    </row>
    <row r="2" spans="1:17" ht="18.75">
      <c r="A2" s="65"/>
      <c r="G2">
        <f>SUM(C6:G6)</f>
        <v>30</v>
      </c>
    </row>
    <row r="3" spans="1:17">
      <c r="A3" s="64"/>
      <c r="B3" s="64"/>
      <c r="C3" s="75" t="s">
        <v>37</v>
      </c>
      <c r="D3" s="75" t="s">
        <v>28</v>
      </c>
      <c r="E3" s="75" t="s">
        <v>32</v>
      </c>
      <c r="F3" s="75" t="s">
        <v>33</v>
      </c>
      <c r="G3" s="76" t="s">
        <v>34</v>
      </c>
      <c r="H3" s="76" t="s">
        <v>35</v>
      </c>
      <c r="I3" s="76" t="s">
        <v>36</v>
      </c>
      <c r="J3" s="76" t="s">
        <v>24</v>
      </c>
      <c r="K3" s="75" t="s">
        <v>25</v>
      </c>
      <c r="L3" s="75" t="s">
        <v>26</v>
      </c>
      <c r="M3" s="75" t="s">
        <v>23</v>
      </c>
      <c r="N3" s="75" t="s">
        <v>27</v>
      </c>
      <c r="O3" s="72"/>
    </row>
    <row r="4" spans="1:17">
      <c r="A4" s="161" t="s">
        <v>0</v>
      </c>
      <c r="B4" s="161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</row>
    <row r="6" spans="1:17">
      <c r="A6" s="73" t="s">
        <v>62</v>
      </c>
      <c r="B6" s="73"/>
      <c r="C6" s="83">
        <v>7</v>
      </c>
      <c r="D6" s="83">
        <v>6</v>
      </c>
      <c r="E6" s="83">
        <v>6</v>
      </c>
      <c r="F6" s="83">
        <v>6</v>
      </c>
      <c r="G6" s="83">
        <v>5</v>
      </c>
      <c r="H6" s="83">
        <v>6</v>
      </c>
      <c r="I6" s="83">
        <v>8</v>
      </c>
      <c r="J6" s="83">
        <v>9</v>
      </c>
      <c r="K6" s="83">
        <v>11</v>
      </c>
      <c r="L6" s="83">
        <v>11</v>
      </c>
      <c r="M6" s="83"/>
      <c r="N6" s="83"/>
      <c r="O6" s="69"/>
    </row>
    <row r="7" spans="1:17">
      <c r="B7" t="str">
        <f>'■2017年度　社員給与詳細'!A4</f>
        <v>あああ</v>
      </c>
      <c r="C7" s="82">
        <v>0</v>
      </c>
      <c r="D7" s="82">
        <v>0</v>
      </c>
      <c r="E7" s="82">
        <v>0</v>
      </c>
      <c r="F7" s="82">
        <v>0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  <c r="L7" s="82">
        <v>0</v>
      </c>
      <c r="M7" s="82">
        <v>0</v>
      </c>
      <c r="N7" s="82">
        <v>0</v>
      </c>
      <c r="O7" s="70">
        <f>SUM(C7:N7)</f>
        <v>0</v>
      </c>
      <c r="Q7" s="70">
        <f>'■2017年度　社員給与詳細'!Q13</f>
        <v>0</v>
      </c>
    </row>
    <row r="8" spans="1:17">
      <c r="B8" t="str">
        <f>'■2017年度　社員給与詳細'!A14</f>
        <v>iii</v>
      </c>
      <c r="C8" s="82">
        <v>100</v>
      </c>
      <c r="D8" s="82">
        <v>0</v>
      </c>
      <c r="E8" s="82">
        <v>0</v>
      </c>
      <c r="F8" s="82">
        <v>0</v>
      </c>
      <c r="G8" s="82">
        <v>0</v>
      </c>
      <c r="H8" s="82">
        <v>0</v>
      </c>
      <c r="I8" s="82">
        <v>0</v>
      </c>
      <c r="J8" s="82">
        <v>0</v>
      </c>
      <c r="K8" s="82">
        <v>0</v>
      </c>
      <c r="L8" s="82">
        <v>0</v>
      </c>
      <c r="M8" s="82">
        <v>0</v>
      </c>
      <c r="N8" s="82">
        <v>0</v>
      </c>
      <c r="O8" s="70">
        <f t="shared" ref="O8" si="0">SUM(C8:N8)</f>
        <v>100</v>
      </c>
      <c r="Q8" s="70">
        <f>'■2017年度　社員給与詳細'!Q32</f>
        <v>0</v>
      </c>
    </row>
    <row r="9" spans="1:17"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70"/>
      <c r="Q9" s="70"/>
    </row>
    <row r="10" spans="1:17"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70"/>
      <c r="Q10" s="70"/>
    </row>
    <row r="11" spans="1:17">
      <c r="C11" s="108"/>
      <c r="D11" s="108"/>
      <c r="E11" s="108"/>
      <c r="F11" s="108"/>
      <c r="G11" s="108">
        <f>SUM(C12:G12)</f>
        <v>8</v>
      </c>
      <c r="H11" s="108"/>
      <c r="I11" s="108"/>
      <c r="J11" s="108"/>
      <c r="K11" s="108"/>
      <c r="L11" s="83"/>
      <c r="M11" s="83"/>
      <c r="N11" s="83"/>
      <c r="O11" s="69"/>
    </row>
    <row r="12" spans="1:17">
      <c r="A12" s="73" t="s">
        <v>63</v>
      </c>
      <c r="B12" s="74"/>
      <c r="C12" s="83">
        <v>1</v>
      </c>
      <c r="D12" s="83">
        <v>2</v>
      </c>
      <c r="E12" s="83">
        <v>2</v>
      </c>
      <c r="F12" s="83">
        <v>2</v>
      </c>
      <c r="G12" s="83">
        <v>1</v>
      </c>
      <c r="H12" s="83">
        <v>4</v>
      </c>
      <c r="I12" s="83">
        <v>2</v>
      </c>
      <c r="J12" s="83"/>
      <c r="K12" s="83"/>
      <c r="L12" s="83"/>
      <c r="M12" s="83"/>
      <c r="N12" s="83"/>
      <c r="O12" s="69"/>
    </row>
    <row r="13" spans="1:17" s="121" customFormat="1">
      <c r="A13"/>
      <c r="B13" s="129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70"/>
    </row>
    <row r="14" spans="1:17" s="121" customFormat="1">
      <c r="A14"/>
      <c r="B14" s="129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70"/>
    </row>
    <row r="15" spans="1:17" s="121" customFormat="1">
      <c r="A15" s="77" t="s">
        <v>72</v>
      </c>
      <c r="B15"/>
      <c r="C15" s="1">
        <f>C7</f>
        <v>0</v>
      </c>
      <c r="D15" s="1">
        <f>D7</f>
        <v>0</v>
      </c>
      <c r="E15" s="1">
        <f t="shared" ref="E15:M15" si="1">E7</f>
        <v>0</v>
      </c>
      <c r="F15" s="1">
        <f t="shared" si="1"/>
        <v>0</v>
      </c>
      <c r="G15" s="1">
        <f t="shared" si="1"/>
        <v>0</v>
      </c>
      <c r="H15" s="1">
        <f t="shared" si="1"/>
        <v>0</v>
      </c>
      <c r="I15" s="1">
        <f t="shared" si="1"/>
        <v>0</v>
      </c>
      <c r="J15" s="1">
        <f t="shared" si="1"/>
        <v>0</v>
      </c>
      <c r="K15" s="1">
        <f>K7</f>
        <v>0</v>
      </c>
      <c r="L15" s="1">
        <f t="shared" si="1"/>
        <v>0</v>
      </c>
      <c r="M15" s="1">
        <f t="shared" si="1"/>
        <v>0</v>
      </c>
      <c r="N15" s="1">
        <f>N7</f>
        <v>0</v>
      </c>
      <c r="O15" s="71">
        <f>SUM(C15:N15)</f>
        <v>0</v>
      </c>
    </row>
    <row r="16" spans="1:17" s="121" customFormat="1">
      <c r="A16" s="77" t="s">
        <v>65</v>
      </c>
      <c r="B16" s="77"/>
      <c r="C16" s="119">
        <f>SUM(C8:C12)</f>
        <v>101</v>
      </c>
      <c r="D16" s="119">
        <f t="shared" ref="D16:N16" si="2">SUM(D8:D12)</f>
        <v>2</v>
      </c>
      <c r="E16" s="119">
        <f t="shared" si="2"/>
        <v>2</v>
      </c>
      <c r="F16" s="119">
        <f t="shared" si="2"/>
        <v>2</v>
      </c>
      <c r="G16" s="119">
        <f t="shared" si="2"/>
        <v>9</v>
      </c>
      <c r="H16" s="119">
        <f t="shared" si="2"/>
        <v>4</v>
      </c>
      <c r="I16" s="119">
        <f t="shared" si="2"/>
        <v>2</v>
      </c>
      <c r="J16" s="119">
        <f t="shared" si="2"/>
        <v>0</v>
      </c>
      <c r="K16" s="119">
        <f t="shared" si="2"/>
        <v>0</v>
      </c>
      <c r="L16" s="119">
        <f t="shared" si="2"/>
        <v>0</v>
      </c>
      <c r="M16" s="119">
        <f t="shared" si="2"/>
        <v>0</v>
      </c>
      <c r="N16" s="119">
        <f t="shared" si="2"/>
        <v>0</v>
      </c>
      <c r="O16" s="71">
        <f>SUM(C16:N16)</f>
        <v>122</v>
      </c>
    </row>
    <row r="17" spans="1:15">
      <c r="A17" s="120" t="s">
        <v>66</v>
      </c>
      <c r="B17" s="77"/>
      <c r="C17" s="1">
        <f>SUM(C13)</f>
        <v>0</v>
      </c>
      <c r="D17" s="1">
        <f t="shared" ref="D17:N17" si="3">SUM(D13)</f>
        <v>0</v>
      </c>
      <c r="E17" s="1">
        <f t="shared" si="3"/>
        <v>0</v>
      </c>
      <c r="F17" s="1">
        <f t="shared" si="3"/>
        <v>0</v>
      </c>
      <c r="G17" s="1">
        <f t="shared" si="3"/>
        <v>0</v>
      </c>
      <c r="H17" s="1">
        <f t="shared" si="3"/>
        <v>0</v>
      </c>
      <c r="I17" s="1">
        <f t="shared" si="3"/>
        <v>0</v>
      </c>
      <c r="J17" s="1">
        <f t="shared" si="3"/>
        <v>0</v>
      </c>
      <c r="K17" s="1">
        <f t="shared" si="3"/>
        <v>0</v>
      </c>
      <c r="L17" s="1">
        <f t="shared" si="3"/>
        <v>0</v>
      </c>
      <c r="M17" s="1">
        <f t="shared" si="3"/>
        <v>0</v>
      </c>
      <c r="N17" s="1">
        <f t="shared" si="3"/>
        <v>0</v>
      </c>
      <c r="O17" s="71">
        <f>SUM(C17:N17)</f>
        <v>0</v>
      </c>
    </row>
    <row r="18" spans="1:15">
      <c r="A18" s="77" t="s">
        <v>67</v>
      </c>
      <c r="B18" s="77"/>
      <c r="C18" s="1">
        <f>SUM(C15:C17)</f>
        <v>101</v>
      </c>
      <c r="D18" s="1">
        <f t="shared" ref="D18:N18" si="4">SUM(D15:D17)</f>
        <v>2</v>
      </c>
      <c r="E18" s="1">
        <f t="shared" si="4"/>
        <v>2</v>
      </c>
      <c r="F18" s="1">
        <f t="shared" si="4"/>
        <v>2</v>
      </c>
      <c r="G18" s="1">
        <f t="shared" si="4"/>
        <v>9</v>
      </c>
      <c r="H18" s="1">
        <f t="shared" si="4"/>
        <v>4</v>
      </c>
      <c r="I18" s="1">
        <f>SUM(I15:I17)</f>
        <v>2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71">
        <f>SUM(C18:N18)</f>
        <v>122</v>
      </c>
    </row>
    <row r="19" spans="1:15">
      <c r="B19" s="77"/>
    </row>
    <row r="21" spans="1:15">
      <c r="C21" t="s">
        <v>79</v>
      </c>
    </row>
    <row r="22" spans="1:15">
      <c r="C22" s="163" t="s">
        <v>73</v>
      </c>
      <c r="D22" s="163"/>
      <c r="E22" s="162" t="s">
        <v>74</v>
      </c>
      <c r="F22" s="162"/>
    </row>
    <row r="23" spans="1:15">
      <c r="B23" t="s">
        <v>75</v>
      </c>
      <c r="C23" s="100">
        <f>SUM(C16:G16)</f>
        <v>116</v>
      </c>
      <c r="D23" s="101">
        <f>SUM(C8:G8)</f>
        <v>100</v>
      </c>
      <c r="E23" s="100">
        <f>SUM(H16:N16)</f>
        <v>6</v>
      </c>
      <c r="F23" s="101">
        <f>SUM(H8:N8)</f>
        <v>0</v>
      </c>
    </row>
    <row r="24" spans="1:15" ht="14.25" thickBot="1">
      <c r="B24" t="s">
        <v>76</v>
      </c>
      <c r="C24" s="102">
        <f>SUM(C17:G17)</f>
        <v>0</v>
      </c>
      <c r="D24" s="103" t="e">
        <f>SUM(#REF!)</f>
        <v>#REF!</v>
      </c>
      <c r="E24" s="104">
        <f>SUM(H17:N17)</f>
        <v>0</v>
      </c>
      <c r="F24" s="101" t="e">
        <f>SUM(#REF!)</f>
        <v>#REF!</v>
      </c>
    </row>
    <row r="25" spans="1:15" ht="14.25" thickTop="1">
      <c r="B25" t="s">
        <v>77</v>
      </c>
      <c r="C25" s="105">
        <f>SUM(C23:C24)</f>
        <v>116</v>
      </c>
      <c r="D25" s="106" t="e">
        <f>SUM(D23:D24)</f>
        <v>#REF!</v>
      </c>
      <c r="E25" s="100">
        <f>SUM(E23:E24)</f>
        <v>6</v>
      </c>
      <c r="F25" s="106" t="e">
        <f>SUM(F23:F24)</f>
        <v>#REF!</v>
      </c>
    </row>
    <row r="27" spans="1:15">
      <c r="C27" s="109"/>
      <c r="F27" s="100"/>
    </row>
    <row r="28" spans="1:15">
      <c r="C28" s="109"/>
      <c r="F28" s="100"/>
    </row>
    <row r="29" spans="1:15">
      <c r="C29" s="109"/>
      <c r="F29" s="100"/>
    </row>
    <row r="46" ht="18" customHeight="1"/>
  </sheetData>
  <mergeCells count="3">
    <mergeCell ref="A4:B4"/>
    <mergeCell ref="E22:F22"/>
    <mergeCell ref="C22:D22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Q37"/>
  <sheetViews>
    <sheetView workbookViewId="0">
      <selection activeCell="R11" sqref="R11"/>
    </sheetView>
  </sheetViews>
  <sheetFormatPr defaultRowHeight="13.5"/>
  <cols>
    <col min="3" max="3" width="13.25" customWidth="1"/>
  </cols>
  <sheetData>
    <row r="1" spans="1:17">
      <c r="A1" s="132"/>
      <c r="B1" s="150" t="s">
        <v>12</v>
      </c>
      <c r="C1" s="112" t="s">
        <v>87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78"/>
      <c r="P1" s="30"/>
      <c r="Q1" s="19">
        <f>SUM(D1:P1)</f>
        <v>0</v>
      </c>
    </row>
    <row r="2" spans="1:17">
      <c r="A2" s="133"/>
      <c r="B2" s="146"/>
      <c r="C2" s="113" t="s">
        <v>89</v>
      </c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1"/>
      <c r="P2" s="31"/>
      <c r="Q2" s="20">
        <f t="shared" ref="Q2:Q19" si="0">SUM(D2:P2)</f>
        <v>0</v>
      </c>
    </row>
    <row r="3" spans="1:17">
      <c r="A3" s="133"/>
      <c r="B3" s="135"/>
      <c r="C3" s="114" t="s">
        <v>88</v>
      </c>
      <c r="D3" s="89"/>
      <c r="E3" s="90"/>
      <c r="F3" s="90"/>
      <c r="G3" s="90"/>
      <c r="H3" s="89"/>
      <c r="I3" s="89"/>
      <c r="J3" s="89"/>
      <c r="K3" s="89"/>
      <c r="L3" s="89"/>
      <c r="M3" s="89"/>
      <c r="N3" s="89"/>
      <c r="O3" s="17"/>
      <c r="P3" s="28"/>
      <c r="Q3" s="20">
        <f t="shared" si="0"/>
        <v>0</v>
      </c>
    </row>
    <row r="4" spans="1:17">
      <c r="A4" s="133"/>
      <c r="B4" s="135"/>
      <c r="C4" s="115" t="s">
        <v>90</v>
      </c>
      <c r="D4" s="91"/>
      <c r="E4" s="89"/>
      <c r="F4" s="89"/>
      <c r="G4" s="91"/>
      <c r="H4" s="91"/>
      <c r="I4" s="91"/>
      <c r="J4" s="91"/>
      <c r="K4" s="91"/>
      <c r="L4" s="91"/>
      <c r="M4" s="91"/>
      <c r="N4" s="91"/>
      <c r="O4" s="80"/>
      <c r="P4" s="32"/>
      <c r="Q4" s="20">
        <f t="shared" si="0"/>
        <v>0</v>
      </c>
    </row>
    <row r="5" spans="1:17">
      <c r="A5" s="133"/>
      <c r="B5" s="135"/>
      <c r="C5" s="115" t="s">
        <v>91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80"/>
      <c r="P5" s="32"/>
      <c r="Q5" s="20">
        <f t="shared" si="0"/>
        <v>0</v>
      </c>
    </row>
    <row r="6" spans="1:17">
      <c r="A6" s="133"/>
      <c r="B6" s="135"/>
      <c r="C6" s="115" t="s">
        <v>92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80"/>
      <c r="P6" s="32"/>
      <c r="Q6" s="20">
        <f>SUM(D6:P6)</f>
        <v>0</v>
      </c>
    </row>
    <row r="7" spans="1:17">
      <c r="A7" s="133"/>
      <c r="B7" s="135"/>
      <c r="C7" s="114" t="s">
        <v>93</v>
      </c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80"/>
      <c r="P7" s="32"/>
      <c r="Q7" s="20">
        <f t="shared" si="0"/>
        <v>0</v>
      </c>
    </row>
    <row r="8" spans="1:17">
      <c r="A8" s="133"/>
      <c r="B8" s="135"/>
      <c r="C8" s="116" t="s">
        <v>94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8"/>
      <c r="P8" s="33"/>
      <c r="Q8" s="22">
        <f t="shared" si="0"/>
        <v>0</v>
      </c>
    </row>
    <row r="9" spans="1:17">
      <c r="A9" s="133"/>
      <c r="B9" s="135" t="s">
        <v>11</v>
      </c>
      <c r="C9" s="117" t="s">
        <v>7</v>
      </c>
      <c r="D9" s="93"/>
      <c r="E9" s="93"/>
      <c r="F9" s="93"/>
      <c r="G9" s="93"/>
      <c r="H9" s="93"/>
      <c r="I9" s="93"/>
      <c r="J9" s="93"/>
      <c r="K9" s="93"/>
      <c r="L9" s="94"/>
      <c r="M9" s="94"/>
      <c r="N9" s="94"/>
      <c r="O9" s="79"/>
      <c r="P9" s="27"/>
      <c r="Q9" s="21">
        <f t="shared" si="0"/>
        <v>0</v>
      </c>
    </row>
    <row r="10" spans="1:17">
      <c r="A10" s="133"/>
      <c r="B10" s="135"/>
      <c r="C10" s="115" t="s">
        <v>4</v>
      </c>
      <c r="D10" s="95"/>
      <c r="E10" s="95"/>
      <c r="F10" s="95"/>
      <c r="G10" s="95"/>
      <c r="H10" s="95"/>
      <c r="I10" s="95"/>
      <c r="J10" s="95"/>
      <c r="K10" s="95"/>
      <c r="L10" s="91"/>
      <c r="M10" s="91"/>
      <c r="N10" s="91"/>
      <c r="O10" s="80"/>
      <c r="P10" s="32"/>
      <c r="Q10" s="20">
        <f t="shared" si="0"/>
        <v>0</v>
      </c>
    </row>
    <row r="11" spans="1:17">
      <c r="A11" s="133"/>
      <c r="B11" s="135"/>
      <c r="C11" s="115" t="s">
        <v>17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80"/>
      <c r="P11" s="32"/>
      <c r="Q11" s="20">
        <f t="shared" si="0"/>
        <v>0</v>
      </c>
    </row>
    <row r="12" spans="1:17">
      <c r="A12" s="133"/>
      <c r="B12" s="135"/>
      <c r="C12" s="115" t="s">
        <v>18</v>
      </c>
      <c r="D12" s="90"/>
      <c r="E12" s="90"/>
      <c r="F12" s="90"/>
      <c r="G12" s="90"/>
      <c r="H12" s="91"/>
      <c r="I12" s="91"/>
      <c r="J12" s="91"/>
      <c r="K12" s="91"/>
      <c r="L12" s="91"/>
      <c r="M12" s="91"/>
      <c r="N12" s="91"/>
      <c r="O12" s="80"/>
      <c r="P12" s="32"/>
      <c r="Q12" s="20">
        <f t="shared" si="0"/>
        <v>0</v>
      </c>
    </row>
    <row r="13" spans="1:17">
      <c r="A13" s="133"/>
      <c r="B13" s="135"/>
      <c r="C13" s="118" t="s">
        <v>19</v>
      </c>
      <c r="D13" s="96"/>
      <c r="E13" s="96"/>
      <c r="F13" s="96"/>
      <c r="G13" s="96"/>
      <c r="H13" s="92"/>
      <c r="I13" s="92"/>
      <c r="J13" s="92"/>
      <c r="K13" s="92"/>
      <c r="L13" s="92"/>
      <c r="M13" s="92"/>
      <c r="N13" s="92"/>
      <c r="O13" s="18"/>
      <c r="P13" s="33"/>
      <c r="Q13" s="22">
        <f t="shared" si="0"/>
        <v>0</v>
      </c>
    </row>
    <row r="14" spans="1:17">
      <c r="A14" s="133"/>
      <c r="B14" s="135" t="s">
        <v>13</v>
      </c>
      <c r="C14" s="117" t="s">
        <v>10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79"/>
      <c r="P14" s="27"/>
      <c r="Q14" s="21">
        <f t="shared" si="0"/>
        <v>0</v>
      </c>
    </row>
    <row r="15" spans="1:17">
      <c r="A15" s="133"/>
      <c r="B15" s="135"/>
      <c r="C15" s="114" t="s">
        <v>55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17"/>
      <c r="P15" s="28"/>
      <c r="Q15" s="20">
        <f t="shared" si="0"/>
        <v>0</v>
      </c>
    </row>
    <row r="16" spans="1:17">
      <c r="A16" s="133"/>
      <c r="B16" s="135"/>
      <c r="C16" s="114" t="s">
        <v>56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17"/>
      <c r="P16" s="28"/>
      <c r="Q16" s="20">
        <f t="shared" si="0"/>
        <v>0</v>
      </c>
    </row>
    <row r="17" spans="1:17">
      <c r="A17" s="133"/>
      <c r="B17" s="135"/>
      <c r="C17" s="118" t="s">
        <v>61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18"/>
      <c r="P17" s="33"/>
      <c r="Q17" s="22">
        <f t="shared" si="0"/>
        <v>0</v>
      </c>
    </row>
    <row r="18" spans="1:17">
      <c r="A18" s="133"/>
      <c r="B18" s="148" t="s">
        <v>54</v>
      </c>
      <c r="C18" s="14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34"/>
      <c r="B19" s="139" t="s">
        <v>5</v>
      </c>
      <c r="C19" s="14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  <row r="20" spans="1:17">
      <c r="A20" s="141"/>
      <c r="B20" s="144" t="s">
        <v>12</v>
      </c>
      <c r="C20" s="112" t="s">
        <v>84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30"/>
      <c r="Q20" s="126">
        <f>SUM(D20:P20)</f>
        <v>0</v>
      </c>
    </row>
    <row r="21" spans="1:17">
      <c r="A21" s="142"/>
      <c r="B21" s="145"/>
      <c r="C21" s="113" t="s">
        <v>85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28"/>
      <c r="Q21" s="124">
        <f t="shared" ref="Q21:Q36" si="3">SUM(D21:P21)</f>
        <v>0</v>
      </c>
    </row>
    <row r="22" spans="1:17">
      <c r="A22" s="142"/>
      <c r="B22" s="145"/>
      <c r="C22" s="114" t="s">
        <v>86</v>
      </c>
      <c r="D22" s="91">
        <f t="shared" ref="D22:O22" si="4">D20*D21</f>
        <v>0</v>
      </c>
      <c r="E22" s="91">
        <f t="shared" si="4"/>
        <v>0</v>
      </c>
      <c r="F22" s="91">
        <f t="shared" si="4"/>
        <v>0</v>
      </c>
      <c r="G22" s="91">
        <f t="shared" si="4"/>
        <v>0</v>
      </c>
      <c r="H22" s="91">
        <f t="shared" si="4"/>
        <v>0</v>
      </c>
      <c r="I22" s="91">
        <f t="shared" si="4"/>
        <v>0</v>
      </c>
      <c r="J22" s="91">
        <f t="shared" si="4"/>
        <v>0</v>
      </c>
      <c r="K22" s="91">
        <f t="shared" si="4"/>
        <v>0</v>
      </c>
      <c r="L22" s="91">
        <f t="shared" si="4"/>
        <v>0</v>
      </c>
      <c r="M22" s="91">
        <f t="shared" si="4"/>
        <v>0</v>
      </c>
      <c r="N22" s="91">
        <f t="shared" si="4"/>
        <v>0</v>
      </c>
      <c r="O22" s="91">
        <f t="shared" si="4"/>
        <v>0</v>
      </c>
      <c r="P22" s="32"/>
      <c r="Q22" s="124">
        <f t="shared" si="3"/>
        <v>0</v>
      </c>
    </row>
    <row r="23" spans="1:17">
      <c r="A23" s="142"/>
      <c r="B23" s="145"/>
      <c r="C23" s="115" t="s">
        <v>9</v>
      </c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32"/>
      <c r="Q23" s="124">
        <f t="shared" si="3"/>
        <v>0</v>
      </c>
    </row>
    <row r="24" spans="1:17">
      <c r="A24" s="142"/>
      <c r="B24" s="145"/>
      <c r="C24" s="115" t="s">
        <v>38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28"/>
      <c r="Q24" s="124">
        <f t="shared" si="3"/>
        <v>0</v>
      </c>
    </row>
    <row r="25" spans="1:17">
      <c r="A25" s="142"/>
      <c r="B25" s="145"/>
      <c r="C25" s="62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32"/>
      <c r="Q25" s="124">
        <f t="shared" si="3"/>
        <v>0</v>
      </c>
    </row>
    <row r="26" spans="1:17">
      <c r="A26" s="142"/>
      <c r="B26" s="146"/>
      <c r="C26" s="6" t="s">
        <v>42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33"/>
      <c r="Q26" s="127">
        <f t="shared" si="3"/>
        <v>0</v>
      </c>
    </row>
    <row r="27" spans="1:17">
      <c r="A27" s="142"/>
      <c r="B27" s="147" t="s">
        <v>11</v>
      </c>
      <c r="C27" s="5" t="s">
        <v>7</v>
      </c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27"/>
      <c r="Q27" s="128">
        <f t="shared" si="3"/>
        <v>0</v>
      </c>
    </row>
    <row r="28" spans="1:17">
      <c r="A28" s="142"/>
      <c r="B28" s="145"/>
      <c r="C28" s="6" t="s">
        <v>4</v>
      </c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32"/>
      <c r="Q28" s="124">
        <f t="shared" si="3"/>
        <v>0</v>
      </c>
    </row>
    <row r="29" spans="1:17">
      <c r="A29" s="142"/>
      <c r="B29" s="145"/>
      <c r="C29" s="6" t="s">
        <v>17</v>
      </c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32"/>
      <c r="Q29" s="124">
        <f t="shared" si="3"/>
        <v>0</v>
      </c>
    </row>
    <row r="30" spans="1:17">
      <c r="A30" s="142"/>
      <c r="B30" s="145"/>
      <c r="C30" s="6" t="s">
        <v>18</v>
      </c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32"/>
      <c r="Q30" s="124">
        <f t="shared" si="3"/>
        <v>0</v>
      </c>
    </row>
    <row r="31" spans="1:17">
      <c r="A31" s="142"/>
      <c r="B31" s="145"/>
      <c r="C31" s="6" t="s">
        <v>60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32"/>
      <c r="Q31" s="127">
        <f t="shared" si="3"/>
        <v>0</v>
      </c>
    </row>
    <row r="32" spans="1:17">
      <c r="A32" s="142"/>
      <c r="B32" s="147" t="s">
        <v>13</v>
      </c>
      <c r="C32" s="5" t="s">
        <v>10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27"/>
      <c r="Q32" s="123">
        <f t="shared" si="3"/>
        <v>0</v>
      </c>
    </row>
    <row r="33" spans="1:17">
      <c r="A33" s="142"/>
      <c r="B33" s="145"/>
      <c r="C33" s="114" t="s">
        <v>55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28"/>
      <c r="Q33" s="124">
        <f t="shared" si="3"/>
        <v>0</v>
      </c>
    </row>
    <row r="34" spans="1:17">
      <c r="A34" s="142"/>
      <c r="B34" s="145"/>
      <c r="C34" s="8" t="s">
        <v>56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28"/>
      <c r="Q34" s="124">
        <f t="shared" si="3"/>
        <v>0</v>
      </c>
    </row>
    <row r="35" spans="1:17" ht="14.25" thickBot="1">
      <c r="A35" s="142"/>
      <c r="B35" s="146"/>
      <c r="C35" s="4" t="s">
        <v>61</v>
      </c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33"/>
      <c r="Q35" s="125">
        <f t="shared" si="3"/>
        <v>0</v>
      </c>
    </row>
    <row r="36" spans="1:17" ht="14.25" thickBot="1">
      <c r="A36" s="142"/>
      <c r="B36" s="148" t="s">
        <v>54</v>
      </c>
      <c r="C36" s="149"/>
      <c r="D36" s="56">
        <f>SUM(D22:D26)-SUM(D30:D31)</f>
        <v>0</v>
      </c>
      <c r="E36" s="56">
        <f t="shared" ref="E36:O36" si="5">SUM(E22:E26)-SUM(E30:E31)</f>
        <v>0</v>
      </c>
      <c r="F36" s="56">
        <f t="shared" si="5"/>
        <v>0</v>
      </c>
      <c r="G36" s="56">
        <f t="shared" si="5"/>
        <v>0</v>
      </c>
      <c r="H36" s="56">
        <f t="shared" si="5"/>
        <v>0</v>
      </c>
      <c r="I36" s="56">
        <f t="shared" si="5"/>
        <v>0</v>
      </c>
      <c r="J36" s="56">
        <f t="shared" si="5"/>
        <v>0</v>
      </c>
      <c r="K36" s="56">
        <f t="shared" si="5"/>
        <v>0</v>
      </c>
      <c r="L36" s="56">
        <f t="shared" si="5"/>
        <v>0</v>
      </c>
      <c r="M36" s="56">
        <f t="shared" si="5"/>
        <v>0</v>
      </c>
      <c r="N36" s="56">
        <f t="shared" si="5"/>
        <v>0</v>
      </c>
      <c r="O36" s="56">
        <f t="shared" si="5"/>
        <v>0</v>
      </c>
      <c r="P36" s="58">
        <f>SUM(P20:P26)-SUM(P30:P31)</f>
        <v>0</v>
      </c>
      <c r="Q36" s="122">
        <f t="shared" si="3"/>
        <v>0</v>
      </c>
    </row>
    <row r="37" spans="1:17" ht="14.25" thickBot="1">
      <c r="A37" s="143"/>
      <c r="B37" s="139" t="s">
        <v>5</v>
      </c>
      <c r="C37" s="140"/>
      <c r="D37" s="42">
        <f>SUM(D22:D26)-SUM(D27:D31)+SUM(D32:D35)</f>
        <v>0</v>
      </c>
      <c r="E37" s="42">
        <f t="shared" ref="E37:O37" si="6">SUM(E22:E26)-SUM(E27:E31)+SUM(E32:E35)</f>
        <v>0</v>
      </c>
      <c r="F37" s="42">
        <f t="shared" si="6"/>
        <v>0</v>
      </c>
      <c r="G37" s="42">
        <f t="shared" si="6"/>
        <v>0</v>
      </c>
      <c r="H37" s="42">
        <f t="shared" si="6"/>
        <v>0</v>
      </c>
      <c r="I37" s="42">
        <f t="shared" si="6"/>
        <v>0</v>
      </c>
      <c r="J37" s="42">
        <f t="shared" si="6"/>
        <v>0</v>
      </c>
      <c r="K37" s="42">
        <f t="shared" si="6"/>
        <v>0</v>
      </c>
      <c r="L37" s="42">
        <f t="shared" si="6"/>
        <v>0</v>
      </c>
      <c r="M37" s="42">
        <f t="shared" si="6"/>
        <v>0</v>
      </c>
      <c r="N37" s="42">
        <f t="shared" si="6"/>
        <v>0</v>
      </c>
      <c r="O37" s="42">
        <f t="shared" si="6"/>
        <v>0</v>
      </c>
      <c r="P37" s="44">
        <f>SUM(P20:P26)-SUM(P27:P31)+SUM(P32:P35)</f>
        <v>0</v>
      </c>
      <c r="Q37" s="46">
        <f>SUM(D37:P37)</f>
        <v>0</v>
      </c>
    </row>
  </sheetData>
  <mergeCells count="12">
    <mergeCell ref="A1:A19"/>
    <mergeCell ref="B1:B8"/>
    <mergeCell ref="B9:B13"/>
    <mergeCell ref="B14:B17"/>
    <mergeCell ref="B18:C18"/>
    <mergeCell ref="B19:C19"/>
    <mergeCell ref="A20:A37"/>
    <mergeCell ref="B20:B26"/>
    <mergeCell ref="B27:B31"/>
    <mergeCell ref="B32:B35"/>
    <mergeCell ref="B36:C36"/>
    <mergeCell ref="B37:C37"/>
  </mergeCells>
  <phoneticPr fontId="3"/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■2017年度　社員給与詳細 (雛形)</vt:lpstr>
      <vt:lpstr>■2017年度　社員給与詳細</vt:lpstr>
      <vt:lpstr>■振込額一覧</vt:lpstr>
      <vt:lpstr>Data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2017-07-14T10:07:33Z</dcterms:modified>
</cp:coreProperties>
</file>