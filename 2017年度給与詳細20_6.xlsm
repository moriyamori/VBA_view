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720" yWindow="480" windowWidth="14205" windowHeight="4440" tabRatio="624" firstSheet="1" activeTab="2"/>
  </bookViews>
  <sheets>
    <sheet name="■2017年度　社員給与詳細 (雛形)" sheetId="9" r:id="rId1"/>
    <sheet name="■2017年度　社員給与詳細" sheetId="13" r:id="rId2"/>
    <sheet name="■振込額一覧" sheetId="6" r:id="rId3"/>
    <sheet name="EmployeeData" sheetId="12" r:id="rId4"/>
    <sheet name="PartData" sheetId="14" r:id="rId5"/>
    <sheet name="Sheet1" sheetId="15" r:id="rId6"/>
  </sheets>
  <definedNames>
    <definedName name="_xlnm.Print_Area" localSheetId="1">'■2017年度　社員給与詳細'!$A$1:$P$117</definedName>
    <definedName name="_xlnm.Print_Area" localSheetId="0">'■2017年度　社員給与詳細 (雛形)'!$A$1:$P$60</definedName>
    <definedName name="_xlnm.Print_Titles" localSheetId="1">'■2017年度　社員給与詳細'!$1:$3</definedName>
    <definedName name="_xlnm.Print_Titles" localSheetId="0">'■2017年度　社員給与詳細 (雛形)'!$1:$3</definedName>
  </definedNames>
  <calcPr calcId="125725"/>
</workbook>
</file>

<file path=xl/calcChain.xml><?xml version="1.0" encoding="utf-8"?>
<calcChain xmlns="http://schemas.openxmlformats.org/spreadsheetml/2006/main">
  <c r="D28" i="6"/>
  <c r="C7"/>
  <c r="D13" i="13"/>
  <c r="D32"/>
  <c r="Q12" i="6"/>
  <c r="D12"/>
  <c r="E12"/>
  <c r="F12"/>
  <c r="G12"/>
  <c r="H12"/>
  <c r="I12"/>
  <c r="J12"/>
  <c r="K12"/>
  <c r="L12"/>
  <c r="M12"/>
  <c r="N12"/>
  <c r="C12"/>
  <c r="O12" s="1"/>
  <c r="B12"/>
  <c r="P108" i="13"/>
  <c r="O108"/>
  <c r="N108"/>
  <c r="M108"/>
  <c r="L108"/>
  <c r="K108"/>
  <c r="J108"/>
  <c r="I108"/>
  <c r="H108"/>
  <c r="G108"/>
  <c r="F108"/>
  <c r="E108"/>
  <c r="D108"/>
  <c r="Q108" s="1"/>
  <c r="P107"/>
  <c r="O107"/>
  <c r="N107"/>
  <c r="M107"/>
  <c r="L107"/>
  <c r="K107"/>
  <c r="J107"/>
  <c r="I107"/>
  <c r="H107"/>
  <c r="G107"/>
  <c r="F107"/>
  <c r="E107"/>
  <c r="D107"/>
  <c r="Q107" s="1"/>
  <c r="Q106"/>
  <c r="Q105"/>
  <c r="Q104"/>
  <c r="Q103"/>
  <c r="Q102"/>
  <c r="Q101"/>
  <c r="Q100"/>
  <c r="Q99"/>
  <c r="Q98"/>
  <c r="Q97"/>
  <c r="Q96"/>
  <c r="Q95"/>
  <c r="Q94"/>
  <c r="Q93"/>
  <c r="Q92"/>
  <c r="Q91"/>
  <c r="Q90"/>
  <c r="I11" i="6"/>
  <c r="M11"/>
  <c r="B11"/>
  <c r="P89" i="13"/>
  <c r="O89"/>
  <c r="N11" i="6" s="1"/>
  <c r="N89" i="13"/>
  <c r="M89"/>
  <c r="L11" i="6" s="1"/>
  <c r="L89" i="13"/>
  <c r="K11" i="6" s="1"/>
  <c r="K89" i="13"/>
  <c r="J11" i="6" s="1"/>
  <c r="J89" i="13"/>
  <c r="I89"/>
  <c r="H11" i="6" s="1"/>
  <c r="H89" i="13"/>
  <c r="G11" i="6" s="1"/>
  <c r="G89" i="13"/>
  <c r="F11" i="6" s="1"/>
  <c r="F89" i="13"/>
  <c r="E11" i="6" s="1"/>
  <c r="E89" i="13"/>
  <c r="D89"/>
  <c r="C11" i="6" s="1"/>
  <c r="P88" i="13"/>
  <c r="O88"/>
  <c r="N88"/>
  <c r="M88"/>
  <c r="L88"/>
  <c r="K88"/>
  <c r="J88"/>
  <c r="I88"/>
  <c r="H88"/>
  <c r="G88"/>
  <c r="F88"/>
  <c r="E88"/>
  <c r="D88"/>
  <c r="Q88" s="1"/>
  <c r="Q87"/>
  <c r="Q86"/>
  <c r="Q85"/>
  <c r="Q84"/>
  <c r="Q83"/>
  <c r="Q82"/>
  <c r="Q81"/>
  <c r="Q80"/>
  <c r="Q79"/>
  <c r="Q78"/>
  <c r="Q77"/>
  <c r="Q76"/>
  <c r="Q75"/>
  <c r="Q74"/>
  <c r="Q73"/>
  <c r="Q72"/>
  <c r="Q71"/>
  <c r="K10" i="6"/>
  <c r="P70" i="13"/>
  <c r="O70"/>
  <c r="N10" i="6" s="1"/>
  <c r="N70" i="13"/>
  <c r="M10" i="6" s="1"/>
  <c r="M70" i="13"/>
  <c r="L10" i="6" s="1"/>
  <c r="L70" i="13"/>
  <c r="K70"/>
  <c r="J10" i="6" s="1"/>
  <c r="J70" i="13"/>
  <c r="I10" i="6" s="1"/>
  <c r="I70" i="13"/>
  <c r="H10" i="6" s="1"/>
  <c r="H70" i="13"/>
  <c r="G10" i="6" s="1"/>
  <c r="G70" i="13"/>
  <c r="F10" i="6" s="1"/>
  <c r="F70" i="13"/>
  <c r="E10" i="6" s="1"/>
  <c r="E70" i="13"/>
  <c r="D70"/>
  <c r="C10" i="6" s="1"/>
  <c r="P69" i="13"/>
  <c r="O69"/>
  <c r="N69"/>
  <c r="M69"/>
  <c r="L69"/>
  <c r="K69"/>
  <c r="J69"/>
  <c r="I69"/>
  <c r="H69"/>
  <c r="G69"/>
  <c r="F69"/>
  <c r="E69"/>
  <c r="D69"/>
  <c r="Q68"/>
  <c r="Q67"/>
  <c r="Q66"/>
  <c r="Q65"/>
  <c r="Q64"/>
  <c r="Q63"/>
  <c r="Q62"/>
  <c r="Q61"/>
  <c r="Q60"/>
  <c r="Q59"/>
  <c r="Q58"/>
  <c r="Q57"/>
  <c r="Q56"/>
  <c r="Q55"/>
  <c r="Q54"/>
  <c r="Q53"/>
  <c r="Q52"/>
  <c r="P51"/>
  <c r="O51"/>
  <c r="N9" i="6" s="1"/>
  <c r="N51" i="13"/>
  <c r="M9" i="6" s="1"/>
  <c r="M51" i="13"/>
  <c r="L9" i="6" s="1"/>
  <c r="L51" i="13"/>
  <c r="K9" i="6" s="1"/>
  <c r="K51" i="13"/>
  <c r="J9" i="6" s="1"/>
  <c r="J51" i="13"/>
  <c r="I9" i="6" s="1"/>
  <c r="I51" i="13"/>
  <c r="H9" i="6" s="1"/>
  <c r="H51" i="13"/>
  <c r="G9" i="6" s="1"/>
  <c r="G51" i="13"/>
  <c r="F9" i="6" s="1"/>
  <c r="F51" i="13"/>
  <c r="E9" i="6" s="1"/>
  <c r="E51" i="13"/>
  <c r="D51"/>
  <c r="C9" i="6" s="1"/>
  <c r="P50" i="13"/>
  <c r="O50"/>
  <c r="N50"/>
  <c r="M50"/>
  <c r="L50"/>
  <c r="K50"/>
  <c r="J50"/>
  <c r="I50"/>
  <c r="H50"/>
  <c r="G50"/>
  <c r="F50"/>
  <c r="E50"/>
  <c r="D50"/>
  <c r="Q49"/>
  <c r="Q48"/>
  <c r="Q47"/>
  <c r="Q46"/>
  <c r="Q45"/>
  <c r="Q44"/>
  <c r="Q43"/>
  <c r="Q42"/>
  <c r="Q41"/>
  <c r="Q40"/>
  <c r="Q39"/>
  <c r="Q38"/>
  <c r="Q37"/>
  <c r="Q36"/>
  <c r="Q35"/>
  <c r="Q34"/>
  <c r="Q33"/>
  <c r="D21" i="6"/>
  <c r="E21"/>
  <c r="F21"/>
  <c r="G21"/>
  <c r="H21"/>
  <c r="I21"/>
  <c r="J21"/>
  <c r="K21"/>
  <c r="L21"/>
  <c r="M21"/>
  <c r="N21"/>
  <c r="C21"/>
  <c r="B7"/>
  <c r="B8"/>
  <c r="D120" i="13"/>
  <c r="F120"/>
  <c r="G120"/>
  <c r="H120"/>
  <c r="I120"/>
  <c r="J120"/>
  <c r="K120"/>
  <c r="L120"/>
  <c r="M120"/>
  <c r="N120"/>
  <c r="O120"/>
  <c r="E120"/>
  <c r="D31"/>
  <c r="D112"/>
  <c r="D19" i="14"/>
  <c r="D18"/>
  <c r="Q6"/>
  <c r="Q7"/>
  <c r="Q5"/>
  <c r="P19"/>
  <c r="P18"/>
  <c r="N18"/>
  <c r="M18"/>
  <c r="J18"/>
  <c r="I18"/>
  <c r="F18"/>
  <c r="E18"/>
  <c r="Q17"/>
  <c r="Q16"/>
  <c r="Q15"/>
  <c r="Q14"/>
  <c r="Q13"/>
  <c r="Q12"/>
  <c r="Q11"/>
  <c r="Q10"/>
  <c r="Q9"/>
  <c r="Q8"/>
  <c r="Q4"/>
  <c r="O3"/>
  <c r="O18" s="1"/>
  <c r="N3"/>
  <c r="N19" s="1"/>
  <c r="M3"/>
  <c r="M19" s="1"/>
  <c r="L3"/>
  <c r="L18" s="1"/>
  <c r="K3"/>
  <c r="K19" s="1"/>
  <c r="J3"/>
  <c r="J19" s="1"/>
  <c r="I3"/>
  <c r="I19" s="1"/>
  <c r="H3"/>
  <c r="H18" s="1"/>
  <c r="G3"/>
  <c r="G19" s="1"/>
  <c r="F3"/>
  <c r="F19" s="1"/>
  <c r="E3"/>
  <c r="E19" s="1"/>
  <c r="D3"/>
  <c r="Q2"/>
  <c r="Q1"/>
  <c r="Q89" i="13" l="1"/>
  <c r="Q11" i="6" s="1"/>
  <c r="D11"/>
  <c r="O11" s="1"/>
  <c r="Q69" i="13"/>
  <c r="Q51"/>
  <c r="Q9" i="6" s="1"/>
  <c r="Q70" i="13"/>
  <c r="Q10" i="6" s="1"/>
  <c r="D10"/>
  <c r="O10" s="1"/>
  <c r="Q50" i="13"/>
  <c r="D9" i="6"/>
  <c r="O9" s="1"/>
  <c r="E15"/>
  <c r="I15"/>
  <c r="M15"/>
  <c r="J15"/>
  <c r="N15"/>
  <c r="D109" i="13"/>
  <c r="F121"/>
  <c r="N121"/>
  <c r="H121"/>
  <c r="L121"/>
  <c r="M121"/>
  <c r="I121"/>
  <c r="E121"/>
  <c r="O121"/>
  <c r="K121"/>
  <c r="G121"/>
  <c r="J121"/>
  <c r="D121"/>
  <c r="D110"/>
  <c r="Q18" i="14"/>
  <c r="H19"/>
  <c r="L19"/>
  <c r="O19"/>
  <c r="G18"/>
  <c r="K18"/>
  <c r="Q3"/>
  <c r="K15" i="6" l="1"/>
  <c r="G15"/>
  <c r="F15"/>
  <c r="L15"/>
  <c r="H15"/>
  <c r="Q19" i="14"/>
  <c r="C28" i="6" l="1"/>
  <c r="D15"/>
  <c r="C15"/>
  <c r="F28"/>
  <c r="C8"/>
  <c r="C20" l="1"/>
  <c r="G14"/>
  <c r="Q6" i="12"/>
  <c r="P19"/>
  <c r="O19"/>
  <c r="N19"/>
  <c r="M19"/>
  <c r="L19"/>
  <c r="K19"/>
  <c r="J19"/>
  <c r="I19"/>
  <c r="H19"/>
  <c r="G19"/>
  <c r="F19"/>
  <c r="E19"/>
  <c r="D19"/>
  <c r="P18"/>
  <c r="O18"/>
  <c r="N18"/>
  <c r="M18"/>
  <c r="L18"/>
  <c r="K18"/>
  <c r="J18"/>
  <c r="I18"/>
  <c r="H18"/>
  <c r="G18"/>
  <c r="F18"/>
  <c r="E18"/>
  <c r="D18"/>
  <c r="Q17"/>
  <c r="Q16"/>
  <c r="Q15"/>
  <c r="Q14"/>
  <c r="Q13"/>
  <c r="Q12"/>
  <c r="Q11"/>
  <c r="Q10"/>
  <c r="Q9"/>
  <c r="Q8"/>
  <c r="Q7"/>
  <c r="Q5"/>
  <c r="Q4"/>
  <c r="Q3"/>
  <c r="Q2"/>
  <c r="Q1"/>
  <c r="E28" i="6" l="1"/>
  <c r="Q18" i="12"/>
  <c r="Q19"/>
  <c r="Q30" i="13" l="1"/>
  <c r="Q4"/>
  <c r="Q4" i="9"/>
  <c r="J117" i="13" l="1"/>
  <c r="J116"/>
  <c r="J115"/>
  <c r="J114"/>
  <c r="J113"/>
  <c r="J112"/>
  <c r="D117" l="1"/>
  <c r="E32"/>
  <c r="D63" i="9"/>
  <c r="D52"/>
  <c r="D8" i="6" l="1"/>
  <c r="E117" i="13"/>
  <c r="F117"/>
  <c r="G117"/>
  <c r="H117"/>
  <c r="I117"/>
  <c r="K117"/>
  <c r="L117"/>
  <c r="M117"/>
  <c r="N117"/>
  <c r="O117"/>
  <c r="P117"/>
  <c r="Q117" s="1"/>
  <c r="E116"/>
  <c r="F116"/>
  <c r="G116"/>
  <c r="H116"/>
  <c r="I116"/>
  <c r="K116"/>
  <c r="L116"/>
  <c r="M116"/>
  <c r="N116"/>
  <c r="O116"/>
  <c r="P116"/>
  <c r="E115"/>
  <c r="F115"/>
  <c r="G115"/>
  <c r="H115"/>
  <c r="I115"/>
  <c r="K115"/>
  <c r="L115"/>
  <c r="M115"/>
  <c r="N115"/>
  <c r="O115"/>
  <c r="P115"/>
  <c r="E114"/>
  <c r="F114"/>
  <c r="G114"/>
  <c r="H114"/>
  <c r="I114"/>
  <c r="K114"/>
  <c r="L114"/>
  <c r="M114"/>
  <c r="N114"/>
  <c r="O114"/>
  <c r="P114"/>
  <c r="E113"/>
  <c r="F113"/>
  <c r="G113"/>
  <c r="H113"/>
  <c r="I113"/>
  <c r="K113"/>
  <c r="L113"/>
  <c r="M113"/>
  <c r="N113"/>
  <c r="O113"/>
  <c r="P113"/>
  <c r="E112"/>
  <c r="F112"/>
  <c r="G112"/>
  <c r="H112"/>
  <c r="I112"/>
  <c r="K112"/>
  <c r="L112"/>
  <c r="M112"/>
  <c r="N112"/>
  <c r="O112"/>
  <c r="P112"/>
  <c r="P110"/>
  <c r="Q110" s="1"/>
  <c r="D116"/>
  <c r="D115"/>
  <c r="D114"/>
  <c r="D113"/>
  <c r="P109"/>
  <c r="Q109" s="1"/>
  <c r="E109"/>
  <c r="F109"/>
  <c r="G109"/>
  <c r="H109"/>
  <c r="I109"/>
  <c r="K109"/>
  <c r="L109"/>
  <c r="M109"/>
  <c r="N109"/>
  <c r="O109"/>
  <c r="Q14"/>
  <c r="D20" i="6" l="1"/>
  <c r="D6"/>
  <c r="Q116" i="13"/>
  <c r="Q115"/>
  <c r="Q114"/>
  <c r="Q113"/>
  <c r="Q112"/>
  <c r="O110"/>
  <c r="N110"/>
  <c r="M110"/>
  <c r="L110"/>
  <c r="I110"/>
  <c r="H110"/>
  <c r="G110"/>
  <c r="E110"/>
  <c r="P32"/>
  <c r="P111" s="1"/>
  <c r="O32"/>
  <c r="N8" i="6" s="1"/>
  <c r="N32" i="13"/>
  <c r="M8" i="6" s="1"/>
  <c r="M32" i="13"/>
  <c r="L8" i="6" s="1"/>
  <c r="L32" i="13"/>
  <c r="K8" i="6" s="1"/>
  <c r="K32" i="13"/>
  <c r="J8" i="6" s="1"/>
  <c r="J32" i="13"/>
  <c r="I8" i="6" s="1"/>
  <c r="I32" i="13"/>
  <c r="H8" i="6" s="1"/>
  <c r="H32" i="13"/>
  <c r="G8" i="6" s="1"/>
  <c r="G32" i="13"/>
  <c r="F8" i="6" s="1"/>
  <c r="F32" i="13"/>
  <c r="E8" i="6" s="1"/>
  <c r="P31" i="13"/>
  <c r="O31"/>
  <c r="N31"/>
  <c r="M31"/>
  <c r="L31"/>
  <c r="K31"/>
  <c r="J31"/>
  <c r="I31"/>
  <c r="H31"/>
  <c r="G31"/>
  <c r="F31"/>
  <c r="E31"/>
  <c r="Q29"/>
  <c r="Q28"/>
  <c r="Q27"/>
  <c r="Q26"/>
  <c r="Q25"/>
  <c r="Q24"/>
  <c r="Q23"/>
  <c r="Q22"/>
  <c r="Q21"/>
  <c r="Q20"/>
  <c r="Q19"/>
  <c r="Q18"/>
  <c r="Q17"/>
  <c r="Q16"/>
  <c r="Q15"/>
  <c r="O13"/>
  <c r="N7" i="6" s="1"/>
  <c r="N19" s="1"/>
  <c r="N13" i="13"/>
  <c r="M7" i="6" s="1"/>
  <c r="M13" i="13"/>
  <c r="L7" i="6" s="1"/>
  <c r="L13" i="13"/>
  <c r="K7" i="6" s="1"/>
  <c r="K19" s="1"/>
  <c r="K13" i="13"/>
  <c r="J7" i="6" s="1"/>
  <c r="J13" i="13"/>
  <c r="I7" i="6" s="1"/>
  <c r="I13" i="13"/>
  <c r="H7" i="6" s="1"/>
  <c r="H13" i="13"/>
  <c r="G7" i="6" s="1"/>
  <c r="G13" i="13"/>
  <c r="F7" i="6" s="1"/>
  <c r="F13" i="13"/>
  <c r="E7" i="6" s="1"/>
  <c r="E13" i="13"/>
  <c r="D7" i="6" s="1"/>
  <c r="D19" s="1"/>
  <c r="Q12" i="13"/>
  <c r="Q11"/>
  <c r="Q10"/>
  <c r="Q9"/>
  <c r="Q8"/>
  <c r="Q7"/>
  <c r="Q6"/>
  <c r="Q5"/>
  <c r="E20" i="6" l="1"/>
  <c r="E6"/>
  <c r="I20"/>
  <c r="I6"/>
  <c r="M20"/>
  <c r="M6"/>
  <c r="F6"/>
  <c r="F20"/>
  <c r="J6"/>
  <c r="J20"/>
  <c r="N6"/>
  <c r="N20"/>
  <c r="H20"/>
  <c r="H6"/>
  <c r="L20"/>
  <c r="L6"/>
  <c r="G6"/>
  <c r="G20"/>
  <c r="K6"/>
  <c r="K20"/>
  <c r="D22"/>
  <c r="C19"/>
  <c r="D111" i="13"/>
  <c r="O8" i="6"/>
  <c r="F110" i="13"/>
  <c r="J109"/>
  <c r="J110"/>
  <c r="O111"/>
  <c r="Q32"/>
  <c r="Q8" i="6" s="1"/>
  <c r="K111" i="13"/>
  <c r="K110"/>
  <c r="I111"/>
  <c r="H111"/>
  <c r="G111"/>
  <c r="M111"/>
  <c r="L111"/>
  <c r="Q31"/>
  <c r="E111"/>
  <c r="Q13"/>
  <c r="Q7" i="6" s="1"/>
  <c r="F111" i="13"/>
  <c r="J111"/>
  <c r="N111"/>
  <c r="C27" i="6" l="1"/>
  <c r="C29" s="1"/>
  <c r="E27"/>
  <c r="E29" s="1"/>
  <c r="D27"/>
  <c r="D29" s="1"/>
  <c r="F27"/>
  <c r="F29" s="1"/>
  <c r="C22"/>
  <c r="O7"/>
  <c r="O20"/>
  <c r="Q111" i="13"/>
  <c r="O63" i="9" l="1"/>
  <c r="N63"/>
  <c r="M63"/>
  <c r="L63"/>
  <c r="K63"/>
  <c r="J63"/>
  <c r="I63"/>
  <c r="H63"/>
  <c r="G63"/>
  <c r="F63"/>
  <c r="E63"/>
  <c r="R63"/>
  <c r="Q60"/>
  <c r="P60"/>
  <c r="O60"/>
  <c r="N60"/>
  <c r="M60"/>
  <c r="L60"/>
  <c r="K60"/>
  <c r="J60"/>
  <c r="I60"/>
  <c r="H60"/>
  <c r="G60"/>
  <c r="F60"/>
  <c r="E60"/>
  <c r="D60"/>
  <c r="Q59"/>
  <c r="P59"/>
  <c r="O59"/>
  <c r="N59"/>
  <c r="M59"/>
  <c r="L59"/>
  <c r="K59"/>
  <c r="J59"/>
  <c r="I59"/>
  <c r="H59"/>
  <c r="G59"/>
  <c r="F59"/>
  <c r="E59"/>
  <c r="D59"/>
  <c r="Q58"/>
  <c r="P58"/>
  <c r="O58"/>
  <c r="N58"/>
  <c r="M58"/>
  <c r="L58"/>
  <c r="K58"/>
  <c r="J58"/>
  <c r="I58"/>
  <c r="H58"/>
  <c r="G58"/>
  <c r="F58"/>
  <c r="E58"/>
  <c r="D58"/>
  <c r="Q57"/>
  <c r="P57"/>
  <c r="O57"/>
  <c r="N57"/>
  <c r="M57"/>
  <c r="L57"/>
  <c r="K57"/>
  <c r="J57"/>
  <c r="I57"/>
  <c r="H57"/>
  <c r="G57"/>
  <c r="F57"/>
  <c r="E57"/>
  <c r="D57"/>
  <c r="Q56"/>
  <c r="P56"/>
  <c r="O56"/>
  <c r="N56"/>
  <c r="M56"/>
  <c r="L56"/>
  <c r="K56"/>
  <c r="J56"/>
  <c r="I56"/>
  <c r="H56"/>
  <c r="G56"/>
  <c r="F56"/>
  <c r="E56"/>
  <c r="D56"/>
  <c r="Q55"/>
  <c r="P55"/>
  <c r="O55"/>
  <c r="N55"/>
  <c r="M55"/>
  <c r="L55"/>
  <c r="K55"/>
  <c r="J55"/>
  <c r="I55"/>
  <c r="H55"/>
  <c r="G55"/>
  <c r="F55"/>
  <c r="E55"/>
  <c r="D55"/>
  <c r="P53"/>
  <c r="O53"/>
  <c r="M53"/>
  <c r="K53"/>
  <c r="I53"/>
  <c r="G53"/>
  <c r="E53"/>
  <c r="P52"/>
  <c r="O52"/>
  <c r="M52"/>
  <c r="K52"/>
  <c r="I52"/>
  <c r="G52"/>
  <c r="E52"/>
  <c r="P51"/>
  <c r="O51"/>
  <c r="O54" s="1"/>
  <c r="M51"/>
  <c r="M54" s="1"/>
  <c r="K51"/>
  <c r="K54" s="1"/>
  <c r="I51"/>
  <c r="I54" s="1"/>
  <c r="G51"/>
  <c r="G54" s="1"/>
  <c r="E51"/>
  <c r="E54" s="1"/>
  <c r="P50"/>
  <c r="O50"/>
  <c r="O64" s="1"/>
  <c r="M50"/>
  <c r="M64" s="1"/>
  <c r="K50"/>
  <c r="K64" s="1"/>
  <c r="I50"/>
  <c r="I64" s="1"/>
  <c r="G50"/>
  <c r="G64" s="1"/>
  <c r="E50"/>
  <c r="E64" s="1"/>
  <c r="Q49"/>
  <c r="Q48"/>
  <c r="Q47"/>
  <c r="Q46"/>
  <c r="Q45"/>
  <c r="Q44"/>
  <c r="Q43"/>
  <c r="Q42"/>
  <c r="Q41"/>
  <c r="Q40"/>
  <c r="Q39"/>
  <c r="Q38"/>
  <c r="Q37"/>
  <c r="Q36"/>
  <c r="O35"/>
  <c r="N35"/>
  <c r="N53" s="1"/>
  <c r="M35"/>
  <c r="L35"/>
  <c r="L52" s="1"/>
  <c r="K35"/>
  <c r="J35"/>
  <c r="J53" s="1"/>
  <c r="I35"/>
  <c r="H35"/>
  <c r="H52" s="1"/>
  <c r="G35"/>
  <c r="F35"/>
  <c r="F53" s="1"/>
  <c r="E35"/>
  <c r="D35"/>
  <c r="Q52" s="1"/>
  <c r="Q34"/>
  <c r="Q33"/>
  <c r="P32"/>
  <c r="P54" s="1"/>
  <c r="O32"/>
  <c r="N32"/>
  <c r="M32"/>
  <c r="L32"/>
  <c r="K32"/>
  <c r="J32"/>
  <c r="I32"/>
  <c r="H32"/>
  <c r="G32"/>
  <c r="F32"/>
  <c r="E32"/>
  <c r="D32"/>
  <c r="Q32" s="1"/>
  <c r="P31"/>
  <c r="O31"/>
  <c r="N31"/>
  <c r="M31"/>
  <c r="L31"/>
  <c r="K31"/>
  <c r="J31"/>
  <c r="I31"/>
  <c r="H31"/>
  <c r="G31"/>
  <c r="F31"/>
  <c r="E31"/>
  <c r="D31"/>
  <c r="Q31" s="1"/>
  <c r="Q30"/>
  <c r="Q29"/>
  <c r="Q28"/>
  <c r="Q27"/>
  <c r="Q26"/>
  <c r="Q25"/>
  <c r="Q24"/>
  <c r="Q23"/>
  <c r="Q22"/>
  <c r="Q21"/>
  <c r="Q20"/>
  <c r="Q19"/>
  <c r="Q18"/>
  <c r="Q17"/>
  <c r="Q16"/>
  <c r="Q15"/>
  <c r="Q14"/>
  <c r="O13"/>
  <c r="N13"/>
  <c r="M13"/>
  <c r="L13"/>
  <c r="K13"/>
  <c r="J13"/>
  <c r="I13"/>
  <c r="H13"/>
  <c r="G13"/>
  <c r="F13"/>
  <c r="E13"/>
  <c r="D13"/>
  <c r="Q12"/>
  <c r="Q11"/>
  <c r="Q10"/>
  <c r="Q9"/>
  <c r="Q8"/>
  <c r="Q7"/>
  <c r="Q6"/>
  <c r="Q5"/>
  <c r="F54" l="1"/>
  <c r="F50"/>
  <c r="F64" s="1"/>
  <c r="J50"/>
  <c r="J64" s="1"/>
  <c r="N50"/>
  <c r="N64" s="1"/>
  <c r="D51"/>
  <c r="H51"/>
  <c r="H54" s="1"/>
  <c r="L51"/>
  <c r="L54" s="1"/>
  <c r="F52"/>
  <c r="J52"/>
  <c r="N52"/>
  <c r="D53"/>
  <c r="Q53" s="1"/>
  <c r="H53"/>
  <c r="L53"/>
  <c r="Q13"/>
  <c r="Q35"/>
  <c r="D50"/>
  <c r="H50"/>
  <c r="H64" s="1"/>
  <c r="L50"/>
  <c r="L64" s="1"/>
  <c r="F51"/>
  <c r="J51"/>
  <c r="J54" s="1"/>
  <c r="N51"/>
  <c r="N54" s="1"/>
  <c r="Q50" l="1"/>
  <c r="D64"/>
  <c r="R64" s="1"/>
  <c r="Q51"/>
  <c r="D54"/>
  <c r="Q54" s="1"/>
  <c r="M19" i="6" l="1"/>
  <c r="J19" l="1"/>
  <c r="L19"/>
  <c r="I19"/>
  <c r="H19"/>
  <c r="F19"/>
  <c r="G19"/>
  <c r="E19"/>
  <c r="O19" l="1"/>
  <c r="O21"/>
  <c r="L22"/>
  <c r="I22" l="1"/>
  <c r="F22"/>
  <c r="K22"/>
  <c r="N22"/>
  <c r="J22"/>
  <c r="G22"/>
  <c r="E22"/>
  <c r="M22"/>
  <c r="H22" l="1"/>
  <c r="O22" s="1"/>
  <c r="G2" l="1"/>
</calcChain>
</file>

<file path=xl/comments1.xml><?xml version="1.0" encoding="utf-8"?>
<comments xmlns="http://schemas.openxmlformats.org/spreadsheetml/2006/main">
  <authors>
    <author>Yasuhiro Tanaka</author>
  </authors>
  <commentList>
    <comment ref="A33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comments2.xml><?xml version="1.0" encoding="utf-8"?>
<comments xmlns="http://schemas.openxmlformats.org/spreadsheetml/2006/main">
  <authors>
    <author>Yasuhiro Tanaka</author>
  </authors>
  <commentList>
    <comment ref="A1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sharedStrings.xml><?xml version="1.0" encoding="utf-8"?>
<sst xmlns="http://schemas.openxmlformats.org/spreadsheetml/2006/main" count="349" uniqueCount="101">
  <si>
    <t>氏名</t>
    <rPh sb="0" eb="2">
      <t>シメイ</t>
    </rPh>
    <phoneticPr fontId="3"/>
  </si>
  <si>
    <t>内容</t>
    <rPh sb="0" eb="2">
      <t>ナイヨウ</t>
    </rPh>
    <phoneticPr fontId="3"/>
  </si>
  <si>
    <t>2月</t>
    <rPh sb="1" eb="2">
      <t>ガツ</t>
    </rPh>
    <phoneticPr fontId="3"/>
  </si>
  <si>
    <t>3月</t>
    <rPh sb="1" eb="2">
      <t>ガツ</t>
    </rPh>
    <phoneticPr fontId="3"/>
  </si>
  <si>
    <t>雇用保険</t>
    <rPh sb="0" eb="2">
      <t>コヨウ</t>
    </rPh>
    <rPh sb="2" eb="4">
      <t>ホケン</t>
    </rPh>
    <phoneticPr fontId="3"/>
  </si>
  <si>
    <t>計</t>
    <rPh sb="0" eb="1">
      <t>ケイ</t>
    </rPh>
    <phoneticPr fontId="3"/>
  </si>
  <si>
    <t>役員手当</t>
    <rPh sb="0" eb="2">
      <t>ヤクイン</t>
    </rPh>
    <rPh sb="2" eb="4">
      <t>テアテ</t>
    </rPh>
    <phoneticPr fontId="3"/>
  </si>
  <si>
    <t>所得税</t>
    <rPh sb="0" eb="3">
      <t>ショトクゼイ</t>
    </rPh>
    <phoneticPr fontId="3"/>
  </si>
  <si>
    <t>基本給</t>
    <rPh sb="0" eb="3">
      <t>キホンキュウ</t>
    </rPh>
    <phoneticPr fontId="3"/>
  </si>
  <si>
    <t>営業手当</t>
    <rPh sb="0" eb="2">
      <t>エイギョウ</t>
    </rPh>
    <rPh sb="2" eb="4">
      <t>テアテ</t>
    </rPh>
    <phoneticPr fontId="3"/>
  </si>
  <si>
    <t>交通費</t>
    <rPh sb="0" eb="3">
      <t>コウツウヒ</t>
    </rPh>
    <phoneticPr fontId="3"/>
  </si>
  <si>
    <t>控除</t>
    <rPh sb="0" eb="2">
      <t>コウジョ</t>
    </rPh>
    <phoneticPr fontId="3"/>
  </si>
  <si>
    <t>支給１</t>
    <rPh sb="0" eb="2">
      <t>シキュウ</t>
    </rPh>
    <phoneticPr fontId="3"/>
  </si>
  <si>
    <t>支給２</t>
    <rPh sb="0" eb="2">
      <t>シキュウ</t>
    </rPh>
    <phoneticPr fontId="3"/>
  </si>
  <si>
    <t>役職手当</t>
    <rPh sb="0" eb="2">
      <t>ヤクショク</t>
    </rPh>
    <rPh sb="2" eb="4">
      <t>テアテ</t>
    </rPh>
    <phoneticPr fontId="3"/>
  </si>
  <si>
    <t>扶養家族手当</t>
    <rPh sb="0" eb="2">
      <t>フヨウ</t>
    </rPh>
    <rPh sb="2" eb="4">
      <t>カゾク</t>
    </rPh>
    <rPh sb="4" eb="6">
      <t>テアテ</t>
    </rPh>
    <phoneticPr fontId="3"/>
  </si>
  <si>
    <t>住宅手当</t>
    <rPh sb="0" eb="2">
      <t>ジュウタク</t>
    </rPh>
    <rPh sb="2" eb="4">
      <t>テアテ</t>
    </rPh>
    <phoneticPr fontId="3"/>
  </si>
  <si>
    <t>住民税</t>
    <rPh sb="0" eb="3">
      <t>ジュウミンゼイ</t>
    </rPh>
    <phoneticPr fontId="3"/>
  </si>
  <si>
    <t>健康保険料</t>
    <rPh sb="0" eb="2">
      <t>ケンコウ</t>
    </rPh>
    <rPh sb="2" eb="5">
      <t>ホケンリョウ</t>
    </rPh>
    <phoneticPr fontId="3"/>
  </si>
  <si>
    <t>厚生年金</t>
    <rPh sb="0" eb="2">
      <t>コウセイ</t>
    </rPh>
    <rPh sb="2" eb="4">
      <t>ネンキン</t>
    </rPh>
    <phoneticPr fontId="3"/>
  </si>
  <si>
    <t>源泉徴収合計</t>
    <rPh sb="0" eb="2">
      <t>ゲンセン</t>
    </rPh>
    <rPh sb="2" eb="4">
      <t>チョウシュウ</t>
    </rPh>
    <rPh sb="4" eb="6">
      <t>ゴウケイ</t>
    </rPh>
    <phoneticPr fontId="3"/>
  </si>
  <si>
    <t>交通費合計</t>
    <rPh sb="0" eb="3">
      <t>コウツウヒ</t>
    </rPh>
    <rPh sb="3" eb="5">
      <t>ゴウケイ</t>
    </rPh>
    <phoneticPr fontId="3"/>
  </si>
  <si>
    <t>雇用保険合計</t>
    <rPh sb="0" eb="2">
      <t>コヨウ</t>
    </rPh>
    <rPh sb="2" eb="4">
      <t>ホケン</t>
    </rPh>
    <rPh sb="4" eb="6">
      <t>ゴウケイ</t>
    </rPh>
    <phoneticPr fontId="3"/>
  </si>
  <si>
    <t>９月支給</t>
    <rPh sb="1" eb="2">
      <t>ガツ</t>
    </rPh>
    <rPh sb="2" eb="4">
      <t>シキュウ</t>
    </rPh>
    <phoneticPr fontId="3"/>
  </si>
  <si>
    <t>６月支給</t>
    <rPh sb="1" eb="2">
      <t>ガツ</t>
    </rPh>
    <rPh sb="2" eb="4">
      <t>シキュウ</t>
    </rPh>
    <phoneticPr fontId="3"/>
  </si>
  <si>
    <t>７月支給</t>
    <rPh sb="1" eb="2">
      <t>ガツ</t>
    </rPh>
    <rPh sb="2" eb="4">
      <t>シキュウ</t>
    </rPh>
    <phoneticPr fontId="3"/>
  </si>
  <si>
    <t>８月支給</t>
    <rPh sb="1" eb="2">
      <t>ガツ</t>
    </rPh>
    <rPh sb="2" eb="4">
      <t>シキュウ</t>
    </rPh>
    <phoneticPr fontId="3"/>
  </si>
  <si>
    <t>１０月支給</t>
    <rPh sb="2" eb="3">
      <t>ガツ</t>
    </rPh>
    <rPh sb="3" eb="5">
      <t>シキュウ</t>
    </rPh>
    <phoneticPr fontId="3"/>
  </si>
  <si>
    <t>１２月支給</t>
    <rPh sb="2" eb="3">
      <t>ガツ</t>
    </rPh>
    <rPh sb="3" eb="5">
      <t>シキュウ</t>
    </rPh>
    <phoneticPr fontId="3"/>
  </si>
  <si>
    <t>8月</t>
    <phoneticPr fontId="3"/>
  </si>
  <si>
    <t>支給２</t>
    <phoneticPr fontId="3"/>
  </si>
  <si>
    <t>総支給額</t>
    <phoneticPr fontId="3"/>
  </si>
  <si>
    <t>１月支給</t>
    <rPh sb="1" eb="2">
      <t>ガツ</t>
    </rPh>
    <rPh sb="2" eb="4">
      <t>シキュウ</t>
    </rPh>
    <phoneticPr fontId="3"/>
  </si>
  <si>
    <t>２月支給</t>
    <rPh sb="1" eb="2">
      <t>ガツ</t>
    </rPh>
    <rPh sb="2" eb="4">
      <t>シキュウ</t>
    </rPh>
    <phoneticPr fontId="3"/>
  </si>
  <si>
    <t>３月支給</t>
    <rPh sb="1" eb="2">
      <t>ガツ</t>
    </rPh>
    <rPh sb="2" eb="4">
      <t>シキュウ</t>
    </rPh>
    <phoneticPr fontId="3"/>
  </si>
  <si>
    <t>４月支給</t>
    <rPh sb="1" eb="2">
      <t>ガツ</t>
    </rPh>
    <rPh sb="2" eb="4">
      <t>シキュウ</t>
    </rPh>
    <phoneticPr fontId="3"/>
  </si>
  <si>
    <t>５月支給</t>
    <rPh sb="1" eb="2">
      <t>ガツ</t>
    </rPh>
    <rPh sb="2" eb="4">
      <t>シキュウ</t>
    </rPh>
    <phoneticPr fontId="3"/>
  </si>
  <si>
    <t>１１月支給</t>
    <rPh sb="2" eb="3">
      <t>ガツ</t>
    </rPh>
    <rPh sb="3" eb="5">
      <t>シキュウ</t>
    </rPh>
    <phoneticPr fontId="3"/>
  </si>
  <si>
    <t>特別手当</t>
    <rPh sb="0" eb="2">
      <t>トクベツ</t>
    </rPh>
    <rPh sb="2" eb="4">
      <t>テアテ</t>
    </rPh>
    <phoneticPr fontId="3"/>
  </si>
  <si>
    <t>会社貸付金</t>
    <rPh sb="0" eb="2">
      <t>カイシャ</t>
    </rPh>
    <rPh sb="2" eb="4">
      <t>カシツケ</t>
    </rPh>
    <rPh sb="4" eb="5">
      <t>キン</t>
    </rPh>
    <phoneticPr fontId="3"/>
  </si>
  <si>
    <t>月給与合計</t>
    <rPh sb="0" eb="1">
      <t>ツキ</t>
    </rPh>
    <rPh sb="1" eb="3">
      <t>キュウヨ</t>
    </rPh>
    <rPh sb="3" eb="5">
      <t>ゴウケイ</t>
    </rPh>
    <phoneticPr fontId="3"/>
  </si>
  <si>
    <t>従業員月給与計</t>
    <rPh sb="0" eb="3">
      <t>ジュウギョウイン</t>
    </rPh>
    <rPh sb="3" eb="4">
      <t>ツキ</t>
    </rPh>
    <rPh sb="4" eb="6">
      <t>キュウヨ</t>
    </rPh>
    <rPh sb="6" eb="7">
      <t>ケイ</t>
    </rPh>
    <phoneticPr fontId="3"/>
  </si>
  <si>
    <t>調整金</t>
    <rPh sb="0" eb="2">
      <t>チョウセイ</t>
    </rPh>
    <rPh sb="2" eb="3">
      <t>キン</t>
    </rPh>
    <phoneticPr fontId="3"/>
  </si>
  <si>
    <t>市民税徴収合計</t>
    <rPh sb="0" eb="3">
      <t>シミンゼイ</t>
    </rPh>
    <rPh sb="3" eb="5">
      <t>チョウシュウ</t>
    </rPh>
    <rPh sb="5" eb="7">
      <t>ゴウケイ</t>
    </rPh>
    <phoneticPr fontId="3"/>
  </si>
  <si>
    <t>9月</t>
    <phoneticPr fontId="3"/>
  </si>
  <si>
    <t>10月</t>
    <phoneticPr fontId="3"/>
  </si>
  <si>
    <t>11月</t>
    <phoneticPr fontId="3"/>
  </si>
  <si>
    <t>12月</t>
    <phoneticPr fontId="3"/>
  </si>
  <si>
    <t>1月</t>
    <phoneticPr fontId="3"/>
  </si>
  <si>
    <t>4月</t>
    <phoneticPr fontId="3"/>
  </si>
  <si>
    <t>5月</t>
    <phoneticPr fontId="3"/>
  </si>
  <si>
    <t>6月</t>
    <phoneticPr fontId="3"/>
  </si>
  <si>
    <t>管理手当</t>
    <rPh sb="0" eb="2">
      <t>カンリ</t>
    </rPh>
    <rPh sb="2" eb="4">
      <t>テアテ</t>
    </rPh>
    <phoneticPr fontId="3"/>
  </si>
  <si>
    <t>厚生費合計</t>
    <rPh sb="0" eb="3">
      <t>コウセイヒ</t>
    </rPh>
    <rPh sb="3" eb="5">
      <t>ゴウケイ</t>
    </rPh>
    <phoneticPr fontId="3"/>
  </si>
  <si>
    <t>課税対象額</t>
    <rPh sb="0" eb="2">
      <t>カゼイ</t>
    </rPh>
    <rPh sb="2" eb="4">
      <t>タイショウ</t>
    </rPh>
    <rPh sb="4" eb="5">
      <t>ガク</t>
    </rPh>
    <phoneticPr fontId="3"/>
  </si>
  <si>
    <t>精算分1</t>
    <rPh sb="2" eb="3">
      <t>ブン</t>
    </rPh>
    <phoneticPr fontId="3"/>
  </si>
  <si>
    <t>精算分2</t>
    <rPh sb="2" eb="3">
      <t>ブン</t>
    </rPh>
    <phoneticPr fontId="3"/>
  </si>
  <si>
    <t>精算合計</t>
    <rPh sb="0" eb="2">
      <t>セイサン</t>
    </rPh>
    <rPh sb="2" eb="4">
      <t>ゴウケイ</t>
    </rPh>
    <phoneticPr fontId="3"/>
  </si>
  <si>
    <t>年合計</t>
    <rPh sb="0" eb="1">
      <t>ネン</t>
    </rPh>
    <rPh sb="1" eb="3">
      <t>ゴウケイ</t>
    </rPh>
    <phoneticPr fontId="3"/>
  </si>
  <si>
    <t>7月</t>
    <phoneticPr fontId="3"/>
  </si>
  <si>
    <t>厚生年金</t>
  </si>
  <si>
    <t>精算分3</t>
    <rPh sb="2" eb="3">
      <t>ブン</t>
    </rPh>
    <phoneticPr fontId="3"/>
  </si>
  <si>
    <t>■社員</t>
    <rPh sb="1" eb="3">
      <t>シャイン</t>
    </rPh>
    <phoneticPr fontId="3"/>
  </si>
  <si>
    <t>■アルバイト・パート</t>
    <phoneticPr fontId="3"/>
  </si>
  <si>
    <t>年度支給額計</t>
    <rPh sb="0" eb="2">
      <t>ネンド</t>
    </rPh>
    <rPh sb="2" eb="5">
      <t>シキュウガク</t>
    </rPh>
    <rPh sb="5" eb="6">
      <t>ケイ</t>
    </rPh>
    <phoneticPr fontId="3"/>
  </si>
  <si>
    <t>社員月次計</t>
    <rPh sb="0" eb="2">
      <t>シャイン</t>
    </rPh>
    <rPh sb="2" eb="4">
      <t>ゲツジ</t>
    </rPh>
    <rPh sb="4" eb="5">
      <t>ケイ</t>
    </rPh>
    <phoneticPr fontId="3"/>
  </si>
  <si>
    <t>ｱﾙﾊﾞｲﾄ･ﾊﾟｰﾄ月次計</t>
    <rPh sb="11" eb="13">
      <t>ゲツジ</t>
    </rPh>
    <rPh sb="13" eb="14">
      <t>ケイ</t>
    </rPh>
    <phoneticPr fontId="3"/>
  </si>
  <si>
    <t>月次合計</t>
    <rPh sb="0" eb="2">
      <t>ゲツジ</t>
    </rPh>
    <rPh sb="2" eb="4">
      <t>ゴウケイ</t>
    </rPh>
    <phoneticPr fontId="3"/>
  </si>
  <si>
    <t>9月支給賞与</t>
    <phoneticPr fontId="3"/>
  </si>
  <si>
    <t>ボーナス込み</t>
    <rPh sb="4" eb="5">
      <t>コ</t>
    </rPh>
    <phoneticPr fontId="3"/>
  </si>
  <si>
    <t>精算分2</t>
    <rPh sb="0" eb="2">
      <t>セイサン</t>
    </rPh>
    <rPh sb="2" eb="3">
      <t>ブン</t>
    </rPh>
    <phoneticPr fontId="3"/>
  </si>
  <si>
    <t>精算分1</t>
    <rPh sb="0" eb="2">
      <t>セイサン</t>
    </rPh>
    <rPh sb="2" eb="3">
      <t>ブン</t>
    </rPh>
    <phoneticPr fontId="3"/>
  </si>
  <si>
    <t>役員計</t>
    <rPh sb="0" eb="2">
      <t>ヤクイン</t>
    </rPh>
    <rPh sb="2" eb="3">
      <t>ケイ</t>
    </rPh>
    <phoneticPr fontId="3"/>
  </si>
  <si>
    <t>１１月～３月支給</t>
    <rPh sb="2" eb="3">
      <t>ガツ</t>
    </rPh>
    <rPh sb="5" eb="6">
      <t>ガツ</t>
    </rPh>
    <rPh sb="6" eb="8">
      <t>シキュウ</t>
    </rPh>
    <phoneticPr fontId="3"/>
  </si>
  <si>
    <t>４月～１０月支給</t>
    <rPh sb="1" eb="2">
      <t>ガツ</t>
    </rPh>
    <rPh sb="5" eb="6">
      <t>ガツ</t>
    </rPh>
    <rPh sb="6" eb="8">
      <t>シキュウ</t>
    </rPh>
    <phoneticPr fontId="3"/>
  </si>
  <si>
    <t>社員</t>
    <rPh sb="0" eb="2">
      <t>シャイン</t>
    </rPh>
    <phoneticPr fontId="3"/>
  </si>
  <si>
    <t>アルバイト</t>
    <phoneticPr fontId="3"/>
  </si>
  <si>
    <t>合計</t>
    <rPh sb="0" eb="2">
      <t>ゴウケイ</t>
    </rPh>
    <phoneticPr fontId="3"/>
  </si>
  <si>
    <t>２０１７年度社員給与明細</t>
    <rPh sb="4" eb="5">
      <t>ネン</t>
    </rPh>
    <rPh sb="5" eb="6">
      <t>ド</t>
    </rPh>
    <rPh sb="6" eb="8">
      <t>シャイン</t>
    </rPh>
    <rPh sb="8" eb="10">
      <t>キュウヨ</t>
    </rPh>
    <rPh sb="10" eb="12">
      <t>メイサイ</t>
    </rPh>
    <phoneticPr fontId="3"/>
  </si>
  <si>
    <t>2017年</t>
    <rPh sb="4" eb="5">
      <t>ネン</t>
    </rPh>
    <phoneticPr fontId="3"/>
  </si>
  <si>
    <t>★２０１７年度　給与振込額一覧</t>
    <rPh sb="5" eb="6">
      <t>ネン</t>
    </rPh>
    <rPh sb="6" eb="7">
      <t>ド</t>
    </rPh>
    <rPh sb="8" eb="10">
      <t>キュウヨ</t>
    </rPh>
    <rPh sb="10" eb="12">
      <t>フリコミ</t>
    </rPh>
    <rPh sb="12" eb="13">
      <t>ガク</t>
    </rPh>
    <rPh sb="13" eb="15">
      <t>イチラン</t>
    </rPh>
    <phoneticPr fontId="3"/>
  </si>
  <si>
    <t>社員計</t>
    <rPh sb="0" eb="2">
      <t>シャイン</t>
    </rPh>
    <rPh sb="2" eb="3">
      <t>ケイ</t>
    </rPh>
    <phoneticPr fontId="3"/>
  </si>
  <si>
    <t>バイト計</t>
    <rPh sb="3" eb="4">
      <t>ケイ</t>
    </rPh>
    <phoneticPr fontId="3"/>
  </si>
  <si>
    <t>あああ</t>
    <phoneticPr fontId="3"/>
  </si>
  <si>
    <t>時給</t>
    <rPh sb="0" eb="2">
      <t>ジキュウ</t>
    </rPh>
    <phoneticPr fontId="3"/>
  </si>
  <si>
    <t>時間数</t>
    <rPh sb="0" eb="3">
      <t>ジカンスウ</t>
    </rPh>
    <phoneticPr fontId="3"/>
  </si>
  <si>
    <t>小計</t>
    <rPh sb="0" eb="2">
      <t>ショウケイ</t>
    </rPh>
    <phoneticPr fontId="3"/>
  </si>
  <si>
    <t xml:space="preserve">基本給 </t>
    <rPh sb="0" eb="3">
      <t>キホンキュウ</t>
    </rPh>
    <phoneticPr fontId="3"/>
  </si>
  <si>
    <t xml:space="preserve">営業手当 </t>
    <rPh sb="0" eb="2">
      <t>エイギョウ</t>
    </rPh>
    <rPh sb="2" eb="4">
      <t>テアテ</t>
    </rPh>
    <phoneticPr fontId="3"/>
  </si>
  <si>
    <t xml:space="preserve">役職手当 </t>
    <rPh sb="0" eb="2">
      <t>ヤクショク</t>
    </rPh>
    <rPh sb="2" eb="4">
      <t>テアテ</t>
    </rPh>
    <phoneticPr fontId="3"/>
  </si>
  <si>
    <t xml:space="preserve">管理手当 </t>
    <rPh sb="0" eb="2">
      <t>カンリ</t>
    </rPh>
    <rPh sb="2" eb="4">
      <t>テアテ</t>
    </rPh>
    <phoneticPr fontId="3"/>
  </si>
  <si>
    <t xml:space="preserve">住宅手当 </t>
    <rPh sb="0" eb="2">
      <t>ジュウタク</t>
    </rPh>
    <rPh sb="2" eb="4">
      <t>テアテ</t>
    </rPh>
    <phoneticPr fontId="3"/>
  </si>
  <si>
    <t xml:space="preserve">特別手当 </t>
    <rPh sb="0" eb="2">
      <t>トクベツ</t>
    </rPh>
    <rPh sb="2" eb="4">
      <t>テアテ</t>
    </rPh>
    <phoneticPr fontId="3"/>
  </si>
  <si>
    <t xml:space="preserve">扶養家族手当 </t>
    <rPh sb="0" eb="2">
      <t>フヨウ</t>
    </rPh>
    <rPh sb="2" eb="4">
      <t>カゾク</t>
    </rPh>
    <rPh sb="4" eb="6">
      <t>テアテ</t>
    </rPh>
    <phoneticPr fontId="3"/>
  </si>
  <si>
    <t xml:space="preserve">調整金 </t>
    <rPh sb="0" eb="2">
      <t>チョウセイ</t>
    </rPh>
    <rPh sb="2" eb="3">
      <t>キン</t>
    </rPh>
    <phoneticPr fontId="3"/>
  </si>
  <si>
    <t xml:space="preserve">支給 </t>
    <rPh sb="0" eb="2">
      <t>シキュウ</t>
    </rPh>
    <phoneticPr fontId="3"/>
  </si>
  <si>
    <t>社長</t>
    <rPh sb="0" eb="2">
      <t>シャチョウ</t>
    </rPh>
    <phoneticPr fontId="3"/>
  </si>
  <si>
    <t>tanaka</t>
    <phoneticPr fontId="3"/>
  </si>
  <si>
    <t>sisi</t>
    <phoneticPr fontId="3"/>
  </si>
  <si>
    <t>小倉</t>
    <rPh sb="0" eb="2">
      <t>オグラ</t>
    </rPh>
    <phoneticPr fontId="3"/>
  </si>
  <si>
    <t>三宅</t>
    <rPh sb="0" eb="2">
      <t>ミヤケ</t>
    </rPh>
    <phoneticPr fontId="3"/>
  </si>
</sst>
</file>

<file path=xl/styles.xml><?xml version="1.0" encoding="utf-8"?>
<styleSheet xmlns="http://schemas.openxmlformats.org/spreadsheetml/2006/main">
  <numFmts count="3">
    <numFmt numFmtId="6" formatCode="&quot;¥&quot;#,##0;[Red]&quot;¥&quot;\-#,##0"/>
    <numFmt numFmtId="42" formatCode="_ &quot;¥&quot;* #,##0_ ;_ &quot;¥&quot;* \-#,##0_ ;_ &quot;¥&quot;* &quot;-&quot;_ ;_ @_ "/>
    <numFmt numFmtId="176" formatCode="0.0_);[Red]\(0.0\)"/>
  </numFmts>
  <fonts count="18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8"/>
      <color indexed="9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theme="0" tint="-0.14999847407452621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9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6"/>
      <color theme="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0" tint="-0.34998626667073579"/>
      <name val="ＭＳ Ｐゴシック"/>
      <family val="3"/>
      <charset val="128"/>
    </font>
    <font>
      <sz val="11"/>
      <color theme="0" tint="-0.249977111117893"/>
      <name val="ＭＳ Ｐゴシック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671F8"/>
        <bgColor indexed="64"/>
      </patternFill>
    </fill>
    <fill>
      <patternFill patternType="solid">
        <fgColor theme="7" tint="0.79998168889431442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</borders>
  <cellStyleXfs count="2">
    <xf numFmtId="0" fontId="0" fillId="0" borderId="0"/>
    <xf numFmtId="6" fontId="1" fillId="0" borderId="0" applyFont="0" applyFill="0" applyBorder="0" applyAlignment="0" applyProtection="0">
      <alignment vertical="center"/>
    </xf>
  </cellStyleXfs>
  <cellXfs count="192">
    <xf numFmtId="0" fontId="0" fillId="0" borderId="0" xfId="0"/>
    <xf numFmtId="42" fontId="4" fillId="0" borderId="0" xfId="0" applyNumberFormat="1" applyFont="1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2" fillId="2" borderId="0" xfId="0" applyFont="1" applyFill="1"/>
    <xf numFmtId="0" fontId="2" fillId="2" borderId="0" xfId="0" applyFont="1" applyFill="1" applyAlignment="1">
      <alignment horizontal="center"/>
    </xf>
    <xf numFmtId="42" fontId="4" fillId="0" borderId="0" xfId="0" applyNumberFormat="1" applyFont="1" applyAlignment="1">
      <alignment horizontal="center"/>
    </xf>
    <xf numFmtId="0" fontId="2" fillId="0" borderId="7" xfId="0" applyFont="1" applyBorder="1" applyAlignment="1">
      <alignment horizontal="center"/>
    </xf>
    <xf numFmtId="0" fontId="5" fillId="2" borderId="0" xfId="0" applyFont="1" applyFill="1"/>
    <xf numFmtId="42" fontId="4" fillId="0" borderId="9" xfId="0" applyNumberFormat="1" applyFont="1" applyFill="1" applyBorder="1"/>
    <xf numFmtId="42" fontId="4" fillId="0" borderId="10" xfId="0" applyNumberFormat="1" applyFont="1" applyFill="1" applyBorder="1"/>
    <xf numFmtId="42" fontId="2" fillId="0" borderId="12" xfId="0" applyNumberFormat="1" applyFont="1" applyBorder="1"/>
    <xf numFmtId="42" fontId="2" fillId="0" borderId="13" xfId="0" applyNumberFormat="1" applyFont="1" applyBorder="1"/>
    <xf numFmtId="42" fontId="2" fillId="0" borderId="14" xfId="0" applyNumberFormat="1" applyFont="1" applyBorder="1"/>
    <xf numFmtId="42" fontId="2" fillId="0" borderId="15" xfId="0" applyNumberFormat="1" applyFont="1" applyBorder="1"/>
    <xf numFmtId="42" fontId="6" fillId="2" borderId="16" xfId="0" applyNumberFormat="1" applyFont="1" applyFill="1" applyBorder="1" applyAlignment="1">
      <alignment horizontal="center"/>
    </xf>
    <xf numFmtId="42" fontId="4" fillId="0" borderId="0" xfId="0" applyNumberFormat="1" applyFont="1" applyFill="1" applyBorder="1"/>
    <xf numFmtId="42" fontId="2" fillId="0" borderId="0" xfId="0" applyNumberFormat="1" applyFont="1" applyBorder="1"/>
    <xf numFmtId="0" fontId="2" fillId="0" borderId="0" xfId="0" applyFont="1" applyFill="1" applyBorder="1" applyAlignment="1">
      <alignment horizontal="center"/>
    </xf>
    <xf numFmtId="42" fontId="4" fillId="0" borderId="17" xfId="0" applyNumberFormat="1" applyFont="1" applyFill="1" applyBorder="1"/>
    <xf numFmtId="42" fontId="4" fillId="0" borderId="18" xfId="0" applyNumberFormat="1" applyFont="1" applyFill="1" applyBorder="1"/>
    <xf numFmtId="42" fontId="4" fillId="0" borderId="19" xfId="0" applyNumberFormat="1" applyFont="1" applyFill="1" applyBorder="1"/>
    <xf numFmtId="42" fontId="4" fillId="0" borderId="20" xfId="0" applyNumberFormat="1" applyFont="1" applyFill="1" applyBorder="1"/>
    <xf numFmtId="42" fontId="4" fillId="0" borderId="21" xfId="0" applyNumberFormat="1" applyFont="1" applyFill="1" applyBorder="1"/>
    <xf numFmtId="42" fontId="4" fillId="0" borderId="22" xfId="0" applyNumberFormat="1" applyFont="1" applyFill="1" applyBorder="1"/>
    <xf numFmtId="42" fontId="4" fillId="0" borderId="23" xfId="0" applyNumberFormat="1" applyFont="1" applyFill="1" applyBorder="1"/>
    <xf numFmtId="42" fontId="4" fillId="0" borderId="0" xfId="0" applyNumberFormat="1" applyFont="1" applyFill="1"/>
    <xf numFmtId="42" fontId="4" fillId="0" borderId="0" xfId="0" applyNumberFormat="1" applyFont="1" applyFill="1" applyAlignment="1">
      <alignment horizontal="center"/>
    </xf>
    <xf numFmtId="42" fontId="4" fillId="4" borderId="0" xfId="0" applyNumberFormat="1" applyFont="1" applyFill="1"/>
    <xf numFmtId="42" fontId="4" fillId="4" borderId="0" xfId="0" applyNumberFormat="1" applyFont="1" applyFill="1" applyBorder="1"/>
    <xf numFmtId="14" fontId="4" fillId="0" borderId="0" xfId="0" applyNumberFormat="1" applyFont="1"/>
    <xf numFmtId="42" fontId="2" fillId="0" borderId="0" xfId="0" applyNumberFormat="1" applyFont="1"/>
    <xf numFmtId="0" fontId="2" fillId="5" borderId="29" xfId="0" applyFont="1" applyFill="1" applyBorder="1" applyAlignment="1">
      <alignment horizontal="center"/>
    </xf>
    <xf numFmtId="42" fontId="2" fillId="5" borderId="16" xfId="0" applyNumberFormat="1" applyFont="1" applyFill="1" applyBorder="1" applyAlignment="1">
      <alignment horizontal="center"/>
    </xf>
    <xf numFmtId="42" fontId="4" fillId="6" borderId="31" xfId="0" applyNumberFormat="1" applyFont="1" applyFill="1" applyBorder="1"/>
    <xf numFmtId="42" fontId="4" fillId="6" borderId="32" xfId="0" applyNumberFormat="1" applyFont="1" applyFill="1" applyBorder="1"/>
    <xf numFmtId="42" fontId="4" fillId="6" borderId="33" xfId="0" applyNumberFormat="1" applyFont="1" applyFill="1" applyBorder="1"/>
    <xf numFmtId="42" fontId="2" fillId="6" borderId="34" xfId="0" applyNumberFormat="1" applyFont="1" applyFill="1" applyBorder="1"/>
    <xf numFmtId="42" fontId="2" fillId="6" borderId="35" xfId="0" applyNumberFormat="1" applyFont="1" applyFill="1" applyBorder="1"/>
    <xf numFmtId="42" fontId="4" fillId="6" borderId="5" xfId="0" applyNumberFormat="1" applyFont="1" applyFill="1" applyBorder="1"/>
    <xf numFmtId="42" fontId="4" fillId="6" borderId="25" xfId="0" applyNumberFormat="1" applyFont="1" applyFill="1" applyBorder="1"/>
    <xf numFmtId="42" fontId="2" fillId="6" borderId="12" xfId="0" applyNumberFormat="1" applyFont="1" applyFill="1" applyBorder="1"/>
    <xf numFmtId="42" fontId="4" fillId="6" borderId="1" xfId="0" applyNumberFormat="1" applyFont="1" applyFill="1" applyBorder="1"/>
    <xf numFmtId="42" fontId="4" fillId="6" borderId="27" xfId="0" applyNumberFormat="1" applyFont="1" applyFill="1" applyBorder="1"/>
    <xf numFmtId="42" fontId="2" fillId="6" borderId="13" xfId="0" applyNumberFormat="1" applyFont="1" applyFill="1" applyBorder="1"/>
    <xf numFmtId="42" fontId="4" fillId="6" borderId="6" xfId="0" applyNumberFormat="1" applyFont="1" applyFill="1" applyBorder="1"/>
    <xf numFmtId="42" fontId="4" fillId="6" borderId="9" xfId="0" applyNumberFormat="1" applyFont="1" applyFill="1" applyBorder="1"/>
    <xf numFmtId="42" fontId="4" fillId="6" borderId="36" xfId="0" applyNumberFormat="1" applyFont="1" applyFill="1" applyBorder="1"/>
    <xf numFmtId="42" fontId="4" fillId="7" borderId="7" xfId="0" applyNumberFormat="1" applyFont="1" applyFill="1" applyBorder="1"/>
    <xf numFmtId="42" fontId="4" fillId="7" borderId="37" xfId="0" applyNumberFormat="1" applyFont="1" applyFill="1" applyBorder="1"/>
    <xf numFmtId="42" fontId="4" fillId="7" borderId="38" xfId="0" applyNumberFormat="1" applyFont="1" applyFill="1" applyBorder="1"/>
    <xf numFmtId="42" fontId="2" fillId="7" borderId="15" xfId="0" applyNumberFormat="1" applyFont="1" applyFill="1" applyBorder="1"/>
    <xf numFmtId="42" fontId="4" fillId="7" borderId="39" xfId="0" applyNumberFormat="1" applyFont="1" applyFill="1" applyBorder="1"/>
    <xf numFmtId="0" fontId="0" fillId="0" borderId="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10" fillId="0" borderId="0" xfId="0" applyFont="1"/>
    <xf numFmtId="0" fontId="12" fillId="0" borderId="0" xfId="0" applyFont="1"/>
    <xf numFmtId="42" fontId="10" fillId="5" borderId="0" xfId="0" applyNumberFormat="1" applyFont="1" applyFill="1" applyBorder="1" applyAlignment="1">
      <alignment horizontal="center"/>
    </xf>
    <xf numFmtId="0" fontId="13" fillId="9" borderId="0" xfId="0" applyFont="1" applyFill="1"/>
    <xf numFmtId="0" fontId="14" fillId="9" borderId="0" xfId="0" applyFont="1" applyFill="1"/>
    <xf numFmtId="0" fontId="15" fillId="0" borderId="0" xfId="0" applyFont="1"/>
    <xf numFmtId="42" fontId="15" fillId="0" borderId="0" xfId="0" applyNumberFormat="1" applyFont="1"/>
    <xf numFmtId="42" fontId="11" fillId="0" borderId="0" xfId="0" applyNumberFormat="1" applyFont="1"/>
    <xf numFmtId="0" fontId="0" fillId="0" borderId="0" xfId="0" applyFont="1"/>
    <xf numFmtId="0" fontId="10" fillId="7" borderId="0" xfId="0" applyFont="1" applyFill="1"/>
    <xf numFmtId="0" fontId="0" fillId="7" borderId="0" xfId="0" applyFill="1"/>
    <xf numFmtId="42" fontId="10" fillId="0" borderId="0" xfId="0" applyNumberFormat="1" applyFont="1" applyAlignment="1">
      <alignment horizontal="center"/>
    </xf>
    <xf numFmtId="42" fontId="10" fillId="0" borderId="0" xfId="0" applyNumberFormat="1" applyFont="1" applyFill="1" applyAlignment="1">
      <alignment horizontal="center"/>
    </xf>
    <xf numFmtId="0" fontId="0" fillId="0" borderId="0" xfId="0" applyFont="1" applyAlignment="1"/>
    <xf numFmtId="42" fontId="4" fillId="0" borderId="25" xfId="0" applyNumberFormat="1" applyFont="1" applyFill="1" applyBorder="1"/>
    <xf numFmtId="42" fontId="4" fillId="0" borderId="11" xfId="0" applyNumberFormat="1" applyFont="1" applyFill="1" applyBorder="1"/>
    <xf numFmtId="42" fontId="4" fillId="0" borderId="26" xfId="0" applyNumberFormat="1" applyFont="1" applyFill="1" applyBorder="1"/>
    <xf numFmtId="42" fontId="4" fillId="0" borderId="27" xfId="0" applyNumberFormat="1" applyFont="1" applyFill="1" applyBorder="1"/>
    <xf numFmtId="42" fontId="15" fillId="0" borderId="0" xfId="0" applyNumberFormat="1" applyFont="1" applyFill="1"/>
    <xf numFmtId="0" fontId="15" fillId="0" borderId="0" xfId="0" applyFont="1" applyFill="1"/>
    <xf numFmtId="42" fontId="1" fillId="5" borderId="28" xfId="0" applyNumberFormat="1" applyFont="1" applyFill="1" applyBorder="1" applyAlignment="1">
      <alignment horizontal="center"/>
    </xf>
    <xf numFmtId="42" fontId="0" fillId="5" borderId="28" xfId="0" applyNumberFormat="1" applyFont="1" applyFill="1" applyBorder="1" applyAlignment="1">
      <alignment horizontal="center"/>
    </xf>
    <xf numFmtId="42" fontId="2" fillId="5" borderId="28" xfId="0" applyNumberFormat="1" applyFont="1" applyFill="1" applyBorder="1" applyAlignment="1">
      <alignment horizontal="center"/>
    </xf>
    <xf numFmtId="42" fontId="4" fillId="0" borderId="5" xfId="0" applyNumberFormat="1" applyFont="1" applyFill="1" applyBorder="1"/>
    <xf numFmtId="42" fontId="4" fillId="0" borderId="1" xfId="0" applyNumberFormat="1" applyFont="1" applyFill="1" applyBorder="1"/>
    <xf numFmtId="42" fontId="4" fillId="0" borderId="6" xfId="0" applyNumberFormat="1" applyFont="1" applyFill="1" applyBorder="1"/>
    <xf numFmtId="42" fontId="4" fillId="0" borderId="41" xfId="0" applyNumberFormat="1" applyFont="1" applyFill="1" applyBorder="1"/>
    <xf numFmtId="42" fontId="4" fillId="0" borderId="4" xfId="0" applyNumberFormat="1" applyFont="1" applyFill="1" applyBorder="1"/>
    <xf numFmtId="42" fontId="4" fillId="0" borderId="2" xfId="0" applyNumberFormat="1" applyFont="1" applyFill="1" applyBorder="1"/>
    <xf numFmtId="42" fontId="4" fillId="0" borderId="42" xfId="0" applyNumberFormat="1" applyFont="1" applyFill="1" applyBorder="1"/>
    <xf numFmtId="42" fontId="4" fillId="0" borderId="3" xfId="0" applyNumberFormat="1" applyFont="1" applyFill="1" applyBorder="1"/>
    <xf numFmtId="42" fontId="4" fillId="0" borderId="43" xfId="0" applyNumberFormat="1" applyFont="1" applyFill="1" applyBorder="1"/>
    <xf numFmtId="42" fontId="4" fillId="0" borderId="44" xfId="0" applyNumberFormat="1" applyFont="1" applyFill="1" applyBorder="1"/>
    <xf numFmtId="176" fontId="4" fillId="0" borderId="6" xfId="0" applyNumberFormat="1" applyFont="1" applyFill="1" applyBorder="1"/>
    <xf numFmtId="42" fontId="4" fillId="0" borderId="7" xfId="0" applyNumberFormat="1" applyFont="1" applyFill="1" applyBorder="1"/>
    <xf numFmtId="0" fontId="0" fillId="0" borderId="7" xfId="0" applyFont="1" applyBorder="1" applyAlignment="1">
      <alignment horizontal="center"/>
    </xf>
    <xf numFmtId="42" fontId="0" fillId="0" borderId="0" xfId="0" applyNumberFormat="1"/>
    <xf numFmtId="42" fontId="4" fillId="0" borderId="63" xfId="0" applyNumberFormat="1" applyFont="1" applyFill="1" applyBorder="1"/>
    <xf numFmtId="0" fontId="16" fillId="0" borderId="0" xfId="0" applyFont="1" applyFill="1"/>
    <xf numFmtId="6" fontId="0" fillId="0" borderId="0" xfId="1" applyFont="1" applyAlignment="1"/>
    <xf numFmtId="0" fontId="0" fillId="0" borderId="0" xfId="0" applyFont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42" fontId="4" fillId="0" borderId="0" xfId="0" applyNumberFormat="1" applyFont="1" applyAlignment="1">
      <alignment wrapText="1"/>
    </xf>
    <xf numFmtId="0" fontId="0" fillId="0" borderId="0" xfId="0" applyAlignment="1"/>
    <xf numFmtId="0" fontId="0" fillId="0" borderId="0" xfId="0" applyFill="1"/>
    <xf numFmtId="42" fontId="2" fillId="7" borderId="35" xfId="0" applyNumberFormat="1" applyFont="1" applyFill="1" applyBorder="1"/>
    <xf numFmtId="42" fontId="2" fillId="0" borderId="66" xfId="0" applyNumberFormat="1" applyFont="1" applyFill="1" applyBorder="1"/>
    <xf numFmtId="42" fontId="2" fillId="0" borderId="13" xfId="0" applyNumberFormat="1" applyFont="1" applyFill="1" applyBorder="1"/>
    <xf numFmtId="42" fontId="2" fillId="0" borderId="34" xfId="0" applyNumberFormat="1" applyFont="1" applyFill="1" applyBorder="1"/>
    <xf numFmtId="42" fontId="2" fillId="0" borderId="12" xfId="0" applyNumberFormat="1" applyFont="1" applyFill="1" applyBorder="1"/>
    <xf numFmtId="42" fontId="2" fillId="0" borderId="15" xfId="0" applyNumberFormat="1" applyFont="1" applyFill="1" applyBorder="1"/>
    <xf numFmtId="42" fontId="2" fillId="0" borderId="14" xfId="0" applyNumberFormat="1" applyFont="1" applyFill="1" applyBorder="1"/>
    <xf numFmtId="0" fontId="17" fillId="0" borderId="0" xfId="0" applyNumberFormat="1" applyFont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2" fillId="0" borderId="0" xfId="0" applyFont="1" applyFill="1"/>
    <xf numFmtId="0" fontId="0" fillId="14" borderId="8" xfId="0" applyFill="1" applyBorder="1" applyAlignment="1">
      <alignment horizontal="center" vertical="center"/>
    </xf>
    <xf numFmtId="14" fontId="4" fillId="0" borderId="0" xfId="0" applyNumberFormat="1" applyFont="1" applyFill="1"/>
    <xf numFmtId="0" fontId="5" fillId="15" borderId="0" xfId="0" applyFont="1" applyFill="1"/>
    <xf numFmtId="0" fontId="2" fillId="15" borderId="0" xfId="0" applyFont="1" applyFill="1"/>
    <xf numFmtId="0" fontId="2" fillId="15" borderId="0" xfId="0" applyFont="1" applyFill="1" applyAlignment="1">
      <alignment horizontal="center"/>
    </xf>
    <xf numFmtId="0" fontId="0" fillId="0" borderId="0" xfId="0" applyNumberFormat="1"/>
    <xf numFmtId="42" fontId="0" fillId="0" borderId="0" xfId="0" applyNumberFormat="1" applyBorder="1"/>
    <xf numFmtId="0" fontId="0" fillId="0" borderId="64" xfId="0" applyNumberFormat="1" applyBorder="1"/>
    <xf numFmtId="42" fontId="0" fillId="0" borderId="64" xfId="0" applyNumberFormat="1" applyBorder="1"/>
    <xf numFmtId="42" fontId="0" fillId="0" borderId="65" xfId="0" applyNumberFormat="1" applyBorder="1"/>
    <xf numFmtId="0" fontId="0" fillId="0" borderId="65" xfId="0" applyNumberFormat="1" applyBorder="1"/>
    <xf numFmtId="0" fontId="0" fillId="0" borderId="0" xfId="0" applyNumberFormat="1" applyBorder="1"/>
    <xf numFmtId="0" fontId="2" fillId="6" borderId="55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56" xfId="0" applyFont="1" applyFill="1" applyBorder="1" applyAlignment="1">
      <alignment horizontal="center"/>
    </xf>
    <xf numFmtId="0" fontId="2" fillId="6" borderId="36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57" xfId="0" applyFont="1" applyFill="1" applyBorder="1" applyAlignment="1">
      <alignment horizontal="center"/>
    </xf>
    <xf numFmtId="0" fontId="2" fillId="6" borderId="58" xfId="0" applyFont="1" applyFill="1" applyBorder="1" applyAlignment="1">
      <alignment horizontal="center"/>
    </xf>
    <xf numFmtId="0" fontId="2" fillId="6" borderId="41" xfId="0" applyFont="1" applyFill="1" applyBorder="1" applyAlignment="1">
      <alignment horizontal="center"/>
    </xf>
    <xf numFmtId="0" fontId="2" fillId="6" borderId="52" xfId="0" applyFont="1" applyFill="1" applyBorder="1" applyAlignment="1">
      <alignment horizontal="center"/>
    </xf>
    <xf numFmtId="0" fontId="2" fillId="6" borderId="53" xfId="0" applyFont="1" applyFill="1" applyBorder="1" applyAlignment="1">
      <alignment horizontal="center"/>
    </xf>
    <xf numFmtId="0" fontId="0" fillId="8" borderId="46" xfId="0" applyFill="1" applyBorder="1" applyAlignment="1">
      <alignment horizontal="center" vertical="center"/>
    </xf>
    <xf numFmtId="0" fontId="2" fillId="8" borderId="47" xfId="0" applyFont="1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/>
    </xf>
    <xf numFmtId="0" fontId="2" fillId="3" borderId="49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7" borderId="50" xfId="0" applyFont="1" applyFill="1" applyBorder="1" applyAlignment="1">
      <alignment horizontal="center"/>
    </xf>
    <xf numFmtId="0" fontId="2" fillId="7" borderId="51" xfId="0" applyFont="1" applyFill="1" applyBorder="1" applyAlignment="1">
      <alignment horizontal="center"/>
    </xf>
    <xf numFmtId="0" fontId="0" fillId="0" borderId="46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2" fillId="5" borderId="59" xfId="0" applyFont="1" applyFill="1" applyBorder="1" applyAlignment="1">
      <alignment horizontal="center"/>
    </xf>
    <xf numFmtId="0" fontId="2" fillId="5" borderId="60" xfId="0" applyFont="1" applyFill="1" applyBorder="1" applyAlignment="1">
      <alignment horizontal="center"/>
    </xf>
    <xf numFmtId="0" fontId="2" fillId="3" borderId="61" xfId="0" applyFont="1" applyFill="1" applyBorder="1" applyAlignment="1">
      <alignment horizontal="center" vertical="center"/>
    </xf>
    <xf numFmtId="0" fontId="2" fillId="3" borderId="62" xfId="0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2" fillId="13" borderId="8" xfId="0" applyFont="1" applyFill="1" applyBorder="1" applyAlignment="1">
      <alignment horizontal="center" vertical="center"/>
    </xf>
    <xf numFmtId="0" fontId="2" fillId="13" borderId="40" xfId="0" applyFont="1" applyFill="1" applyBorder="1" applyAlignment="1">
      <alignment horizontal="center" vertical="center"/>
    </xf>
    <xf numFmtId="0" fontId="2" fillId="13" borderId="30" xfId="0" applyFont="1" applyFill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2" fillId="14" borderId="8" xfId="0" applyFont="1" applyFill="1" applyBorder="1" applyAlignment="1">
      <alignment horizontal="center" vertical="center"/>
    </xf>
    <xf numFmtId="0" fontId="2" fillId="14" borderId="40" xfId="0" applyFont="1" applyFill="1" applyBorder="1" applyAlignment="1">
      <alignment horizontal="center" vertical="center"/>
    </xf>
    <xf numFmtId="0" fontId="2" fillId="14" borderId="30" xfId="0" applyFont="1" applyFill="1" applyBorder="1" applyAlignment="1">
      <alignment horizontal="center" vertical="center"/>
    </xf>
    <xf numFmtId="0" fontId="2" fillId="14" borderId="61" xfId="0" applyFont="1" applyFill="1" applyBorder="1" applyAlignment="1">
      <alignment horizontal="center" vertical="center"/>
    </xf>
    <xf numFmtId="0" fontId="2" fillId="14" borderId="62" xfId="0" applyFont="1" applyFill="1" applyBorder="1" applyAlignment="1">
      <alignment horizontal="center" vertical="center"/>
    </xf>
    <xf numFmtId="0" fontId="2" fillId="14" borderId="24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3" borderId="49" xfId="0" applyFill="1" applyBorder="1" applyAlignment="1">
      <alignment horizontal="center" vertical="center"/>
    </xf>
    <xf numFmtId="0" fontId="2" fillId="13" borderId="7" xfId="0" applyFont="1" applyFill="1" applyBorder="1" applyAlignment="1">
      <alignment horizontal="center" vertical="center"/>
    </xf>
    <xf numFmtId="0" fontId="2" fillId="13" borderId="45" xfId="0" applyFont="1" applyFill="1" applyBorder="1" applyAlignment="1">
      <alignment horizontal="center" vertical="center"/>
    </xf>
    <xf numFmtId="0" fontId="2" fillId="6" borderId="67" xfId="0" applyFont="1" applyFill="1" applyBorder="1" applyAlignment="1">
      <alignment horizontal="center"/>
    </xf>
    <xf numFmtId="0" fontId="2" fillId="6" borderId="68" xfId="0" applyFont="1" applyFill="1" applyBorder="1" applyAlignment="1">
      <alignment horizontal="center"/>
    </xf>
    <xf numFmtId="0" fontId="2" fillId="6" borderId="69" xfId="0" applyFont="1" applyFill="1" applyBorder="1" applyAlignment="1">
      <alignment horizontal="center"/>
    </xf>
    <xf numFmtId="0" fontId="2" fillId="6" borderId="70" xfId="0" applyFont="1" applyFill="1" applyBorder="1" applyAlignment="1">
      <alignment horizontal="center"/>
    </xf>
    <xf numFmtId="0" fontId="2" fillId="6" borderId="71" xfId="0" applyFont="1" applyFill="1" applyBorder="1" applyAlignment="1">
      <alignment horizontal="center"/>
    </xf>
    <xf numFmtId="0" fontId="2" fillId="6" borderId="72" xfId="0" applyFont="1" applyFill="1" applyBorder="1" applyAlignment="1">
      <alignment horizontal="center"/>
    </xf>
  </cellXfs>
  <cellStyles count="2">
    <cellStyle name="通貨" xfId="1" builtinId="7"/>
    <cellStyle name="標準" xfId="0" builtinId="0"/>
  </cellStyles>
  <dxfs count="0"/>
  <tableStyles count="0" defaultTableStyle="TableStyleMedium9" defaultPivotStyle="PivotStyleLight16"/>
  <colors>
    <mruColors>
      <color rgb="FF5671F8"/>
      <color rgb="FF4E8FF8"/>
      <color rgb="FF76BBFA"/>
      <color rgb="FF000066"/>
      <color rgb="FF0827C4"/>
      <color rgb="FFC1E3FF"/>
      <color rgb="FF9ACBF8"/>
      <color rgb="FF6FDFF5"/>
      <color rgb="FFF7FAF4"/>
      <color rgb="FFF2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109319</xdr:colOff>
      <xdr:row>32</xdr:row>
      <xdr:rowOff>87406</xdr:rowOff>
    </xdr:from>
    <xdr:to>
      <xdr:col>18</xdr:col>
      <xdr:colOff>296831</xdr:colOff>
      <xdr:row>36</xdr:row>
      <xdr:rowOff>98612</xdr:rowOff>
    </xdr:to>
    <xdr:sp macro="" textlink="">
      <xdr:nvSpPr>
        <xdr:cNvPr id="2" name="角丸四角形 1"/>
        <xdr:cNvSpPr/>
      </xdr:nvSpPr>
      <xdr:spPr bwMode="auto">
        <a:xfrm>
          <a:off x="15787469" y="5707156"/>
          <a:ext cx="1263837" cy="697006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900"/>
            <a:t>アルバイトの給料は</a:t>
          </a:r>
          <a:endParaRPr kumimoji="1" lang="en-US" altLang="ja-JP" sz="900"/>
        </a:p>
        <a:p>
          <a:pPr algn="ctr"/>
          <a:r>
            <a:rPr kumimoji="1" lang="ja-JP" altLang="en-US" sz="900"/>
            <a:t>当月末締め</a:t>
          </a:r>
          <a:endParaRPr kumimoji="1" lang="en-US" altLang="ja-JP" sz="900"/>
        </a:p>
        <a:p>
          <a:pPr algn="ctr"/>
          <a:r>
            <a:rPr kumimoji="1" lang="ja-JP" altLang="en-US" sz="900"/>
            <a:t>翌月</a:t>
          </a:r>
          <a:r>
            <a:rPr kumimoji="1" lang="en-US" altLang="ja-JP" sz="900"/>
            <a:t>10</a:t>
          </a:r>
          <a:r>
            <a:rPr kumimoji="1" lang="ja-JP" altLang="en-US" sz="900"/>
            <a:t>日払い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76249</xdr:colOff>
      <xdr:row>0</xdr:row>
      <xdr:rowOff>931333</xdr:rowOff>
    </xdr:from>
    <xdr:ext cx="1003251" cy="456331"/>
    <xdr:sp macro="[0]!employeeAddButton" textlink="">
      <xdr:nvSpPr>
        <xdr:cNvPr id="2" name="角丸四角形 1"/>
        <xdr:cNvSpPr/>
      </xdr:nvSpPr>
      <xdr:spPr bwMode="auto">
        <a:xfrm>
          <a:off x="2965499" y="931333"/>
          <a:ext cx="1003251" cy="456331"/>
        </a:xfrm>
        <a:prstGeom prst="roundRect">
          <a:avLst/>
        </a:prstGeom>
        <a:solidFill>
          <a:srgbClr val="9ACBF8"/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6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社員追加</a:t>
          </a:r>
        </a:p>
      </xdr:txBody>
    </xdr:sp>
    <xdr:clientData/>
  </xdr:oneCellAnchor>
  <xdr:oneCellAnchor>
    <xdr:from>
      <xdr:col>4</xdr:col>
      <xdr:colOff>228652</xdr:colOff>
      <xdr:row>0</xdr:row>
      <xdr:rowOff>935564</xdr:rowOff>
    </xdr:from>
    <xdr:ext cx="1003251" cy="456331"/>
    <xdr:sp macro="[0]!employeeDeleteButton" textlink="">
      <xdr:nvSpPr>
        <xdr:cNvPr id="3" name="角丸四角形 2"/>
        <xdr:cNvSpPr/>
      </xdr:nvSpPr>
      <xdr:spPr bwMode="auto">
        <a:xfrm>
          <a:off x="4017485" y="935564"/>
          <a:ext cx="1003251" cy="456331"/>
        </a:xfrm>
        <a:prstGeom prst="roundRect">
          <a:avLst/>
        </a:prstGeom>
        <a:solidFill>
          <a:srgbClr val="9ACBF8"/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6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社員削除</a:t>
          </a:r>
        </a:p>
      </xdr:txBody>
    </xdr:sp>
    <xdr:clientData/>
  </xdr:oneCellAnchor>
  <xdr:oneCellAnchor>
    <xdr:from>
      <xdr:col>6</xdr:col>
      <xdr:colOff>565199</xdr:colOff>
      <xdr:row>0</xdr:row>
      <xdr:rowOff>944032</xdr:rowOff>
    </xdr:from>
    <xdr:ext cx="1003251" cy="456331"/>
    <xdr:sp macro="[0]!partTimeDeleteButton" textlink="">
      <xdr:nvSpPr>
        <xdr:cNvPr id="5" name="角丸四角形 4"/>
        <xdr:cNvSpPr/>
      </xdr:nvSpPr>
      <xdr:spPr bwMode="auto">
        <a:xfrm>
          <a:off x="6153199" y="944032"/>
          <a:ext cx="1003251" cy="456331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2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バイト削除</a:t>
          </a:r>
        </a:p>
      </xdr:txBody>
    </xdr:sp>
    <xdr:clientData/>
  </xdr:oneCellAnchor>
  <xdr:oneCellAnchor>
    <xdr:from>
      <xdr:col>5</xdr:col>
      <xdr:colOff>389516</xdr:colOff>
      <xdr:row>0</xdr:row>
      <xdr:rowOff>937682</xdr:rowOff>
    </xdr:from>
    <xdr:ext cx="1003251" cy="456331"/>
    <xdr:sp macro="[0]!partTimeAddButton" textlink="">
      <xdr:nvSpPr>
        <xdr:cNvPr id="6" name="角丸四角形 5"/>
        <xdr:cNvSpPr/>
      </xdr:nvSpPr>
      <xdr:spPr bwMode="auto">
        <a:xfrm>
          <a:off x="5077933" y="937682"/>
          <a:ext cx="1003251" cy="456331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2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バイト追加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R65"/>
  <sheetViews>
    <sheetView zoomScale="90" zoomScaleNormal="90" workbookViewId="0">
      <pane xSplit="3" ySplit="3" topLeftCell="M4" activePane="bottomRight" state="frozen"/>
      <selection pane="topRight" activeCell="D1" sqref="D1"/>
      <selection pane="bottomLeft" activeCell="A4" sqref="A4"/>
      <selection pane="bottomRight" activeCell="D14" sqref="D14"/>
    </sheetView>
  </sheetViews>
  <sheetFormatPr defaultColWidth="9" defaultRowHeight="13.5"/>
  <cols>
    <col min="1" max="1" width="13.625" style="2" customWidth="1"/>
    <col min="2" max="2" width="8.625" style="2" customWidth="1"/>
    <col min="3" max="3" width="15.625" style="9" customWidth="1"/>
    <col min="4" max="7" width="11.75" style="1" customWidth="1"/>
    <col min="8" max="8" width="11.75" style="34" customWidth="1"/>
    <col min="9" max="11" width="11.75" style="36" customWidth="1"/>
    <col min="12" max="16" width="11.75" style="1" customWidth="1"/>
    <col min="17" max="17" width="15.125" style="2" customWidth="1"/>
    <col min="18" max="18" width="14.125" style="2" bestFit="1" customWidth="1"/>
    <col min="19" max="19" width="11.25" style="2" bestFit="1" customWidth="1"/>
    <col min="20" max="16384" width="9" style="2"/>
  </cols>
  <sheetData>
    <row r="1" spans="1:17" ht="21">
      <c r="A1" s="16" t="s">
        <v>78</v>
      </c>
      <c r="B1" s="12"/>
      <c r="C1" s="13"/>
      <c r="I1" s="34"/>
      <c r="J1" s="34"/>
      <c r="K1" s="34"/>
      <c r="L1" s="38"/>
    </row>
    <row r="2" spans="1:17" ht="14.25" thickBot="1">
      <c r="D2" s="14" t="s">
        <v>37</v>
      </c>
      <c r="E2" s="14" t="s">
        <v>28</v>
      </c>
      <c r="F2" s="14" t="s">
        <v>32</v>
      </c>
      <c r="G2" s="14" t="s">
        <v>33</v>
      </c>
      <c r="H2" s="35" t="s">
        <v>34</v>
      </c>
      <c r="I2" s="35" t="s">
        <v>35</v>
      </c>
      <c r="J2" s="35" t="s">
        <v>36</v>
      </c>
      <c r="K2" s="35" t="s">
        <v>24</v>
      </c>
      <c r="L2" s="14" t="s">
        <v>25</v>
      </c>
      <c r="M2" s="14" t="s">
        <v>26</v>
      </c>
      <c r="N2" s="14" t="s">
        <v>23</v>
      </c>
      <c r="O2" s="14" t="s">
        <v>27</v>
      </c>
      <c r="P2" s="14"/>
      <c r="Q2" s="14" t="s">
        <v>58</v>
      </c>
    </row>
    <row r="3" spans="1:17" ht="14.25" thickBot="1">
      <c r="A3" s="40" t="s">
        <v>0</v>
      </c>
      <c r="B3" s="165" t="s">
        <v>1</v>
      </c>
      <c r="C3" s="166"/>
      <c r="D3" s="84" t="s">
        <v>44</v>
      </c>
      <c r="E3" s="84" t="s">
        <v>45</v>
      </c>
      <c r="F3" s="84" t="s">
        <v>46</v>
      </c>
      <c r="G3" s="84" t="s">
        <v>47</v>
      </c>
      <c r="H3" s="84" t="s">
        <v>48</v>
      </c>
      <c r="I3" s="84" t="s">
        <v>2</v>
      </c>
      <c r="J3" s="84" t="s">
        <v>3</v>
      </c>
      <c r="K3" s="85" t="s">
        <v>49</v>
      </c>
      <c r="L3" s="84" t="s">
        <v>50</v>
      </c>
      <c r="M3" s="84" t="s">
        <v>51</v>
      </c>
      <c r="N3" s="86" t="s">
        <v>59</v>
      </c>
      <c r="O3" s="41" t="s">
        <v>29</v>
      </c>
      <c r="P3" s="23" t="s">
        <v>68</v>
      </c>
    </row>
    <row r="4" spans="1:17">
      <c r="A4" s="160" t="s">
        <v>83</v>
      </c>
      <c r="B4" s="105" t="s">
        <v>12</v>
      </c>
      <c r="C4" s="3" t="s">
        <v>6</v>
      </c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78"/>
      <c r="P4" s="30"/>
      <c r="Q4" s="19">
        <f>SUM(D4:P4)</f>
        <v>0</v>
      </c>
    </row>
    <row r="5" spans="1:17">
      <c r="A5" s="161"/>
      <c r="B5" s="164" t="s">
        <v>11</v>
      </c>
      <c r="C5" s="5" t="s">
        <v>7</v>
      </c>
      <c r="D5" s="94"/>
      <c r="E5" s="93"/>
      <c r="F5" s="94"/>
      <c r="G5" s="94"/>
      <c r="H5" s="94"/>
      <c r="I5" s="94"/>
      <c r="J5" s="94"/>
      <c r="K5" s="94"/>
      <c r="L5" s="94"/>
      <c r="M5" s="94"/>
      <c r="N5" s="94"/>
      <c r="O5" s="79"/>
      <c r="P5" s="27"/>
      <c r="Q5" s="20">
        <f t="shared" ref="Q5:Q32" si="0">SUM(D5:P5)</f>
        <v>0</v>
      </c>
    </row>
    <row r="6" spans="1:17">
      <c r="A6" s="161"/>
      <c r="B6" s="164"/>
      <c r="C6" s="15" t="s">
        <v>39</v>
      </c>
      <c r="D6" s="89"/>
      <c r="E6" s="90"/>
      <c r="F6" s="89"/>
      <c r="G6" s="89"/>
      <c r="H6" s="89"/>
      <c r="I6" s="89"/>
      <c r="J6" s="89"/>
      <c r="K6" s="89"/>
      <c r="L6" s="89"/>
      <c r="M6" s="89"/>
      <c r="N6" s="89"/>
      <c r="O6" s="17"/>
      <c r="P6" s="28"/>
      <c r="Q6" s="20">
        <f t="shared" si="0"/>
        <v>0</v>
      </c>
    </row>
    <row r="7" spans="1:17">
      <c r="A7" s="161"/>
      <c r="B7" s="164"/>
      <c r="C7" s="6" t="s">
        <v>17</v>
      </c>
      <c r="D7" s="89"/>
      <c r="E7" s="95"/>
      <c r="F7" s="91"/>
      <c r="G7" s="91"/>
      <c r="H7" s="91"/>
      <c r="I7" s="91"/>
      <c r="J7" s="91"/>
      <c r="K7" s="91"/>
      <c r="L7" s="89"/>
      <c r="M7" s="89"/>
      <c r="N7" s="89"/>
      <c r="O7" s="17"/>
      <c r="P7" s="28"/>
      <c r="Q7" s="20">
        <f t="shared" si="0"/>
        <v>0</v>
      </c>
    </row>
    <row r="8" spans="1:17">
      <c r="A8" s="161"/>
      <c r="B8" s="164"/>
      <c r="C8" s="6" t="s">
        <v>18</v>
      </c>
      <c r="D8" s="91"/>
      <c r="E8" s="95"/>
      <c r="F8" s="91"/>
      <c r="G8" s="91"/>
      <c r="H8" s="91"/>
      <c r="I8" s="91"/>
      <c r="J8" s="91"/>
      <c r="K8" s="91"/>
      <c r="L8" s="91"/>
      <c r="M8" s="91"/>
      <c r="N8" s="91"/>
      <c r="O8" s="80"/>
      <c r="P8" s="32"/>
      <c r="Q8" s="20">
        <f t="shared" si="0"/>
        <v>0</v>
      </c>
    </row>
    <row r="9" spans="1:17">
      <c r="A9" s="161"/>
      <c r="B9" s="164"/>
      <c r="C9" s="4" t="s">
        <v>19</v>
      </c>
      <c r="D9" s="92"/>
      <c r="E9" s="96"/>
      <c r="F9" s="92"/>
      <c r="G9" s="92"/>
      <c r="H9" s="92"/>
      <c r="I9" s="92"/>
      <c r="J9" s="92"/>
      <c r="K9" s="92"/>
      <c r="L9" s="92"/>
      <c r="M9" s="92"/>
      <c r="N9" s="92"/>
      <c r="O9" s="18"/>
      <c r="P9" s="33"/>
      <c r="Q9" s="22">
        <f t="shared" si="0"/>
        <v>0</v>
      </c>
    </row>
    <row r="10" spans="1:17">
      <c r="A10" s="161"/>
      <c r="B10" s="167" t="s">
        <v>30</v>
      </c>
      <c r="C10" s="5" t="s">
        <v>10</v>
      </c>
      <c r="D10" s="94"/>
      <c r="E10" s="93"/>
      <c r="F10" s="94"/>
      <c r="G10" s="94"/>
      <c r="H10" s="94"/>
      <c r="I10" s="94"/>
      <c r="J10" s="94"/>
      <c r="K10" s="94"/>
      <c r="L10" s="94"/>
      <c r="M10" s="94"/>
      <c r="N10" s="94"/>
      <c r="O10" s="79"/>
      <c r="P10" s="27"/>
      <c r="Q10" s="21">
        <f t="shared" si="0"/>
        <v>0</v>
      </c>
    </row>
    <row r="11" spans="1:17">
      <c r="A11" s="161"/>
      <c r="B11" s="168"/>
      <c r="C11" s="99" t="s">
        <v>71</v>
      </c>
      <c r="D11" s="89"/>
      <c r="E11" s="101"/>
      <c r="F11" s="98"/>
      <c r="G11" s="98"/>
      <c r="H11" s="98"/>
      <c r="I11" s="98"/>
      <c r="J11" s="98"/>
      <c r="K11" s="98"/>
      <c r="L11" s="98"/>
      <c r="M11" s="88"/>
      <c r="N11" s="88"/>
      <c r="O11" s="17"/>
      <c r="P11" s="29"/>
      <c r="Q11" s="20">
        <f t="shared" si="0"/>
        <v>0</v>
      </c>
    </row>
    <row r="12" spans="1:17">
      <c r="A12" s="161"/>
      <c r="B12" s="169"/>
      <c r="C12" s="99" t="s">
        <v>70</v>
      </c>
      <c r="D12" s="92"/>
      <c r="E12" s="96"/>
      <c r="F12" s="96"/>
      <c r="G12" s="96"/>
      <c r="H12" s="96"/>
      <c r="I12" s="92"/>
      <c r="J12" s="92"/>
      <c r="K12" s="92"/>
      <c r="L12" s="92"/>
      <c r="M12" s="89"/>
      <c r="N12" s="92"/>
      <c r="O12" s="18"/>
      <c r="P12" s="33"/>
      <c r="Q12" s="20">
        <f>SUM(D12:P12)</f>
        <v>0</v>
      </c>
    </row>
    <row r="13" spans="1:17" ht="14.25" thickBot="1">
      <c r="A13" s="162"/>
      <c r="B13" s="149" t="s">
        <v>5</v>
      </c>
      <c r="C13" s="150"/>
      <c r="D13" s="42">
        <f>SUM(D4:D4)-SUM(D5:D9)+SUM(D10:D12)</f>
        <v>0</v>
      </c>
      <c r="E13" s="42">
        <f>SUM(E4:E4)-SUM(E5:E9)+SUM(E10:E12)</f>
        <v>0</v>
      </c>
      <c r="F13" s="42">
        <f>SUM(F4:F4)-SUM(F5:F9)+SUM(F10:F12)</f>
        <v>0</v>
      </c>
      <c r="G13" s="42">
        <f>SUM(G4:G4)-SUM(G5:G9)+SUM(G10:G12)</f>
        <v>0</v>
      </c>
      <c r="H13" s="42">
        <f>SUM(H4:H4)-SUM(H5:H9)+SUM(H10:H12)</f>
        <v>0</v>
      </c>
      <c r="I13" s="42">
        <f t="shared" ref="I13:O13" si="1">SUM(I4:I4)-SUM(I5:I9)+SUM(I10:I12)</f>
        <v>0</v>
      </c>
      <c r="J13" s="42">
        <f t="shared" si="1"/>
        <v>0</v>
      </c>
      <c r="K13" s="42">
        <f t="shared" si="1"/>
        <v>0</v>
      </c>
      <c r="L13" s="42">
        <f t="shared" si="1"/>
        <v>0</v>
      </c>
      <c r="M13" s="42">
        <f t="shared" si="1"/>
        <v>0</v>
      </c>
      <c r="N13" s="42">
        <f t="shared" si="1"/>
        <v>0</v>
      </c>
      <c r="O13" s="43">
        <f t="shared" si="1"/>
        <v>0</v>
      </c>
      <c r="P13" s="44"/>
      <c r="Q13" s="45">
        <f t="shared" si="0"/>
        <v>0</v>
      </c>
    </row>
    <row r="14" spans="1:17">
      <c r="A14" s="160"/>
      <c r="B14" s="163" t="s">
        <v>12</v>
      </c>
      <c r="C14" s="7" t="s">
        <v>8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78"/>
      <c r="P14" s="30"/>
      <c r="Q14" s="19">
        <f t="shared" si="0"/>
        <v>0</v>
      </c>
    </row>
    <row r="15" spans="1:17">
      <c r="A15" s="161"/>
      <c r="B15" s="156"/>
      <c r="C15" s="3" t="s">
        <v>14</v>
      </c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1"/>
      <c r="P15" s="31"/>
      <c r="Q15" s="20">
        <f t="shared" si="0"/>
        <v>0</v>
      </c>
    </row>
    <row r="16" spans="1:17">
      <c r="A16" s="161"/>
      <c r="B16" s="164"/>
      <c r="C16" s="8" t="s">
        <v>9</v>
      </c>
      <c r="D16" s="89"/>
      <c r="E16" s="90"/>
      <c r="F16" s="90"/>
      <c r="G16" s="90"/>
      <c r="H16" s="89"/>
      <c r="I16" s="89"/>
      <c r="J16" s="89"/>
      <c r="K16" s="89"/>
      <c r="L16" s="89"/>
      <c r="M16" s="89"/>
      <c r="N16" s="89"/>
      <c r="O16" s="17"/>
      <c r="P16" s="28"/>
      <c r="Q16" s="20">
        <f t="shared" si="0"/>
        <v>0</v>
      </c>
    </row>
    <row r="17" spans="1:17">
      <c r="A17" s="161"/>
      <c r="B17" s="164"/>
      <c r="C17" s="6" t="s">
        <v>52</v>
      </c>
      <c r="D17" s="91"/>
      <c r="E17" s="89"/>
      <c r="F17" s="89"/>
      <c r="G17" s="91"/>
      <c r="H17" s="91"/>
      <c r="I17" s="91"/>
      <c r="J17" s="91"/>
      <c r="K17" s="91"/>
      <c r="L17" s="91"/>
      <c r="M17" s="91"/>
      <c r="N17" s="91"/>
      <c r="O17" s="80"/>
      <c r="P17" s="32"/>
      <c r="Q17" s="20">
        <f t="shared" si="0"/>
        <v>0</v>
      </c>
    </row>
    <row r="18" spans="1:17">
      <c r="A18" s="161"/>
      <c r="B18" s="164"/>
      <c r="C18" s="6" t="s">
        <v>16</v>
      </c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80"/>
      <c r="P18" s="32"/>
      <c r="Q18" s="20">
        <f t="shared" si="0"/>
        <v>0</v>
      </c>
    </row>
    <row r="19" spans="1:17">
      <c r="A19" s="161"/>
      <c r="B19" s="164"/>
      <c r="C19" s="6" t="s">
        <v>38</v>
      </c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80"/>
      <c r="P19" s="32"/>
      <c r="Q19" s="20">
        <f t="shared" si="0"/>
        <v>0</v>
      </c>
    </row>
    <row r="20" spans="1:17">
      <c r="A20" s="161"/>
      <c r="B20" s="164"/>
      <c r="C20" s="8" t="s">
        <v>15</v>
      </c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80"/>
      <c r="P20" s="32"/>
      <c r="Q20" s="20">
        <f t="shared" si="0"/>
        <v>0</v>
      </c>
    </row>
    <row r="21" spans="1:17">
      <c r="A21" s="161"/>
      <c r="B21" s="164"/>
      <c r="C21" s="15" t="s">
        <v>42</v>
      </c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18"/>
      <c r="P21" s="33"/>
      <c r="Q21" s="22">
        <f t="shared" si="0"/>
        <v>0</v>
      </c>
    </row>
    <row r="22" spans="1:17">
      <c r="A22" s="161"/>
      <c r="B22" s="164" t="s">
        <v>11</v>
      </c>
      <c r="C22" s="5" t="s">
        <v>7</v>
      </c>
      <c r="D22" s="93"/>
      <c r="E22" s="93"/>
      <c r="F22" s="93"/>
      <c r="G22" s="93"/>
      <c r="H22" s="93"/>
      <c r="I22" s="93"/>
      <c r="J22" s="93"/>
      <c r="K22" s="93"/>
      <c r="L22" s="94"/>
      <c r="M22" s="94"/>
      <c r="N22" s="94"/>
      <c r="O22" s="79"/>
      <c r="P22" s="27"/>
      <c r="Q22" s="21">
        <f t="shared" si="0"/>
        <v>0</v>
      </c>
    </row>
    <row r="23" spans="1:17">
      <c r="A23" s="161"/>
      <c r="B23" s="164"/>
      <c r="C23" s="6" t="s">
        <v>4</v>
      </c>
      <c r="D23" s="95"/>
      <c r="E23" s="95"/>
      <c r="F23" s="95"/>
      <c r="G23" s="95"/>
      <c r="H23" s="95"/>
      <c r="I23" s="95"/>
      <c r="J23" s="95"/>
      <c r="K23" s="95"/>
      <c r="L23" s="91"/>
      <c r="M23" s="91"/>
      <c r="N23" s="91"/>
      <c r="O23" s="80"/>
      <c r="P23" s="32"/>
      <c r="Q23" s="20">
        <f t="shared" si="0"/>
        <v>0</v>
      </c>
    </row>
    <row r="24" spans="1:17">
      <c r="A24" s="161"/>
      <c r="B24" s="164"/>
      <c r="C24" s="6" t="s">
        <v>17</v>
      </c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80"/>
      <c r="P24" s="32"/>
      <c r="Q24" s="20">
        <f t="shared" si="0"/>
        <v>0</v>
      </c>
    </row>
    <row r="25" spans="1:17">
      <c r="A25" s="161"/>
      <c r="B25" s="164"/>
      <c r="C25" s="6" t="s">
        <v>18</v>
      </c>
      <c r="D25" s="90"/>
      <c r="E25" s="90"/>
      <c r="F25" s="90"/>
      <c r="G25" s="90"/>
      <c r="H25" s="91"/>
      <c r="I25" s="91"/>
      <c r="J25" s="91"/>
      <c r="K25" s="91"/>
      <c r="L25" s="91"/>
      <c r="M25" s="91"/>
      <c r="N25" s="91"/>
      <c r="O25" s="80"/>
      <c r="P25" s="32"/>
      <c r="Q25" s="20">
        <f t="shared" si="0"/>
        <v>0</v>
      </c>
    </row>
    <row r="26" spans="1:17">
      <c r="A26" s="161"/>
      <c r="B26" s="164"/>
      <c r="C26" s="4" t="s">
        <v>19</v>
      </c>
      <c r="D26" s="96"/>
      <c r="E26" s="96"/>
      <c r="F26" s="96"/>
      <c r="G26" s="96"/>
      <c r="H26" s="92"/>
      <c r="I26" s="92"/>
      <c r="J26" s="92"/>
      <c r="K26" s="92"/>
      <c r="L26" s="92"/>
      <c r="M26" s="92"/>
      <c r="N26" s="92"/>
      <c r="O26" s="18"/>
      <c r="P26" s="33"/>
      <c r="Q26" s="22">
        <f t="shared" si="0"/>
        <v>0</v>
      </c>
    </row>
    <row r="27" spans="1:17">
      <c r="A27" s="161"/>
      <c r="B27" s="164" t="s">
        <v>13</v>
      </c>
      <c r="C27" s="5" t="s">
        <v>10</v>
      </c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79"/>
      <c r="P27" s="27"/>
      <c r="Q27" s="21">
        <f t="shared" si="0"/>
        <v>0</v>
      </c>
    </row>
    <row r="28" spans="1:17">
      <c r="A28" s="161"/>
      <c r="B28" s="164"/>
      <c r="C28" s="8" t="s">
        <v>55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17"/>
      <c r="P28" s="28"/>
      <c r="Q28" s="20">
        <f t="shared" si="0"/>
        <v>0</v>
      </c>
    </row>
    <row r="29" spans="1:17">
      <c r="A29" s="161"/>
      <c r="B29" s="164"/>
      <c r="C29" s="8" t="s">
        <v>56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17"/>
      <c r="P29" s="28"/>
      <c r="Q29" s="20">
        <f t="shared" si="0"/>
        <v>0</v>
      </c>
    </row>
    <row r="30" spans="1:17">
      <c r="A30" s="161"/>
      <c r="B30" s="164"/>
      <c r="C30" s="61" t="s">
        <v>61</v>
      </c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18"/>
      <c r="P30" s="33"/>
      <c r="Q30" s="22">
        <f t="shared" si="0"/>
        <v>0</v>
      </c>
    </row>
    <row r="31" spans="1:17">
      <c r="A31" s="161"/>
      <c r="B31" s="158" t="s">
        <v>54</v>
      </c>
      <c r="C31" s="159"/>
      <c r="D31" s="56">
        <f>SUM(D14:D21)-SUM(D25:D26)</f>
        <v>0</v>
      </c>
      <c r="E31" s="56">
        <f t="shared" ref="E31:O31" si="2">SUM(E14:E21)-SUM(E25:E26)</f>
        <v>0</v>
      </c>
      <c r="F31" s="56">
        <f t="shared" si="2"/>
        <v>0</v>
      </c>
      <c r="G31" s="56">
        <f>SUM(G14:G21)-SUM(G25:G26)</f>
        <v>0</v>
      </c>
      <c r="H31" s="56">
        <f t="shared" si="2"/>
        <v>0</v>
      </c>
      <c r="I31" s="56">
        <f t="shared" si="2"/>
        <v>0</v>
      </c>
      <c r="J31" s="56">
        <f t="shared" si="2"/>
        <v>0</v>
      </c>
      <c r="K31" s="56">
        <f t="shared" si="2"/>
        <v>0</v>
      </c>
      <c r="L31" s="56">
        <f t="shared" si="2"/>
        <v>0</v>
      </c>
      <c r="M31" s="56">
        <f t="shared" si="2"/>
        <v>0</v>
      </c>
      <c r="N31" s="56">
        <f t="shared" si="2"/>
        <v>0</v>
      </c>
      <c r="O31" s="57">
        <f t="shared" si="2"/>
        <v>0</v>
      </c>
      <c r="P31" s="60">
        <f>SUM(P14:P21)-SUM(P25:P26)</f>
        <v>0</v>
      </c>
      <c r="Q31" s="59">
        <f t="shared" si="0"/>
        <v>0</v>
      </c>
    </row>
    <row r="32" spans="1:17" ht="14.25" thickBot="1">
      <c r="A32" s="162"/>
      <c r="B32" s="149" t="s">
        <v>5</v>
      </c>
      <c r="C32" s="150"/>
      <c r="D32" s="42">
        <f t="shared" ref="D32:O32" si="3">SUM(D14:D21)-SUM(D22:D26)+SUM(D27:D30)</f>
        <v>0</v>
      </c>
      <c r="E32" s="42">
        <f t="shared" si="3"/>
        <v>0</v>
      </c>
      <c r="F32" s="42">
        <f t="shared" si="3"/>
        <v>0</v>
      </c>
      <c r="G32" s="42">
        <f>SUM(G14:G21)-SUM(G22:G26)+SUM(G27:G30)</f>
        <v>0</v>
      </c>
      <c r="H32" s="42">
        <f t="shared" si="3"/>
        <v>0</v>
      </c>
      <c r="I32" s="42">
        <f t="shared" si="3"/>
        <v>0</v>
      </c>
      <c r="J32" s="42">
        <f t="shared" si="3"/>
        <v>0</v>
      </c>
      <c r="K32" s="42">
        <f t="shared" si="3"/>
        <v>0</v>
      </c>
      <c r="L32" s="42">
        <f t="shared" si="3"/>
        <v>0</v>
      </c>
      <c r="M32" s="42">
        <f t="shared" si="3"/>
        <v>0</v>
      </c>
      <c r="N32" s="42">
        <f t="shared" si="3"/>
        <v>0</v>
      </c>
      <c r="O32" s="43">
        <f t="shared" si="3"/>
        <v>0</v>
      </c>
      <c r="P32" s="44">
        <f>SUM(P14:P21)-SUM(P22:P26)+SUM(P27:P30)</f>
        <v>0</v>
      </c>
      <c r="Q32" s="46">
        <f t="shared" si="0"/>
        <v>0</v>
      </c>
    </row>
    <row r="33" spans="1:17">
      <c r="A33" s="151"/>
      <c r="B33" s="154" t="s">
        <v>12</v>
      </c>
      <c r="C33" s="106" t="s">
        <v>84</v>
      </c>
      <c r="D33" s="87">
        <v>950</v>
      </c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30"/>
      <c r="Q33" s="19">
        <f t="shared" ref="Q33:Q51" si="4">SUM(D33:P33)</f>
        <v>950</v>
      </c>
    </row>
    <row r="34" spans="1:17">
      <c r="A34" s="152"/>
      <c r="B34" s="155"/>
      <c r="C34" s="107" t="s">
        <v>85</v>
      </c>
      <c r="D34" s="97">
        <v>10</v>
      </c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28"/>
      <c r="Q34" s="20">
        <f t="shared" si="4"/>
        <v>10</v>
      </c>
    </row>
    <row r="35" spans="1:17">
      <c r="A35" s="152"/>
      <c r="B35" s="155"/>
      <c r="C35" s="108" t="s">
        <v>86</v>
      </c>
      <c r="D35" s="91">
        <f>D33*D34</f>
        <v>9500</v>
      </c>
      <c r="E35" s="91">
        <f>E33*E34</f>
        <v>0</v>
      </c>
      <c r="F35" s="91">
        <f>F33*F34</f>
        <v>0</v>
      </c>
      <c r="G35" s="91">
        <f>G33*G34</f>
        <v>0</v>
      </c>
      <c r="H35" s="91">
        <f>H33*H34</f>
        <v>0</v>
      </c>
      <c r="I35" s="91">
        <f t="shared" ref="I35:O35" si="5">I33*I34</f>
        <v>0</v>
      </c>
      <c r="J35" s="91">
        <f t="shared" si="5"/>
        <v>0</v>
      </c>
      <c r="K35" s="91">
        <f t="shared" si="5"/>
        <v>0</v>
      </c>
      <c r="L35" s="91">
        <f t="shared" si="5"/>
        <v>0</v>
      </c>
      <c r="M35" s="91">
        <f t="shared" si="5"/>
        <v>0</v>
      </c>
      <c r="N35" s="91">
        <f t="shared" si="5"/>
        <v>0</v>
      </c>
      <c r="O35" s="91">
        <f t="shared" si="5"/>
        <v>0</v>
      </c>
      <c r="P35" s="32"/>
      <c r="Q35" s="20">
        <f t="shared" si="4"/>
        <v>9500</v>
      </c>
    </row>
    <row r="36" spans="1:17">
      <c r="A36" s="152"/>
      <c r="B36" s="155"/>
      <c r="C36" s="109" t="s">
        <v>9</v>
      </c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32"/>
      <c r="Q36" s="20">
        <f t="shared" si="4"/>
        <v>0</v>
      </c>
    </row>
    <row r="37" spans="1:17">
      <c r="A37" s="152"/>
      <c r="B37" s="155"/>
      <c r="C37" s="109" t="s">
        <v>38</v>
      </c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28"/>
      <c r="Q37" s="20">
        <f t="shared" si="4"/>
        <v>0</v>
      </c>
    </row>
    <row r="38" spans="1:17">
      <c r="A38" s="152"/>
      <c r="B38" s="155"/>
      <c r="C38" s="62" t="s">
        <v>38</v>
      </c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32"/>
      <c r="Q38" s="20">
        <f t="shared" si="4"/>
        <v>0</v>
      </c>
    </row>
    <row r="39" spans="1:17">
      <c r="A39" s="152"/>
      <c r="B39" s="155"/>
      <c r="C39" s="63" t="s">
        <v>15</v>
      </c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32"/>
      <c r="Q39" s="20">
        <f t="shared" si="4"/>
        <v>0</v>
      </c>
    </row>
    <row r="40" spans="1:17">
      <c r="A40" s="152"/>
      <c r="B40" s="156"/>
      <c r="C40" s="6" t="s">
        <v>42</v>
      </c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33"/>
      <c r="Q40" s="22">
        <f t="shared" si="4"/>
        <v>0</v>
      </c>
    </row>
    <row r="41" spans="1:17">
      <c r="A41" s="152"/>
      <c r="B41" s="157" t="s">
        <v>11</v>
      </c>
      <c r="C41" s="5" t="s">
        <v>7</v>
      </c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27"/>
      <c r="Q41" s="21">
        <f t="shared" si="4"/>
        <v>0</v>
      </c>
    </row>
    <row r="42" spans="1:17">
      <c r="A42" s="152"/>
      <c r="B42" s="155"/>
      <c r="C42" s="6" t="s">
        <v>4</v>
      </c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32"/>
      <c r="Q42" s="20">
        <f t="shared" si="4"/>
        <v>0</v>
      </c>
    </row>
    <row r="43" spans="1:17">
      <c r="A43" s="152"/>
      <c r="B43" s="155"/>
      <c r="C43" s="6" t="s">
        <v>17</v>
      </c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91"/>
      <c r="P43" s="32"/>
      <c r="Q43" s="20">
        <f t="shared" si="4"/>
        <v>0</v>
      </c>
    </row>
    <row r="44" spans="1:17">
      <c r="A44" s="152"/>
      <c r="B44" s="155"/>
      <c r="C44" s="6" t="s">
        <v>18</v>
      </c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91"/>
      <c r="P44" s="32"/>
      <c r="Q44" s="20">
        <f t="shared" si="4"/>
        <v>0</v>
      </c>
    </row>
    <row r="45" spans="1:17">
      <c r="A45" s="152"/>
      <c r="B45" s="155"/>
      <c r="C45" s="6" t="s">
        <v>60</v>
      </c>
      <c r="D45" s="91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32"/>
      <c r="Q45" s="20">
        <f t="shared" si="4"/>
        <v>0</v>
      </c>
    </row>
    <row r="46" spans="1:17">
      <c r="A46" s="152"/>
      <c r="B46" s="157" t="s">
        <v>13</v>
      </c>
      <c r="C46" s="5" t="s">
        <v>10</v>
      </c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27"/>
      <c r="Q46" s="21">
        <f t="shared" si="4"/>
        <v>0</v>
      </c>
    </row>
    <row r="47" spans="1:17">
      <c r="A47" s="152"/>
      <c r="B47" s="155"/>
      <c r="C47" s="8" t="s">
        <v>55</v>
      </c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28"/>
      <c r="Q47" s="20">
        <f t="shared" si="4"/>
        <v>0</v>
      </c>
    </row>
    <row r="48" spans="1:17">
      <c r="A48" s="152"/>
      <c r="B48" s="155"/>
      <c r="C48" s="8" t="s">
        <v>56</v>
      </c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28"/>
      <c r="Q48" s="20">
        <f t="shared" si="4"/>
        <v>0</v>
      </c>
    </row>
    <row r="49" spans="1:18">
      <c r="A49" s="152"/>
      <c r="B49" s="156"/>
      <c r="C49" s="4" t="s">
        <v>61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33"/>
      <c r="Q49" s="22">
        <f t="shared" si="4"/>
        <v>0</v>
      </c>
    </row>
    <row r="50" spans="1:18">
      <c r="A50" s="152"/>
      <c r="B50" s="158" t="s">
        <v>54</v>
      </c>
      <c r="C50" s="159"/>
      <c r="D50" s="56">
        <f>SUM(D35:D40)-SUM(D44:D45)</f>
        <v>9500</v>
      </c>
      <c r="E50" s="56">
        <f>SUM(E35:E40)-SUM(E44:E45)</f>
        <v>0</v>
      </c>
      <c r="F50" s="56">
        <f>SUM(F35:F40)-SUM(F44:F45)</f>
        <v>0</v>
      </c>
      <c r="G50" s="56">
        <f>SUM(G35:G40)-SUM(G44:G45)</f>
        <v>0</v>
      </c>
      <c r="H50" s="56">
        <f t="shared" ref="H50:I50" si="6">SUM(H35:H40)-SUM(H44:H45)</f>
        <v>0</v>
      </c>
      <c r="I50" s="56">
        <f t="shared" si="6"/>
        <v>0</v>
      </c>
      <c r="J50" s="56">
        <f t="shared" ref="J50:O50" si="7">SUM(J35:J40)-SUM(J44:J45)</f>
        <v>0</v>
      </c>
      <c r="K50" s="56">
        <f t="shared" si="7"/>
        <v>0</v>
      </c>
      <c r="L50" s="56">
        <f t="shared" si="7"/>
        <v>0</v>
      </c>
      <c r="M50" s="56">
        <f t="shared" si="7"/>
        <v>0</v>
      </c>
      <c r="N50" s="56">
        <f t="shared" si="7"/>
        <v>0</v>
      </c>
      <c r="O50" s="56">
        <f t="shared" si="7"/>
        <v>0</v>
      </c>
      <c r="P50" s="58">
        <f>SUM(P33:P40)-SUM(P44:P45)</f>
        <v>0</v>
      </c>
      <c r="Q50" s="59">
        <f t="shared" si="4"/>
        <v>9500</v>
      </c>
    </row>
    <row r="51" spans="1:18" ht="14.25" thickBot="1">
      <c r="A51" s="153"/>
      <c r="B51" s="149" t="s">
        <v>5</v>
      </c>
      <c r="C51" s="150"/>
      <c r="D51" s="42">
        <f>SUM(D35:D40)-SUM(D41:D45)+SUM(D46:D49)</f>
        <v>9500</v>
      </c>
      <c r="E51" s="42">
        <f t="shared" ref="E51:I51" si="8">SUM(E35:E40)-SUM(E41:E45)+SUM(E46:E49)</f>
        <v>0</v>
      </c>
      <c r="F51" s="42">
        <f t="shared" si="8"/>
        <v>0</v>
      </c>
      <c r="G51" s="42">
        <f t="shared" si="8"/>
        <v>0</v>
      </c>
      <c r="H51" s="42">
        <f t="shared" si="8"/>
        <v>0</v>
      </c>
      <c r="I51" s="42">
        <f t="shared" si="8"/>
        <v>0</v>
      </c>
      <c r="J51" s="42">
        <f t="shared" ref="J51:O51" si="9">SUM(J35:J40)-SUM(J41:J45)+SUM(J46:J49)</f>
        <v>0</v>
      </c>
      <c r="K51" s="42">
        <f t="shared" si="9"/>
        <v>0</v>
      </c>
      <c r="L51" s="42">
        <f t="shared" si="9"/>
        <v>0</v>
      </c>
      <c r="M51" s="42">
        <f t="shared" si="9"/>
        <v>0</v>
      </c>
      <c r="N51" s="42">
        <f t="shared" si="9"/>
        <v>0</v>
      </c>
      <c r="O51" s="42">
        <f t="shared" si="9"/>
        <v>0</v>
      </c>
      <c r="P51" s="44">
        <f>SUM(P33:P40)-SUM(P41:P45)+SUM(P46:P49)</f>
        <v>0</v>
      </c>
      <c r="Q51" s="46">
        <f t="shared" si="4"/>
        <v>9500</v>
      </c>
    </row>
    <row r="52" spans="1:18">
      <c r="A52" s="144" t="s">
        <v>40</v>
      </c>
      <c r="B52" s="145"/>
      <c r="C52" s="145"/>
      <c r="D52" s="47">
        <f>D4+SUM(D14:D21)+SUM(D127:D132)</f>
        <v>0</v>
      </c>
      <c r="E52" s="47" t="e">
        <f>E4+SUM(E14:E21)+SUM(#REF!)+SUM(#REF!)+SUM(#REF!)+SUM(#REF!)+SUM(#REF!)+SUM(E35:E40)+SUM(#REF!)+SUM(#REF!)+SUM(#REF!)+SUM(#REF!)+SUM(#REF!)+SUM(#REF!)+SUM(#REF!)+SUM(#REF!)+SUM(#REF!)+SUM(#REF!)+SUM(#REF!)+SUM(#REF!)+SUM(#REF!)+SUM(#REF!)</f>
        <v>#REF!</v>
      </c>
      <c r="F52" s="47" t="e">
        <f>F4+SUM(F14:F21)+SUM(#REF!)+SUM(#REF!)+SUM(#REF!)+SUM(#REF!)+SUM(#REF!)+SUM(F35:F40)+SUM(#REF!)+SUM(#REF!)+SUM(#REF!)+SUM(#REF!)+SUM(#REF!)+SUM(#REF!)+SUM(#REF!)+SUM(#REF!)+SUM(#REF!)+SUM(#REF!)+SUM(#REF!)+SUM(#REF!)+SUM(#REF!)+SUM(#REF!)</f>
        <v>#REF!</v>
      </c>
      <c r="G52" s="47" t="e">
        <f>G4+SUM(G14:G21)+SUM(#REF!)+SUM(#REF!)+SUM(#REF!)+SUM(#REF!)+SUM(#REF!)+SUM(G35:G40)+SUM(#REF!)+SUM(#REF!)+SUM(#REF!)+SUM(#REF!)+SUM(#REF!)+SUM(#REF!)+SUM(#REF!)+SUM(#REF!)+SUM(#REF!)+SUM(#REF!)+SUM(#REF!)+SUM(#REF!)+SUM(#REF!)+SUM(#REF!)</f>
        <v>#REF!</v>
      </c>
      <c r="H52" s="47" t="e">
        <f>H4+SUM(H14:H21)+SUM(#REF!)+SUM(#REF!)+SUM(#REF!)+SUM(#REF!)+SUM(#REF!)+SUM(H35:H40)+SUM(#REF!)+SUM(#REF!)+SUM(#REF!)+SUM(#REF!)+SUM(#REF!)+SUM(#REF!)+SUM(#REF!)+SUM(#REF!)+SUM(#REF!)+SUM(#REF!)+SUM(#REF!)+SUM(#REF!)+SUM(#REF!)+SUM(#REF!)</f>
        <v>#REF!</v>
      </c>
      <c r="I52" s="47" t="e">
        <f>I4+SUM(I14:I21)+SUM(#REF!)+SUM(#REF!)+SUM(#REF!)+SUM(#REF!)+SUM(#REF!)+SUM(I35:I40)+SUM(#REF!)+SUM(#REF!)+SUM(#REF!)+SUM(#REF!)+SUM(#REF!)+SUM(#REF!)+SUM(#REF!)+SUM(#REF!)+SUM(#REF!)+SUM(#REF!)+SUM(#REF!)+SUM(#REF!)+SUM(#REF!)+SUM(#REF!)</f>
        <v>#REF!</v>
      </c>
      <c r="J52" s="47" t="e">
        <f>J4+SUM(J14:J21)+SUM(#REF!)+SUM(#REF!)+SUM(#REF!)+SUM(#REF!)+SUM(#REF!)+SUM(J35:J40)+SUM(#REF!)+SUM(#REF!)+SUM(#REF!)+SUM(#REF!)+SUM(#REF!)+SUM(#REF!)+SUM(#REF!)+SUM(#REF!)+SUM(#REF!)+SUM(#REF!)+SUM(#REF!)+SUM(#REF!)+SUM(#REF!)+SUM(#REF!)</f>
        <v>#REF!</v>
      </c>
      <c r="K52" s="47" t="e">
        <f>K4+SUM(K14:K21)+SUM(#REF!)+SUM(#REF!)+SUM(#REF!)+SUM(#REF!)+SUM(#REF!)+SUM(K35:K40)+SUM(#REF!)+SUM(#REF!)+SUM(#REF!)+SUM(#REF!)+SUM(#REF!)+SUM(#REF!)+SUM(#REF!)+SUM(#REF!)+SUM(#REF!)+SUM(#REF!)+SUM(#REF!)+SUM(#REF!)+SUM(#REF!)+SUM(#REF!)</f>
        <v>#REF!</v>
      </c>
      <c r="L52" s="47" t="e">
        <f>L4+SUM(L14:L21)+SUM(#REF!)+SUM(#REF!)+SUM(#REF!)+SUM(#REF!)+SUM(#REF!)+SUM(L35:L40)+SUM(#REF!)+SUM(#REF!)+SUM(#REF!)+SUM(#REF!)+SUM(#REF!)+SUM(#REF!)+SUM(#REF!)+SUM(#REF!)+SUM(#REF!)+SUM(#REF!)+SUM(#REF!)+SUM(#REF!)+SUM(#REF!)+SUM(#REF!)</f>
        <v>#REF!</v>
      </c>
      <c r="M52" s="47" t="e">
        <f>M4+SUM(M14:M21)+SUM(#REF!)+SUM(#REF!)+SUM(#REF!)+SUM(#REF!)+SUM(#REF!)+SUM(M35:M40)+SUM(#REF!)+SUM(#REF!)+SUM(#REF!)+SUM(#REF!)+SUM(#REF!)+SUM(#REF!)+SUM(#REF!)+SUM(#REF!)+SUM(#REF!)+SUM(#REF!)+SUM(#REF!)+SUM(#REF!)+SUM(#REF!)+SUM(#REF!)</f>
        <v>#REF!</v>
      </c>
      <c r="N52" s="47" t="e">
        <f>N4+SUM(N14:N21)+SUM(#REF!)+SUM(#REF!)+SUM(#REF!)+SUM(#REF!)+SUM(#REF!)+SUM(N35:N40)+SUM(#REF!)+SUM(#REF!)+SUM(#REF!)+SUM(#REF!)+SUM(#REF!)+SUM(#REF!)+SUM(#REF!)+SUM(#REF!)+SUM(#REF!)+SUM(#REF!)+SUM(#REF!)+SUM(#REF!)+SUM(#REF!)+SUM(#REF!)</f>
        <v>#REF!</v>
      </c>
      <c r="O52" s="48" t="e">
        <f>O4+SUM(O14:O21)+SUM(#REF!)+SUM(#REF!)+SUM(#REF!)+SUM(#REF!)+SUM(#REF!)+SUM(O35:O40)+SUM(#REF!)+SUM(#REF!)+SUM(#REF!)+SUM(#REF!)+SUM(#REF!)+SUM(#REF!)+SUM(#REF!)+SUM(#REF!)+SUM(#REF!)+SUM(#REF!)+SUM(#REF!)+SUM(#REF!)+SUM(#REF!)+SUM(#REF!)</f>
        <v>#REF!</v>
      </c>
      <c r="P52" s="48" t="e">
        <f>P4+SUM(P14:P21)+SUM(#REF!)+SUM(#REF!)+SUM(#REF!)+SUM(#REF!)+SUM(#REF!)+SUM(P35:P40)+SUM(#REF!)+SUM(#REF!)+SUM(#REF!)+SUM(#REF!)+SUM(#REF!)+SUM(#REF!)+SUM(#REF!)+SUM(#REF!)+SUM(#REF!)+SUM(#REF!)+SUM(#REF!)+SUM(#REF!)+SUM(#REF!)+SUM(#REF!)</f>
        <v>#REF!</v>
      </c>
      <c r="Q52" s="49" t="e">
        <f t="shared" ref="Q52:Q60" si="10">SUM(D52:P52)</f>
        <v>#REF!</v>
      </c>
    </row>
    <row r="53" spans="1:18">
      <c r="A53" s="146" t="s">
        <v>41</v>
      </c>
      <c r="B53" s="147"/>
      <c r="C53" s="148"/>
      <c r="D53" s="50" t="e">
        <f>SUM(D14:D21)+SUM(#REF!)+SUM(#REF!)+SUM(#REF!)+SUM(#REF!)+SUM(#REF!)+SUM(D35:D40)+SUM(#REF!)+SUM(#REF!)+SUM(#REF!)+SUM(#REF!)+SUM(#REF!)+SUM(#REF!)+SUM(#REF!)+SUM(#REF!)+SUM(#REF!)+SUM(#REF!)+SUM(#REF!)+SUM(#REF!)+SUM(#REF!)+SUM(#REF!)</f>
        <v>#REF!</v>
      </c>
      <c r="E53" s="50" t="e">
        <f>SUM(E14:E21)+SUM(#REF!)+SUM(#REF!)+SUM(#REF!)+SUM(#REF!)+SUM(#REF!)+SUM(E35:E40)+SUM(#REF!)+SUM(#REF!)+SUM(#REF!)+SUM(#REF!)+SUM(#REF!)+SUM(#REF!)+SUM(#REF!)+SUM(#REF!)+SUM(#REF!)+SUM(#REF!)+SUM(#REF!)+SUM(#REF!)+SUM(#REF!)+SUM(#REF!)</f>
        <v>#REF!</v>
      </c>
      <c r="F53" s="50" t="e">
        <f>SUM(F14:F21)+SUM(#REF!)+SUM(#REF!)+SUM(#REF!)+SUM(#REF!)+SUM(#REF!)+SUM(F35:F40)+SUM(#REF!)+SUM(#REF!)+SUM(#REF!)+SUM(#REF!)+SUM(#REF!)+SUM(#REF!)+SUM(#REF!)+SUM(#REF!)+SUM(#REF!)+SUM(#REF!)+SUM(#REF!)+SUM(#REF!)+SUM(#REF!)+SUM(#REF!)</f>
        <v>#REF!</v>
      </c>
      <c r="G53" s="50" t="e">
        <f>SUM(G14:G21)+SUM(#REF!)+SUM(#REF!)+SUM(#REF!)+SUM(#REF!)+SUM(#REF!)+SUM(G35:G40)+SUM(#REF!)+SUM(#REF!)+SUM(#REF!)+SUM(#REF!)+SUM(#REF!)+SUM(#REF!)+SUM(#REF!)+SUM(#REF!)+SUM(#REF!)+SUM(#REF!)+SUM(#REF!)+SUM(#REF!)+SUM(#REF!)+SUM(#REF!)</f>
        <v>#REF!</v>
      </c>
      <c r="H53" s="50" t="e">
        <f>SUM(H14:H21)+SUM(#REF!)+SUM(#REF!)+SUM(#REF!)+SUM(#REF!)+SUM(#REF!)+SUM(H35:H40)+SUM(#REF!)+SUM(#REF!)+SUM(#REF!)+SUM(#REF!)+SUM(#REF!)+SUM(#REF!)+SUM(#REF!)+SUM(#REF!)+SUM(#REF!)+SUM(#REF!)+SUM(#REF!)+SUM(#REF!)+SUM(#REF!)+SUM(#REF!)</f>
        <v>#REF!</v>
      </c>
      <c r="I53" s="50" t="e">
        <f>SUM(I14:I21)+SUM(#REF!)+SUM(#REF!)+SUM(#REF!)+SUM(#REF!)+SUM(#REF!)+SUM(I35:I40)+SUM(#REF!)+SUM(#REF!)+SUM(#REF!)+SUM(#REF!)+SUM(#REF!)+SUM(#REF!)+SUM(#REF!)+SUM(#REF!)+SUM(#REF!)+SUM(#REF!)+SUM(#REF!)+SUM(#REF!)+SUM(#REF!)+SUM(#REF!)</f>
        <v>#REF!</v>
      </c>
      <c r="J53" s="50" t="e">
        <f>SUM(J14:J21)+SUM(#REF!)+SUM(#REF!)+SUM(#REF!)+SUM(#REF!)+SUM(#REF!)+SUM(J35:J40)+SUM(#REF!)+SUM(#REF!)+SUM(#REF!)+SUM(#REF!)+SUM(#REF!)+SUM(#REF!)+SUM(#REF!)+SUM(#REF!)+SUM(#REF!)+SUM(#REF!)+SUM(#REF!)+SUM(#REF!)+SUM(#REF!)+SUM(#REF!)</f>
        <v>#REF!</v>
      </c>
      <c r="K53" s="50" t="e">
        <f>SUM(K14:K21)+SUM(#REF!)+SUM(#REF!)+SUM(#REF!)+SUM(#REF!)+SUM(#REF!)+SUM(K35:K40)+SUM(#REF!)+SUM(#REF!)+SUM(#REF!)+SUM(#REF!)+SUM(#REF!)+SUM(#REF!)+SUM(#REF!)+SUM(#REF!)+SUM(#REF!)+SUM(#REF!)+SUM(#REF!)+SUM(#REF!)+SUM(#REF!)+SUM(#REF!)</f>
        <v>#REF!</v>
      </c>
      <c r="L53" s="50" t="e">
        <f>SUM(L14:L21)+SUM(#REF!)+SUM(#REF!)+SUM(#REF!)+SUM(#REF!)+SUM(#REF!)+SUM(L35:L40)+SUM(#REF!)+SUM(#REF!)+SUM(#REF!)+SUM(#REF!)+SUM(#REF!)+SUM(#REF!)+SUM(#REF!)+SUM(#REF!)+SUM(#REF!)+SUM(#REF!)+SUM(#REF!)+SUM(#REF!)+SUM(#REF!)+SUM(#REF!)</f>
        <v>#REF!</v>
      </c>
      <c r="M53" s="50" t="e">
        <f>SUM(M14:M21)+SUM(#REF!)+SUM(#REF!)+SUM(#REF!)+SUM(#REF!)+SUM(#REF!)+SUM(M35:M40)+SUM(#REF!)+SUM(#REF!)+SUM(#REF!)+SUM(#REF!)+SUM(#REF!)+SUM(#REF!)+SUM(#REF!)+SUM(#REF!)+SUM(#REF!)+SUM(#REF!)+SUM(#REF!)+SUM(#REF!)+SUM(#REF!)+SUM(#REF!)</f>
        <v>#REF!</v>
      </c>
      <c r="N53" s="50" t="e">
        <f>SUM(N14:N21)+SUM(#REF!)+SUM(#REF!)+SUM(#REF!)+SUM(#REF!)+SUM(#REF!)+SUM(N35:N40)+SUM(#REF!)+SUM(#REF!)+SUM(#REF!)+SUM(#REF!)+SUM(#REF!)+SUM(#REF!)+SUM(#REF!)+SUM(#REF!)+SUM(#REF!)+SUM(#REF!)+SUM(#REF!)+SUM(#REF!)+SUM(#REF!)+SUM(#REF!)</f>
        <v>#REF!</v>
      </c>
      <c r="O53" s="50" t="e">
        <f>SUM(O14:O21)+SUM(#REF!)+SUM(#REF!)+SUM(#REF!)+SUM(#REF!)+SUM(#REF!)+SUM(O35:O40)+SUM(#REF!)+SUM(#REF!)+SUM(#REF!)+SUM(#REF!)+SUM(#REF!)+SUM(#REF!)+SUM(#REF!)+SUM(#REF!)+SUM(#REF!)+SUM(#REF!)+SUM(#REF!)+SUM(#REF!)+SUM(#REF!)+SUM(#REF!)</f>
        <v>#REF!</v>
      </c>
      <c r="P53" s="51" t="e">
        <f>SUM(P14:P21)+SUM(#REF!)+SUM(#REF!)+SUM(#REF!)+SUM(#REF!)+SUM(#REF!)+SUM(P35:P40)+SUM(#REF!)+SUM(#REF!)+SUM(#REF!)+SUM(#REF!)+SUM(#REF!)+SUM(#REF!)+SUM(#REF!)+SUM(#REF!)+SUM(#REF!)+SUM(#REF!)+SUM(#REF!)+SUM(#REF!)+SUM(#REF!)+SUM(#REF!)</f>
        <v>#REF!</v>
      </c>
      <c r="Q53" s="52" t="e">
        <f t="shared" si="10"/>
        <v>#REF!</v>
      </c>
    </row>
    <row r="54" spans="1:18">
      <c r="A54" s="146" t="s">
        <v>31</v>
      </c>
      <c r="B54" s="147"/>
      <c r="C54" s="148"/>
      <c r="D54" s="50" t="e">
        <f>SUM(D13+D32+#REF!+#REF!+#REF!+#REF!+#REF!+D51+#REF!+#REF!+#REF!+#REF!+#REF!+#REF!+#REF!+#REF!+#REF!+#REF!+#REF!+#REF!+#REF!+#REF!)</f>
        <v>#REF!</v>
      </c>
      <c r="E54" s="50" t="e">
        <f>SUM(E13+E32+#REF!+#REF!+#REF!+#REF!+#REF!+E51+#REF!+#REF!+#REF!+#REF!+#REF!+#REF!+#REF!+#REF!+#REF!+#REF!+#REF!+#REF!+#REF!+#REF!)</f>
        <v>#REF!</v>
      </c>
      <c r="F54" s="50" t="e">
        <f>SUM(F13+F32+#REF!+#REF!+#REF!+#REF!+#REF!+F51+#REF!+#REF!+#REF!+#REF!+#REF!+#REF!+#REF!+#REF!+#REF!+#REF!+#REF!+#REF!+#REF!+#REF!)</f>
        <v>#REF!</v>
      </c>
      <c r="G54" s="50" t="e">
        <f>SUM(G13+G32+#REF!+#REF!+#REF!+#REF!+#REF!+G51+#REF!+#REF!+#REF!+#REF!+#REF!+#REF!+#REF!+#REF!+#REF!+#REF!+#REF!+#REF!+#REF!+#REF!)</f>
        <v>#REF!</v>
      </c>
      <c r="H54" s="50" t="e">
        <f>SUM(H13+H32+#REF!+#REF!+#REF!+#REF!+#REF!+H51+#REF!+#REF!+#REF!+#REF!+#REF!+#REF!+#REF!+#REF!+#REF!+#REF!+#REF!+#REF!+#REF!+#REF!)</f>
        <v>#REF!</v>
      </c>
      <c r="I54" s="50" t="e">
        <f>SUM(I13+I32+#REF!+#REF!+#REF!+#REF!+#REF!+I51+#REF!+#REF!+#REF!+#REF!+#REF!+#REF!+#REF!+#REF!+#REF!+#REF!+#REF!+#REF!+#REF!+#REF!)</f>
        <v>#REF!</v>
      </c>
      <c r="J54" s="53" t="e">
        <f>SUM(J13+J32+#REF!+#REF!+#REF!+#REF!+#REF!+J51+#REF!+#REF!+#REF!+#REF!+#REF!+#REF!+#REF!+#REF!+#REF!+#REF!+#REF!+#REF!+#REF!+#REF!)</f>
        <v>#REF!</v>
      </c>
      <c r="K54" s="50" t="e">
        <f>SUM(K13+K32+#REF!+#REF!+#REF!+#REF!+#REF!+K51+#REF!+#REF!+#REF!+#REF!+#REF!+#REF!+#REF!+#REF!+#REF!+#REF!+#REF!+#REF!+#REF!+#REF!)</f>
        <v>#REF!</v>
      </c>
      <c r="L54" s="50" t="e">
        <f>SUM(L13+L32+#REF!+#REF!+#REF!+#REF!+#REF!+L51+#REF!+#REF!+#REF!+#REF!+#REF!+#REF!+#REF!+#REF!+#REF!+#REF!+#REF!+#REF!+#REF!+#REF!)</f>
        <v>#REF!</v>
      </c>
      <c r="M54" s="50" t="e">
        <f>SUM(M13+M32+#REF!+#REF!+#REF!+#REF!+#REF!+M51+#REF!+#REF!+#REF!+#REF!+#REF!+#REF!+#REF!+#REF!+#REF!+#REF!+#REF!+#REF!+#REF!+#REF!)</f>
        <v>#REF!</v>
      </c>
      <c r="N54" s="50" t="e">
        <f>SUM(N13+N32+#REF!+#REF!+#REF!+#REF!+#REF!+N51+#REF!+#REF!+#REF!+#REF!+#REF!+#REF!+#REF!+#REF!+#REF!+#REF!+#REF!+#REF!+#REF!+#REF!)</f>
        <v>#REF!</v>
      </c>
      <c r="O54" s="51" t="e">
        <f>SUM(O13+O32+#REF!+#REF!+#REF!+#REF!+#REF!+O51+#REF!+#REF!+#REF!+#REF!+#REF!+#REF!+#REF!+#REF!+#REF!+#REF!+#REF!+#REF!+#REF!+#REF!)</f>
        <v>#REF!</v>
      </c>
      <c r="P54" s="51" t="e">
        <f>SUM(P13+P32+#REF!+#REF!+#REF!+#REF!+#REF!+P51+#REF!+#REF!+#REF!+#REF!+#REF!+#REF!+#REF!+#REF!+#REF!+#REF!+#REF!+#REF!+#REF!+#REF!)</f>
        <v>#REF!</v>
      </c>
      <c r="Q54" s="52" t="e">
        <f t="shared" si="10"/>
        <v>#REF!</v>
      </c>
    </row>
    <row r="55" spans="1:18">
      <c r="A55" s="140" t="s">
        <v>20</v>
      </c>
      <c r="B55" s="141"/>
      <c r="C55" s="141"/>
      <c r="D55" s="53" t="e">
        <f>SUM(D5+D22+#REF!+#REF!+#REF!+#REF!+#REF!+D41+#REF!+#REF!+#REF!+#REF!+#REF!+#REF!+#REF!+#REF!+#REF!+#REF!+#REF!+#REF!+#REF!+#REF!)</f>
        <v>#REF!</v>
      </c>
      <c r="E55" s="53" t="e">
        <f>SUM(E5+E22+#REF!+#REF!+#REF!+#REF!+#REF!+E41+#REF!+#REF!+#REF!+#REF!+#REF!+#REF!+#REF!+#REF!+#REF!+#REF!+#REF!+#REF!+#REF!+#REF!)</f>
        <v>#REF!</v>
      </c>
      <c r="F55" s="53" t="e">
        <f>SUM(F5+F22+#REF!+#REF!+#REF!+#REF!+#REF!+F41+#REF!+#REF!+#REF!+#REF!+#REF!+#REF!+#REF!+#REF!+#REF!+#REF!+#REF!+#REF!+#REF!+#REF!)</f>
        <v>#REF!</v>
      </c>
      <c r="G55" s="53" t="e">
        <f>SUM(G5+G22+#REF!+#REF!+#REF!+#REF!+#REF!+G41+#REF!+#REF!+#REF!+#REF!+#REF!+#REF!+#REF!+#REF!+#REF!+#REF!+#REF!+#REF!+#REF!+#REF!)</f>
        <v>#REF!</v>
      </c>
      <c r="H55" s="53" t="e">
        <f>SUM(H5+H22+#REF!+#REF!+#REF!+#REF!+#REF!+H41+#REF!+#REF!+#REF!+#REF!+#REF!+#REF!+#REF!+#REF!+#REF!+#REF!+#REF!+#REF!+#REF!+#REF!)</f>
        <v>#REF!</v>
      </c>
      <c r="I55" s="53" t="e">
        <f>SUM(I5+I22+#REF!+#REF!+#REF!+#REF!+#REF!+I41+#REF!+#REF!+#REF!+#REF!+#REF!+#REF!+#REF!+#REF!+#REF!+#REF!+#REF!+#REF!+#REF!+#REF!)</f>
        <v>#REF!</v>
      </c>
      <c r="J55" s="53" t="e">
        <f>SUM(J5+J22+#REF!+#REF!+#REF!+#REF!+#REF!+J41+#REF!+#REF!+#REF!+#REF!+#REF!+#REF!+#REF!+#REF!+#REF!+#REF!+#REF!+#REF!+#REF!+#REF!)</f>
        <v>#REF!</v>
      </c>
      <c r="K55" s="53" t="e">
        <f>SUM(K5+K22+#REF!+#REF!+#REF!+#REF!+#REF!+K41+#REF!+#REF!+#REF!+#REF!+#REF!+#REF!+#REF!+#REF!+#REF!+#REF!+#REF!+#REF!+#REF!+#REF!)</f>
        <v>#REF!</v>
      </c>
      <c r="L55" s="53" t="e">
        <f>SUM(L5+L22+#REF!+#REF!+#REF!+#REF!+#REF!+L41+#REF!+#REF!+#REF!+#REF!+#REF!+#REF!+#REF!+#REF!+#REF!+#REF!+#REF!+#REF!+#REF!+#REF!)</f>
        <v>#REF!</v>
      </c>
      <c r="M55" s="53" t="e">
        <f>SUM(M5+M22+#REF!+#REF!+#REF!+#REF!+#REF!+M41+#REF!+#REF!+#REF!+#REF!+#REF!+#REF!+#REF!+#REF!+#REF!+#REF!+#REF!+#REF!+#REF!+#REF!)</f>
        <v>#REF!</v>
      </c>
      <c r="N55" s="53" t="e">
        <f>SUM(N5+N22+#REF!+#REF!+#REF!+#REF!+#REF!+N41+#REF!+#REF!+#REF!+#REF!+#REF!+#REF!+#REF!+#REF!+#REF!+#REF!+#REF!+#REF!+#REF!+#REF!)</f>
        <v>#REF!</v>
      </c>
      <c r="O55" s="54" t="e">
        <f>SUM(O5+O22+#REF!+#REF!+#REF!+#REF!+#REF!+O41+#REF!+#REF!+#REF!+#REF!+#REF!+#REF!+#REF!+#REF!+#REF!+#REF!+#REF!+#REF!+#REF!+#REF!)</f>
        <v>#REF!</v>
      </c>
      <c r="P55" s="54" t="e">
        <f>SUM(P5+P22+#REF!+#REF!+#REF!+#REF!+#REF!+P41+#REF!+#REF!+#REF!+#REF!+#REF!+#REF!+#REF!+#REF!+#REF!+#REF!+#REF!+#REF!+#REF!+#REF!)</f>
        <v>#REF!</v>
      </c>
      <c r="Q55" s="52" t="e">
        <f t="shared" si="10"/>
        <v>#REF!</v>
      </c>
    </row>
    <row r="56" spans="1:18">
      <c r="A56" s="140" t="s">
        <v>43</v>
      </c>
      <c r="B56" s="141"/>
      <c r="C56" s="141"/>
      <c r="D56" s="53" t="e">
        <f>SUM(D7+D24+#REF!+#REF!+#REF!+#REF!+#REF!+#REF!+#REF!+#REF!+D43+#REF!+#REF!+#REF!+#REF!+#REF!+#REF!+#REF!+#REF!+#REF!+#REF!+#REF!)</f>
        <v>#REF!</v>
      </c>
      <c r="E56" s="53" t="e">
        <f>SUM(E7+E24+#REF!+#REF!+#REF!+#REF!+#REF!+#REF!+#REF!+#REF!+E43+#REF!+#REF!+#REF!+#REF!+#REF!+#REF!+#REF!+#REF!+#REF!+#REF!+#REF!)</f>
        <v>#REF!</v>
      </c>
      <c r="F56" s="53" t="e">
        <f>SUM(F7+F24+#REF!+#REF!+#REF!+#REF!+#REF!+#REF!+#REF!+#REF!+F43+#REF!+#REF!+#REF!+#REF!+#REF!+#REF!+#REF!+#REF!+#REF!+#REF!+#REF!)</f>
        <v>#REF!</v>
      </c>
      <c r="G56" s="53" t="e">
        <f>SUM(G7+G24+#REF!+#REF!+#REF!+#REF!+#REF!+#REF!+#REF!+#REF!+G43+#REF!+#REF!+#REF!+#REF!+#REF!+#REF!+#REF!+#REF!+#REF!+#REF!+#REF!)</f>
        <v>#REF!</v>
      </c>
      <c r="H56" s="53" t="e">
        <f>SUM(H7+H24+#REF!+#REF!+#REF!+#REF!+#REF!+#REF!+#REF!+#REF!+H43+#REF!+#REF!+#REF!+#REF!+#REF!+#REF!+#REF!+#REF!+#REF!+#REF!+#REF!)</f>
        <v>#REF!</v>
      </c>
      <c r="I56" s="53" t="e">
        <f>SUM(I7+I24+#REF!+#REF!+#REF!+#REF!+#REF!+#REF!+#REF!+#REF!+I43+#REF!+#REF!+#REF!+#REF!+#REF!+#REF!+#REF!+#REF!+#REF!+#REF!+#REF!)</f>
        <v>#REF!</v>
      </c>
      <c r="J56" s="53" t="e">
        <f>SUM(J7+J24+#REF!+#REF!+#REF!+#REF!+#REF!+#REF!+#REF!+#REF!+J43+#REF!+#REF!+#REF!+#REF!+#REF!+#REF!+#REF!+#REF!+#REF!+#REF!+#REF!)</f>
        <v>#REF!</v>
      </c>
      <c r="K56" s="53" t="e">
        <f>SUM(K7+K24+#REF!+#REF!+#REF!+#REF!+#REF!+#REF!+#REF!+#REF!+K43+#REF!+#REF!+#REF!+#REF!+#REF!+#REF!+#REF!+#REF!+#REF!+#REF!+#REF!)</f>
        <v>#REF!</v>
      </c>
      <c r="L56" s="53" t="e">
        <f>SUM(L7+L24+#REF!+#REF!+#REF!+#REF!+#REF!+#REF!+#REF!+#REF!+L43+#REF!+#REF!+#REF!+#REF!+#REF!+#REF!+#REF!+#REF!+#REF!+#REF!+#REF!)</f>
        <v>#REF!</v>
      </c>
      <c r="M56" s="53" t="e">
        <f>SUM(M7+M24+#REF!+#REF!+#REF!+#REF!+#REF!+#REF!+#REF!+#REF!+M43+#REF!+#REF!+#REF!+#REF!+#REF!+#REF!+#REF!+#REF!+#REF!+#REF!+#REF!)</f>
        <v>#REF!</v>
      </c>
      <c r="N56" s="53" t="e">
        <f>SUM(N7+N24+#REF!+#REF!+#REF!+#REF!+#REF!+#REF!+#REF!+#REF!+N43+#REF!+#REF!+#REF!+#REF!+#REF!+#REF!+#REF!+#REF!+#REF!+#REF!+#REF!)</f>
        <v>#REF!</v>
      </c>
      <c r="O56" s="54" t="e">
        <f>SUM(O7+O24+#REF!+#REF!+#REF!+#REF!+#REF!+#REF!+#REF!+#REF!+O43+#REF!+#REF!+#REF!+#REF!+#REF!+#REF!+#REF!+#REF!+#REF!+#REF!+#REF!)</f>
        <v>#REF!</v>
      </c>
      <c r="P56" s="54" t="e">
        <f>SUM(P7+P24+#REF!+#REF!+#REF!+#REF!+#REF!+#REF!+#REF!+#REF!+P43+#REF!+#REF!+#REF!+#REF!+#REF!+#REF!+#REF!+#REF!+#REF!+#REF!+#REF!)</f>
        <v>#REF!</v>
      </c>
      <c r="Q56" s="52" t="e">
        <f t="shared" si="10"/>
        <v>#REF!</v>
      </c>
    </row>
    <row r="57" spans="1:18">
      <c r="A57" s="140" t="s">
        <v>53</v>
      </c>
      <c r="B57" s="141"/>
      <c r="C57" s="141"/>
      <c r="D57" s="53" t="e">
        <f>SUM(D8:D9)+SUM(D25:D26)+SUM(#REF!)+SUM(#REF!)+SUM(#REF!)+SUM(#REF!)+SUM(#REF!)+SUM(D44:D45)+SUM(#REF!)+SUM(#REF!)+SUM(#REF!)+SUM(#REF!)+SUM(#REF!)+SUM(#REF!)+SUM(#REF!)+SUM(#REF!)+SUM(#REF!)+SUM(#REF!)+SUM(#REF!)+SUM(#REF!)+SUM(#REF!)+SUM(#REF!)</f>
        <v>#REF!</v>
      </c>
      <c r="E57" s="53" t="e">
        <f>SUM(E8:E9)+SUM(E25:E26)+SUM(#REF!)+SUM(#REF!)+SUM(#REF!)+SUM(#REF!)+SUM(#REF!)+SUM(E44:E45)+SUM(#REF!)+SUM(#REF!)+SUM(#REF!)+SUM(#REF!)+SUM(#REF!)+SUM(#REF!)+SUM(#REF!)+SUM(#REF!)+SUM(#REF!)+SUM(#REF!)+SUM(#REF!)+SUM(#REF!)+SUM(#REF!)+SUM(#REF!)</f>
        <v>#REF!</v>
      </c>
      <c r="F57" s="53" t="e">
        <f>SUM(F8:F9)+SUM(F25:F26)+SUM(#REF!)+SUM(#REF!)+SUM(#REF!)+SUM(#REF!)+SUM(#REF!)+SUM(F44:F45)+SUM(#REF!)+SUM(#REF!)+SUM(#REF!)+SUM(#REF!)+SUM(#REF!)+SUM(#REF!)+SUM(#REF!)+SUM(#REF!)+SUM(#REF!)+SUM(#REF!)+SUM(#REF!)+SUM(#REF!)+SUM(#REF!)+SUM(#REF!)</f>
        <v>#REF!</v>
      </c>
      <c r="G57" s="53" t="e">
        <f>SUM(G8:G9)+SUM(G25:G26)+SUM(#REF!)+SUM(#REF!)+SUM(#REF!)+SUM(#REF!)+SUM(#REF!)+SUM(G44:G45)+SUM(#REF!)+SUM(#REF!)+SUM(#REF!)+SUM(#REF!)+SUM(#REF!)+SUM(#REF!)+SUM(#REF!)+SUM(#REF!)+SUM(#REF!)+SUM(#REF!)+SUM(#REF!)+SUM(#REF!)+SUM(#REF!)+SUM(#REF!)</f>
        <v>#REF!</v>
      </c>
      <c r="H57" s="53" t="e">
        <f>SUM(H8:H9)+SUM(H25:H26)+SUM(#REF!)+SUM(#REF!)+SUM(#REF!)+SUM(#REF!)+SUM(#REF!)+SUM(H44:H45)+SUM(#REF!)+SUM(#REF!)+SUM(#REF!)+SUM(#REF!)+SUM(#REF!)+SUM(#REF!)+SUM(#REF!)+SUM(#REF!)+SUM(#REF!)+SUM(#REF!)+SUM(#REF!)+SUM(#REF!)+SUM(#REF!)+SUM(#REF!)</f>
        <v>#REF!</v>
      </c>
      <c r="I57" s="53" t="e">
        <f>SUM(I8:I9)+SUM(I25:I26)+SUM(#REF!)+SUM(#REF!)+SUM(#REF!)+SUM(#REF!)+SUM(#REF!)+SUM(I44:I45)+SUM(#REF!)+SUM(#REF!)+SUM(#REF!)+SUM(#REF!)+SUM(#REF!)+SUM(#REF!)+SUM(#REF!)+SUM(#REF!)+SUM(#REF!)+SUM(#REF!)+SUM(#REF!)+SUM(#REF!)+SUM(#REF!)+SUM(#REF!)</f>
        <v>#REF!</v>
      </c>
      <c r="J57" s="53" t="e">
        <f>SUM(J8:J9)+SUM(J25:J26)+SUM(#REF!)+SUM(#REF!)+SUM(#REF!)+SUM(#REF!)+SUM(#REF!)+SUM(J44:J45)+SUM(#REF!)+SUM(#REF!)+SUM(#REF!)+SUM(#REF!)+SUM(#REF!)+SUM(#REF!)+SUM(#REF!)+SUM(#REF!)+SUM(#REF!)+SUM(#REF!)+SUM(#REF!)+SUM(#REF!)+SUM(#REF!)+SUM(#REF!)</f>
        <v>#REF!</v>
      </c>
      <c r="K57" s="53" t="e">
        <f>SUM(K8:K9)+SUM(K25:K26)+SUM(#REF!)+SUM(#REF!)+SUM(#REF!)+SUM(#REF!)+SUM(#REF!)+SUM(K44:K45)+SUM(#REF!)+SUM(#REF!)+SUM(#REF!)+SUM(#REF!)+SUM(#REF!)+SUM(#REF!)+SUM(#REF!)+SUM(#REF!)+SUM(#REF!)+SUM(#REF!)+SUM(#REF!)+SUM(#REF!)+SUM(#REF!)+SUM(#REF!)</f>
        <v>#REF!</v>
      </c>
      <c r="L57" s="53" t="e">
        <f>SUM(L8:L9)+SUM(L25:L26)+SUM(#REF!)+SUM(#REF!)+SUM(#REF!)+SUM(#REF!)+SUM(#REF!)+SUM(L44:L45)+SUM(#REF!)+SUM(#REF!)+SUM(#REF!)+SUM(#REF!)+SUM(#REF!)+SUM(#REF!)+SUM(#REF!)+SUM(#REF!)+SUM(#REF!)+SUM(#REF!)+SUM(#REF!)+SUM(#REF!)+SUM(#REF!)+SUM(#REF!)</f>
        <v>#REF!</v>
      </c>
      <c r="M57" s="53" t="e">
        <f>SUM(M8:M9)+SUM(M25:M26)+SUM(#REF!)+SUM(#REF!)+SUM(#REF!)+SUM(#REF!)+SUM(#REF!)+SUM(M44:M45)+SUM(#REF!)+SUM(#REF!)+SUM(#REF!)+SUM(#REF!)+SUM(#REF!)+SUM(#REF!)+SUM(#REF!)+SUM(#REF!)+SUM(#REF!)+SUM(#REF!)+SUM(#REF!)+SUM(#REF!)+SUM(#REF!)+SUM(#REF!)</f>
        <v>#REF!</v>
      </c>
      <c r="N57" s="53" t="e">
        <f>SUM(N8:N9)+SUM(N25:N26)+SUM(#REF!)+SUM(#REF!)+SUM(#REF!)+SUM(#REF!)+SUM(#REF!)+SUM(N44:N45)+SUM(#REF!)+SUM(#REF!)+SUM(#REF!)+SUM(#REF!)+SUM(#REF!)+SUM(#REF!)+SUM(#REF!)+SUM(#REF!)+SUM(#REF!)+SUM(#REF!)+SUM(#REF!)+SUM(#REF!)+SUM(#REF!)+SUM(#REF!)</f>
        <v>#REF!</v>
      </c>
      <c r="O57" s="54" t="e">
        <f>SUM(O8:O9)+SUM(O25:O26)+SUM(#REF!)+SUM(#REF!)+SUM(#REF!)+SUM(#REF!)+SUM(#REF!)+SUM(O44:O45)+SUM(#REF!)+SUM(#REF!)+SUM(#REF!)+SUM(#REF!)+SUM(#REF!)+SUM(#REF!)+SUM(#REF!)+SUM(#REF!)+SUM(#REF!)+SUM(#REF!)+SUM(#REF!)+SUM(#REF!)+SUM(#REF!)+SUM(#REF!)</f>
        <v>#REF!</v>
      </c>
      <c r="P57" s="54" t="e">
        <f>SUM(P8:P9)+SUM(P25:P26)+SUM(#REF!)+SUM(#REF!)+SUM(#REF!)+SUM(#REF!)+SUM(#REF!)+SUM(P44:P45)+SUM(#REF!)+SUM(#REF!)+SUM(#REF!)+SUM(#REF!)+SUM(#REF!)+SUM(#REF!)+SUM(#REF!)+SUM(#REF!)+SUM(#REF!)+SUM(#REF!)+SUM(#REF!)+SUM(#REF!)+SUM(#REF!)+SUM(#REF!)</f>
        <v>#REF!</v>
      </c>
      <c r="Q57" s="52" t="e">
        <f t="shared" si="10"/>
        <v>#REF!</v>
      </c>
    </row>
    <row r="58" spans="1:18">
      <c r="A58" s="140" t="s">
        <v>22</v>
      </c>
      <c r="B58" s="141"/>
      <c r="C58" s="141"/>
      <c r="D58" s="53" t="e">
        <f>SUM(D23+#REF!+#REF!+#REF!+#REF!+#REF!+D42+#REF!+#REF!+#REF!+#REF!+#REF!+#REF!+#REF!+#REF!+#REF!+#REF!+#REF!+#REF!)</f>
        <v>#REF!</v>
      </c>
      <c r="E58" s="53" t="e">
        <f>SUM(E23+#REF!+#REF!+#REF!+#REF!+#REF!+E42+#REF!+#REF!+#REF!+#REF!+#REF!+#REF!+#REF!+#REF!+#REF!+#REF!+#REF!+#REF!)</f>
        <v>#REF!</v>
      </c>
      <c r="F58" s="53" t="e">
        <f>SUM(F23+#REF!+#REF!+#REF!+#REF!+#REF!+F42+#REF!+#REF!+#REF!+#REF!+#REF!+#REF!+#REF!+#REF!+#REF!+#REF!+#REF!+#REF!)</f>
        <v>#REF!</v>
      </c>
      <c r="G58" s="53" t="e">
        <f>SUM(G23+#REF!+#REF!+#REF!+#REF!+#REF!+G42+#REF!+#REF!+#REF!+#REF!+#REF!+#REF!+#REF!+#REF!+#REF!+#REF!+#REF!+#REF!)</f>
        <v>#REF!</v>
      </c>
      <c r="H58" s="53" t="e">
        <f>SUM(H23+#REF!+#REF!+#REF!+#REF!+#REF!+H42+#REF!+#REF!+#REF!+#REF!+#REF!+#REF!+#REF!+#REF!+#REF!+#REF!+#REF!+#REF!)</f>
        <v>#REF!</v>
      </c>
      <c r="I58" s="53" t="e">
        <f>SUM(I23+#REF!+#REF!+#REF!+#REF!+#REF!+I42+#REF!+#REF!+#REF!+#REF!+#REF!+#REF!+#REF!+#REF!+#REF!+#REF!+#REF!+#REF!)</f>
        <v>#REF!</v>
      </c>
      <c r="J58" s="53" t="e">
        <f>SUM(J23+#REF!+#REF!+#REF!+#REF!+#REF!+J42+#REF!+#REF!+#REF!+#REF!+#REF!+#REF!+#REF!+#REF!+#REF!+#REF!+#REF!+#REF!)</f>
        <v>#REF!</v>
      </c>
      <c r="K58" s="53" t="e">
        <f>SUM(K23+#REF!+#REF!+#REF!+#REF!+#REF!+K42+#REF!+#REF!+#REF!+#REF!+#REF!+#REF!+#REF!+#REF!+#REF!+#REF!+#REF!+#REF!)</f>
        <v>#REF!</v>
      </c>
      <c r="L58" s="53" t="e">
        <f>SUM(L23+#REF!+#REF!+#REF!+#REF!+#REF!+L42+#REF!+#REF!+#REF!+#REF!+#REF!+#REF!+#REF!+#REF!+#REF!+#REF!+#REF!+#REF!)</f>
        <v>#REF!</v>
      </c>
      <c r="M58" s="53" t="e">
        <f>SUM(M23+#REF!+#REF!+#REF!+#REF!+#REF!+M42+#REF!+#REF!+#REF!+#REF!+#REF!+#REF!+#REF!+#REF!+#REF!+#REF!+#REF!+#REF!)</f>
        <v>#REF!</v>
      </c>
      <c r="N58" s="53" t="e">
        <f>SUM(N23+#REF!+#REF!+#REF!+#REF!+#REF!+N42+#REF!+#REF!+#REF!+#REF!+#REF!+#REF!+#REF!+#REF!+#REF!+#REF!+#REF!+#REF!)</f>
        <v>#REF!</v>
      </c>
      <c r="O58" s="54" t="e">
        <f>SUM(O23+#REF!+#REF!+#REF!+#REF!+#REF!+O42+#REF!+#REF!+#REF!+#REF!+#REF!+#REF!+#REF!+#REF!+#REF!+#REF!+#REF!+#REF!)</f>
        <v>#REF!</v>
      </c>
      <c r="P58" s="54" t="e">
        <f>SUM(P23+#REF!+#REF!+#REF!+#REF!+#REF!+P42+#REF!+#REF!+#REF!+#REF!+#REF!+#REF!+#REF!+#REF!+#REF!+#REF!+#REF!+#REF!)</f>
        <v>#REF!</v>
      </c>
      <c r="Q58" s="52" t="e">
        <f t="shared" si="10"/>
        <v>#REF!</v>
      </c>
    </row>
    <row r="59" spans="1:18">
      <c r="A59" s="140" t="s">
        <v>21</v>
      </c>
      <c r="B59" s="141"/>
      <c r="C59" s="141"/>
      <c r="D59" s="53" t="e">
        <f>SUM(D27+#REF!+#REF!+#REF!+#REF!+#REF!+D46+#REF!+#REF!+#REF!+#REF!+#REF!+#REF!+#REF!+#REF!+#REF!+#REF!+#REF!+#REF!+#REF!+#REF!)</f>
        <v>#REF!</v>
      </c>
      <c r="E59" s="53" t="e">
        <f>SUM(E27+#REF!+#REF!+#REF!+#REF!+#REF!+E46+#REF!+#REF!+#REF!+#REF!+#REF!+#REF!+#REF!+#REF!+#REF!+#REF!+#REF!+#REF!+#REF!+#REF!)</f>
        <v>#REF!</v>
      </c>
      <c r="F59" s="53" t="e">
        <f>SUM(F27+#REF!+#REF!+#REF!+#REF!+#REF!+F46+#REF!+#REF!+#REF!+#REF!+#REF!+#REF!+#REF!+#REF!+#REF!+#REF!+#REF!+#REF!+#REF!+#REF!)</f>
        <v>#REF!</v>
      </c>
      <c r="G59" s="53" t="e">
        <f>SUM(G27+#REF!+#REF!+#REF!+#REF!+#REF!+G46+#REF!+#REF!+#REF!+#REF!+#REF!+#REF!+#REF!+#REF!+#REF!+#REF!+#REF!+#REF!+#REF!+#REF!)</f>
        <v>#REF!</v>
      </c>
      <c r="H59" s="53" t="e">
        <f>SUM(H27+#REF!+#REF!+#REF!+#REF!+#REF!+H46+#REF!+#REF!+#REF!+#REF!+#REF!+#REF!+#REF!+#REF!+#REF!+#REF!+#REF!+#REF!+#REF!+#REF!)</f>
        <v>#REF!</v>
      </c>
      <c r="I59" s="53" t="e">
        <f>SUM(I27+#REF!+#REF!+#REF!+#REF!+#REF!+I46+#REF!+#REF!+#REF!+#REF!+#REF!+#REF!+#REF!+#REF!+#REF!+#REF!+#REF!+#REF!+#REF!+#REF!)</f>
        <v>#REF!</v>
      </c>
      <c r="J59" s="53" t="e">
        <f>SUM(J27+#REF!+#REF!+#REF!+#REF!+#REF!+J46+#REF!+#REF!+#REF!+#REF!+#REF!+#REF!+#REF!+#REF!+#REF!+#REF!+#REF!+#REF!+#REF!+#REF!)</f>
        <v>#REF!</v>
      </c>
      <c r="K59" s="53" t="e">
        <f>SUM(K27+#REF!+#REF!+#REF!+#REF!+#REF!+K46+#REF!+#REF!+#REF!+#REF!+#REF!+#REF!+#REF!+#REF!+#REF!+#REF!+#REF!+#REF!+#REF!+#REF!)</f>
        <v>#REF!</v>
      </c>
      <c r="L59" s="53" t="e">
        <f>SUM(L27+#REF!+#REF!+#REF!+#REF!+#REF!+L46+#REF!+#REF!+#REF!+#REF!+#REF!+#REF!+#REF!+#REF!+#REF!+#REF!+#REF!+#REF!+#REF!+#REF!)</f>
        <v>#REF!</v>
      </c>
      <c r="M59" s="53" t="e">
        <f>SUM(M27+#REF!+#REF!+#REF!+#REF!+#REF!+M46+#REF!+#REF!+#REF!+#REF!+#REF!+#REF!+#REF!+#REF!+#REF!+#REF!+#REF!+#REF!+#REF!+#REF!)</f>
        <v>#REF!</v>
      </c>
      <c r="N59" s="53" t="e">
        <f>SUM(N27+#REF!+#REF!+#REF!+#REF!+#REF!+N46+#REF!+#REF!+#REF!+#REF!+#REF!+#REF!+#REF!+#REF!+#REF!+#REF!+#REF!+#REF!+#REF!+#REF!)</f>
        <v>#REF!</v>
      </c>
      <c r="O59" s="54" t="e">
        <f>SUM(O27+#REF!+#REF!+#REF!+#REF!+#REF!+O46+#REF!+#REF!+#REF!+#REF!+#REF!+#REF!+#REF!+#REF!+#REF!+#REF!+#REF!+#REF!+#REF!+#REF!)</f>
        <v>#REF!</v>
      </c>
      <c r="P59" s="54" t="e">
        <f>SUM(P27+#REF!+#REF!+#REF!+#REF!+#REF!+P46+#REF!+#REF!+#REF!+#REF!+#REF!+#REF!+#REF!+#REF!+#REF!+#REF!+#REF!+#REF!+#REF!+#REF!)</f>
        <v>#REF!</v>
      </c>
      <c r="Q59" s="52" t="e">
        <f t="shared" si="10"/>
        <v>#REF!</v>
      </c>
    </row>
    <row r="60" spans="1:18" ht="14.25" thickBot="1">
      <c r="A60" s="142" t="s">
        <v>57</v>
      </c>
      <c r="B60" s="143"/>
      <c r="C60" s="143"/>
      <c r="D60" s="55" t="e">
        <f>SUM(D28:D29)+SUM(#REF!)+SUM(#REF!)+SUM(#REF!)+SUM(#REF!)+SUM(#REF!)+SUM(D47:D48)+SUM(#REF!)+SUM(#REF!)+SUM(#REF!)+D12+SUM(#REF!)+SUM(#REF!)+SUM(#REF!)+SUM(#REF!)+SUM(#REF!)+SUM(#REF!)+SUM(#REF!)+SUM(#REF!)+SUM(#REF!)+SUM(#REF!)+SUM(#REF!)</f>
        <v>#REF!</v>
      </c>
      <c r="E60" s="55" t="e">
        <f>SUM(E28:E29)+SUM(#REF!)+SUM(#REF!)+SUM(#REF!)+SUM(#REF!)+SUM(#REF!)+SUM(E47:E48)+SUM(#REF!)+SUM(#REF!)+SUM(#REF!)+E12+SUM(#REF!)+SUM(#REF!)+SUM(#REF!)+SUM(#REF!)+SUM(#REF!)+SUM(#REF!)+SUM(#REF!)+SUM(#REF!)+SUM(#REF!)+SUM(#REF!)+SUM(#REF!)</f>
        <v>#REF!</v>
      </c>
      <c r="F60" s="55" t="e">
        <f>SUM(F28:F29)+SUM(#REF!)+SUM(#REF!)+SUM(#REF!)+SUM(#REF!)+SUM(#REF!)+SUM(F47:F48)+SUM(#REF!)+SUM(#REF!)+SUM(#REF!)+F12+SUM(#REF!)+SUM(#REF!)+SUM(#REF!)+SUM(#REF!)+SUM(#REF!)+SUM(#REF!)+SUM(#REF!)+SUM(#REF!)+SUM(#REF!)+SUM(#REF!)+SUM(#REF!)</f>
        <v>#REF!</v>
      </c>
      <c r="G60" s="55" t="e">
        <f>SUM(G28:G29)+SUM(#REF!)+SUM(#REF!)+SUM(#REF!)+SUM(#REF!)+SUM(#REF!)+SUM(G47:G48)+SUM(#REF!)+SUM(#REF!)+SUM(#REF!)+G12+SUM(#REF!)+SUM(#REF!)+SUM(#REF!)+SUM(#REF!)+SUM(#REF!)+SUM(#REF!)+SUM(#REF!)+SUM(#REF!)+SUM(#REF!)+SUM(#REF!)+SUM(#REF!)</f>
        <v>#REF!</v>
      </c>
      <c r="H60" s="55" t="e">
        <f>SUM(H28:H29)+SUM(#REF!)+SUM(#REF!)+SUM(#REF!)+SUM(#REF!)+SUM(#REF!)+SUM(H47:H48)+SUM(#REF!)+SUM(#REF!)+SUM(#REF!)+H12+SUM(#REF!)+SUM(#REF!)+SUM(#REF!)+SUM(#REF!)+SUM(#REF!)+SUM(#REF!)+SUM(#REF!)+SUM(#REF!)+SUM(#REF!)+SUM(#REF!)+SUM(#REF!)</f>
        <v>#REF!</v>
      </c>
      <c r="I60" s="55" t="e">
        <f>SUM(I28:I29)+SUM(#REF!)+SUM(#REF!)+SUM(#REF!)+SUM(#REF!)+SUM(#REF!)+SUM(I47:I48)+SUM(#REF!)+SUM(#REF!)+SUM(#REF!)+I12+SUM(#REF!)+SUM(#REF!)+SUM(#REF!)+SUM(#REF!)+SUM(#REF!)+SUM(#REF!)+SUM(#REF!)+SUM(#REF!)+SUM(#REF!)+SUM(#REF!)+SUM(#REF!)</f>
        <v>#REF!</v>
      </c>
      <c r="J60" s="55" t="e">
        <f>SUM(J28:J29)+SUM(#REF!)+SUM(#REF!)+SUM(#REF!)+SUM(#REF!)+SUM(#REF!)+SUM(J47:J48)+SUM(#REF!)+SUM(#REF!)+SUM(#REF!)+J12+SUM(#REF!)+SUM(#REF!)+SUM(#REF!)+SUM(#REF!)+SUM(#REF!)+SUM(#REF!)+SUM(#REF!)+SUM(#REF!)+SUM(#REF!)+SUM(#REF!)+SUM(#REF!)</f>
        <v>#REF!</v>
      </c>
      <c r="K60" s="55" t="e">
        <f>SUM(K28:K29)+SUM(#REF!)+SUM(#REF!)+SUM(#REF!)+SUM(#REF!)+SUM(#REF!)+SUM(K47:K48)+SUM(#REF!)+SUM(#REF!)+SUM(#REF!)+K12+SUM(#REF!)+SUM(#REF!)+SUM(#REF!)+SUM(#REF!)+SUM(#REF!)+SUM(#REF!)+SUM(#REF!)+SUM(#REF!)+SUM(#REF!)+SUM(#REF!)+SUM(#REF!)</f>
        <v>#REF!</v>
      </c>
      <c r="L60" s="55" t="e">
        <f>SUM(L28:L29)+SUM(#REF!)+SUM(#REF!)+SUM(#REF!)+SUM(#REF!)+SUM(#REF!)+SUM(L47:L48)+SUM(#REF!)+SUM(#REF!)+SUM(#REF!)+L12+SUM(#REF!)+SUM(#REF!)+SUM(#REF!)+SUM(#REF!)+SUM(#REF!)+SUM(#REF!)+SUM(#REF!)+SUM(#REF!)+SUM(#REF!)+SUM(#REF!)+SUM(#REF!)</f>
        <v>#REF!</v>
      </c>
      <c r="M60" s="55" t="e">
        <f>SUM(M28:M29)+SUM(#REF!)+SUM(#REF!)+SUM(#REF!)+SUM(#REF!)+SUM(#REF!)+SUM(M47:M48)+SUM(#REF!)+SUM(#REF!)+SUM(#REF!)+M12+SUM(#REF!)+SUM(#REF!)+SUM(#REF!)+SUM(#REF!)+SUM(#REF!)+SUM(#REF!)+SUM(#REF!)+SUM(#REF!)+SUM(#REF!)+SUM(#REF!)+SUM(#REF!)</f>
        <v>#REF!</v>
      </c>
      <c r="N60" s="55" t="e">
        <f>SUM(N28:N29)+SUM(#REF!)+SUM(#REF!)+SUM(#REF!)+SUM(#REF!)+SUM(#REF!)+SUM(N47:N48)+SUM(#REF!)+SUM(#REF!)+SUM(#REF!)+N12+SUM(#REF!)+SUM(#REF!)+SUM(#REF!)+SUM(#REF!)+SUM(#REF!)+SUM(#REF!)+SUM(#REF!)+SUM(#REF!)+SUM(#REF!)+SUM(#REF!)+SUM(#REF!)</f>
        <v>#REF!</v>
      </c>
      <c r="O60" s="55" t="e">
        <f>SUM(O28:O29)+SUM(#REF!)+SUM(#REF!)+SUM(#REF!)+SUM(#REF!)+SUM(#REF!)+SUM(O47:O48)+SUM(#REF!)+SUM(#REF!)+SUM(#REF!)+O12+SUM(#REF!)+SUM(#REF!)+SUM(#REF!)+SUM(#REF!)+SUM(#REF!)+SUM(#REF!)+SUM(#REF!)+SUM(#REF!)+SUM(#REF!)+SUM(#REF!)+SUM(#REF!)</f>
        <v>#REF!</v>
      </c>
      <c r="P60" s="55" t="e">
        <f>SUM(P28:P29)+SUM(#REF!)+SUM(#REF!)+SUM(#REF!)+SUM(#REF!)+SUM(#REF!)+SUM(P47:P48)+SUM(#REF!)+SUM(#REF!)+SUM(#REF!)+P12+SUM(#REF!)+SUM(#REF!)+SUM(#REF!)+SUM(#REF!)+SUM(#REF!)+SUM(#REF!)+SUM(#REF!)+SUM(#REF!)+SUM(#REF!)+SUM(#REF!)+SUM(#REF!)</f>
        <v>#REF!</v>
      </c>
      <c r="Q60" s="45" t="e">
        <f t="shared" si="10"/>
        <v>#REF!</v>
      </c>
    </row>
    <row r="61" spans="1:18">
      <c r="A61" s="26"/>
      <c r="B61" s="26"/>
      <c r="C61" s="26"/>
      <c r="D61" s="24"/>
      <c r="E61" s="24"/>
      <c r="F61" s="24"/>
      <c r="G61" s="24"/>
      <c r="H61" s="24"/>
      <c r="I61" s="37"/>
      <c r="J61" s="37"/>
      <c r="K61" s="37"/>
      <c r="L61" s="24"/>
      <c r="M61" s="24"/>
      <c r="N61" s="24"/>
      <c r="O61" s="24"/>
      <c r="P61" s="24"/>
      <c r="Q61" s="25"/>
    </row>
    <row r="63" spans="1:18">
      <c r="A63" s="10"/>
      <c r="C63" s="104" t="s">
        <v>81</v>
      </c>
      <c r="D63" s="1" t="e">
        <f>SUM(D14:D21)+SUM(#REF!)+SUM(#REF!)+SUM(#REF!)+SUM(#REF!)+SUM(#REF!)+SUM(#REF!)+SUM(#REF!)+SUM(#REF!)+SUM(#REF!)</f>
        <v>#REF!</v>
      </c>
      <c r="E63" s="1" t="e">
        <f>SUM(E14:E21)+SUM(#REF!)+SUM(#REF!)+SUM(#REF!)+SUM(#REF!)+SUM(#REF!)+SUM(#REF!)+SUM(#REF!)+SUM(#REF!)+SUM(#REF!)</f>
        <v>#REF!</v>
      </c>
      <c r="F63" s="1" t="e">
        <f>SUM(F14:F21)+SUM(#REF!)+SUM(#REF!)+SUM(#REF!)+SUM(#REF!)+SUM(#REF!)+SUM(#REF!)+SUM(#REF!)+SUM(#REF!)+SUM(#REF!)</f>
        <v>#REF!</v>
      </c>
      <c r="G63" s="1" t="e">
        <f>SUM(G14:G21)+SUM(#REF!)+SUM(#REF!)+SUM(#REF!)+SUM(#REF!)+SUM(#REF!)+SUM(#REF!)+SUM(#REF!)+SUM(#REF!)+SUM(#REF!)</f>
        <v>#REF!</v>
      </c>
      <c r="H63" s="1" t="e">
        <f>SUM(H14:H21)+SUM(#REF!)+SUM(#REF!)+SUM(#REF!)+SUM(#REF!)+SUM(#REF!)+SUM(#REF!)+SUM(#REF!)+SUM(#REF!)+SUM(#REF!)</f>
        <v>#REF!</v>
      </c>
      <c r="I63" s="1" t="e">
        <f>SUM(I14:I21)+SUM(#REF!)+SUM(#REF!)+SUM(#REF!)+SUM(#REF!)+SUM(#REF!)+SUM(#REF!)+SUM(#REF!)+SUM(#REF!)+SUM(#REF!)</f>
        <v>#REF!</v>
      </c>
      <c r="J63" s="1" t="e">
        <f>SUM(J14:J21)+SUM(#REF!)+SUM(#REF!)+SUM(#REF!)+SUM(#REF!)+SUM(#REF!)+SUM(#REF!)+SUM(#REF!)+SUM(#REF!)+SUM(#REF!)</f>
        <v>#REF!</v>
      </c>
      <c r="K63" s="1" t="e">
        <f>SUM(K14:K21)+SUM(#REF!)+SUM(#REF!)+SUM(#REF!)+SUM(#REF!)+SUM(#REF!)+SUM(#REF!)+SUM(#REF!)+SUM(#REF!)+SUM(#REF!)</f>
        <v>#REF!</v>
      </c>
      <c r="L63" s="1" t="e">
        <f>SUM(L14:L21)+SUM(#REF!)+SUM(#REF!)+SUM(#REF!)+SUM(#REF!)+SUM(#REF!)+SUM(#REF!)+SUM(#REF!)+SUM(#REF!)+SUM(#REF!)</f>
        <v>#REF!</v>
      </c>
      <c r="M63" s="1" t="e">
        <f>SUM(M14:M21)+SUM(#REF!)+SUM(#REF!)+SUM(#REF!)+SUM(#REF!)+SUM(#REF!)+SUM(#REF!)+SUM(#REF!)+SUM(#REF!)+SUM(#REF!)</f>
        <v>#REF!</v>
      </c>
      <c r="N63" s="1" t="e">
        <f>SUM(N14:N21)+SUM(#REF!)+SUM(#REF!)+SUM(#REF!)+SUM(#REF!)+SUM(#REF!)+SUM(#REF!)+SUM(#REF!)+SUM(#REF!)+SUM(#REF!)</f>
        <v>#REF!</v>
      </c>
      <c r="O63" s="1" t="e">
        <f>SUM(O14:O21)+SUM(#REF!)+SUM(#REF!)+SUM(#REF!)+SUM(#REF!)+SUM(#REF!)+SUM(#REF!)+SUM(#REF!)+SUM(#REF!)+SUM(#REF!)</f>
        <v>#REF!</v>
      </c>
      <c r="R63" s="39" t="e">
        <f>SUM(D63:Q63)</f>
        <v>#REF!</v>
      </c>
    </row>
    <row r="64" spans="1:18">
      <c r="A64" s="10"/>
      <c r="C64" s="104" t="s">
        <v>82</v>
      </c>
      <c r="D64" s="36" t="e">
        <f>D50+#REF!+#REF!+#REF!+#REF!+#REF!+#REF!+#REF!+#REF!</f>
        <v>#REF!</v>
      </c>
      <c r="E64" s="36" t="e">
        <f>E50+#REF!+#REF!+#REF!+#REF!+#REF!+#REF!+#REF!+#REF!</f>
        <v>#REF!</v>
      </c>
      <c r="F64" s="36" t="e">
        <f>F50+#REF!+#REF!+#REF!+#REF!+#REF!+#REF!+#REF!+#REF!</f>
        <v>#REF!</v>
      </c>
      <c r="G64" s="36" t="e">
        <f>G50+#REF!+#REF!+#REF!+#REF!+#REF!+#REF!+#REF!+#REF!</f>
        <v>#REF!</v>
      </c>
      <c r="H64" s="36" t="e">
        <f>H50+#REF!+#REF!+#REF!+#REF!+#REF!+#REF!+#REF!+#REF!</f>
        <v>#REF!</v>
      </c>
      <c r="I64" s="36" t="e">
        <f>I50+#REF!+#REF!+#REF!+#REF!+#REF!+#REF!+#REF!+#REF!</f>
        <v>#REF!</v>
      </c>
      <c r="J64" s="36" t="e">
        <f>J50+#REF!+#REF!+#REF!+#REF!+#REF!+#REF!+#REF!+#REF!</f>
        <v>#REF!</v>
      </c>
      <c r="K64" s="36" t="e">
        <f>K50+#REF!+#REF!+#REF!+#REF!+#REF!+#REF!+#REF!+#REF!</f>
        <v>#REF!</v>
      </c>
      <c r="L64" s="36" t="e">
        <f>L50+#REF!+#REF!+#REF!+#REF!+#REF!+#REF!+#REF!+#REF!</f>
        <v>#REF!</v>
      </c>
      <c r="M64" s="36" t="e">
        <f>M50+#REF!+#REF!+#REF!+#REF!+#REF!+#REF!+#REF!+#REF!</f>
        <v>#REF!</v>
      </c>
      <c r="N64" s="36" t="e">
        <f>N50+#REF!+#REF!+#REF!+#REF!+#REF!+#REF!+#REF!+#REF!</f>
        <v>#REF!</v>
      </c>
      <c r="O64" s="36" t="e">
        <f>O50+#REF!+#REF!+#REF!+#REF!+#REF!+#REF!+#REF!+#REF!</f>
        <v>#REF!</v>
      </c>
      <c r="R64" s="39" t="e">
        <f>SUM(D64:Q64)</f>
        <v>#REF!</v>
      </c>
    </row>
    <row r="65" spans="1:2">
      <c r="A65" s="10"/>
      <c r="B65" s="11"/>
    </row>
  </sheetData>
  <mergeCells count="26">
    <mergeCell ref="B3:C3"/>
    <mergeCell ref="A4:A13"/>
    <mergeCell ref="B5:B9"/>
    <mergeCell ref="B10:B12"/>
    <mergeCell ref="B13:C13"/>
    <mergeCell ref="B32:C32"/>
    <mergeCell ref="A33:A51"/>
    <mergeCell ref="B33:B40"/>
    <mergeCell ref="B41:B45"/>
    <mergeCell ref="B46:B49"/>
    <mergeCell ref="B50:C50"/>
    <mergeCell ref="B51:C51"/>
    <mergeCell ref="A14:A32"/>
    <mergeCell ref="B14:B21"/>
    <mergeCell ref="B22:B26"/>
    <mergeCell ref="B27:B30"/>
    <mergeCell ref="B31:C31"/>
    <mergeCell ref="A58:C58"/>
    <mergeCell ref="A59:C59"/>
    <mergeCell ref="A60:C60"/>
    <mergeCell ref="A52:C52"/>
    <mergeCell ref="A53:C53"/>
    <mergeCell ref="A54:C54"/>
    <mergeCell ref="A55:C55"/>
    <mergeCell ref="A56:C56"/>
    <mergeCell ref="A57:C57"/>
  </mergeCells>
  <phoneticPr fontId="3"/>
  <pageMargins left="0.47244094488188981" right="0.39370078740157483" top="0.78740157480314965" bottom="0.39" header="0.59055118110236227" footer="0.2"/>
  <pageSetup paperSize="9" scale="65" orientation="landscape" r:id="rId1"/>
  <headerFooter alignWithMargins="0">
    <oddHeader>&amp;L&amp;"ＭＳ Ｐゴシック,太字"&amp;12フリーメーク　社員給与明細&amp;R&amp;P / &amp;N</oddHead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>
    <tabColor rgb="FF76BBFA"/>
  </sheetPr>
  <dimension ref="A1:Q122"/>
  <sheetViews>
    <sheetView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5" sqref="D5"/>
    </sheetView>
  </sheetViews>
  <sheetFormatPr defaultColWidth="9" defaultRowHeight="13.5"/>
  <cols>
    <col min="1" max="1" width="13.625" style="2" customWidth="1"/>
    <col min="2" max="2" width="8.625" style="2" customWidth="1"/>
    <col min="3" max="3" width="15.625" style="9" customWidth="1"/>
    <col min="4" max="7" width="11.75" style="1" customWidth="1"/>
    <col min="8" max="8" width="11.75" style="34" customWidth="1"/>
    <col min="9" max="11" width="11.75" style="36" customWidth="1"/>
    <col min="12" max="16" width="11.75" style="1" customWidth="1"/>
    <col min="17" max="17" width="15.125" style="2" customWidth="1"/>
    <col min="18" max="18" width="14.125" style="2" bestFit="1" customWidth="1"/>
    <col min="19" max="19" width="11.25" style="2" bestFit="1" customWidth="1"/>
    <col min="20" max="16384" width="9" style="2"/>
  </cols>
  <sheetData>
    <row r="1" spans="1:17" s="127" customFormat="1" ht="117" customHeight="1">
      <c r="A1" s="130" t="s">
        <v>78</v>
      </c>
      <c r="B1" s="131"/>
      <c r="C1" s="132"/>
      <c r="D1" s="34"/>
      <c r="E1" s="34"/>
      <c r="F1" s="34"/>
      <c r="G1" s="82"/>
      <c r="H1" s="34"/>
      <c r="I1" s="34"/>
      <c r="J1" s="34"/>
      <c r="K1" s="34"/>
      <c r="L1" s="129"/>
      <c r="M1" s="34"/>
      <c r="N1" s="34"/>
      <c r="O1" s="34"/>
      <c r="P1" s="34"/>
    </row>
    <row r="2" spans="1:17" ht="14.25" thickBot="1">
      <c r="D2" s="14" t="s">
        <v>37</v>
      </c>
      <c r="E2" s="14" t="s">
        <v>28</v>
      </c>
      <c r="F2" s="14" t="s">
        <v>32</v>
      </c>
      <c r="G2" s="14" t="s">
        <v>33</v>
      </c>
      <c r="H2" s="35" t="s">
        <v>34</v>
      </c>
      <c r="I2" s="35" t="s">
        <v>35</v>
      </c>
      <c r="J2" s="35" t="s">
        <v>36</v>
      </c>
      <c r="K2" s="35" t="s">
        <v>24</v>
      </c>
      <c r="L2" s="14" t="s">
        <v>25</v>
      </c>
      <c r="M2" s="14" t="s">
        <v>26</v>
      </c>
      <c r="N2" s="14" t="s">
        <v>23</v>
      </c>
      <c r="O2" s="14" t="s">
        <v>27</v>
      </c>
      <c r="P2" s="14"/>
      <c r="Q2" s="14" t="s">
        <v>58</v>
      </c>
    </row>
    <row r="3" spans="1:17" ht="14.25" thickBot="1">
      <c r="A3" s="40" t="s">
        <v>0</v>
      </c>
      <c r="B3" s="165" t="s">
        <v>1</v>
      </c>
      <c r="C3" s="166"/>
      <c r="D3" s="84" t="s">
        <v>44</v>
      </c>
      <c r="E3" s="84" t="s">
        <v>45</v>
      </c>
      <c r="F3" s="84" t="s">
        <v>46</v>
      </c>
      <c r="G3" s="84" t="s">
        <v>47</v>
      </c>
      <c r="H3" s="84" t="s">
        <v>48</v>
      </c>
      <c r="I3" s="84" t="s">
        <v>2</v>
      </c>
      <c r="J3" s="84" t="s">
        <v>3</v>
      </c>
      <c r="K3" s="85" t="s">
        <v>49</v>
      </c>
      <c r="L3" s="84" t="s">
        <v>50</v>
      </c>
      <c r="M3" s="84" t="s">
        <v>51</v>
      </c>
      <c r="N3" s="86" t="s">
        <v>59</v>
      </c>
      <c r="O3" s="41" t="s">
        <v>29</v>
      </c>
      <c r="P3" s="23" t="s">
        <v>68</v>
      </c>
    </row>
    <row r="4" spans="1:17">
      <c r="A4" s="173" t="s">
        <v>96</v>
      </c>
      <c r="B4" s="128" t="s">
        <v>12</v>
      </c>
      <c r="C4" s="3" t="s">
        <v>6</v>
      </c>
      <c r="D4" s="87">
        <v>5</v>
      </c>
      <c r="E4" s="87"/>
      <c r="F4" s="87"/>
      <c r="G4" s="87"/>
      <c r="H4" s="87"/>
      <c r="I4" s="87"/>
      <c r="J4" s="87"/>
      <c r="K4" s="87"/>
      <c r="L4" s="87"/>
      <c r="M4" s="87"/>
      <c r="N4" s="87"/>
      <c r="O4" s="78"/>
      <c r="P4" s="30"/>
      <c r="Q4" s="19">
        <f>SUM(D4:P4)</f>
        <v>5</v>
      </c>
    </row>
    <row r="5" spans="1:17">
      <c r="A5" s="161"/>
      <c r="B5" s="176" t="s">
        <v>11</v>
      </c>
      <c r="C5" s="5" t="s">
        <v>7</v>
      </c>
      <c r="D5" s="94"/>
      <c r="E5" s="93"/>
      <c r="F5" s="94"/>
      <c r="G5" s="94"/>
      <c r="H5" s="94"/>
      <c r="I5" s="94"/>
      <c r="J5" s="94"/>
      <c r="K5" s="94"/>
      <c r="L5" s="94"/>
      <c r="M5" s="94"/>
      <c r="N5" s="94"/>
      <c r="O5" s="79"/>
      <c r="P5" s="27"/>
      <c r="Q5" s="20">
        <f t="shared" ref="Q5:Q31" si="0">SUM(D5:P5)</f>
        <v>0</v>
      </c>
    </row>
    <row r="6" spans="1:17">
      <c r="A6" s="161"/>
      <c r="B6" s="176"/>
      <c r="C6" s="15" t="s">
        <v>39</v>
      </c>
      <c r="D6" s="89"/>
      <c r="E6" s="90"/>
      <c r="F6" s="89"/>
      <c r="G6" s="89"/>
      <c r="H6" s="89"/>
      <c r="I6" s="89"/>
      <c r="J6" s="89"/>
      <c r="K6" s="89"/>
      <c r="L6" s="89">
        <v>5</v>
      </c>
      <c r="M6" s="89"/>
      <c r="N6" s="89"/>
      <c r="O6" s="17"/>
      <c r="P6" s="28"/>
      <c r="Q6" s="20">
        <f t="shared" si="0"/>
        <v>5</v>
      </c>
    </row>
    <row r="7" spans="1:17">
      <c r="A7" s="161"/>
      <c r="B7" s="176"/>
      <c r="C7" s="6" t="s">
        <v>17</v>
      </c>
      <c r="D7" s="89"/>
      <c r="E7" s="95"/>
      <c r="F7" s="91"/>
      <c r="G7" s="91"/>
      <c r="H7" s="91"/>
      <c r="I7" s="91"/>
      <c r="J7" s="91"/>
      <c r="K7" s="91"/>
      <c r="L7" s="89"/>
      <c r="M7" s="89"/>
      <c r="N7" s="89"/>
      <c r="O7" s="17"/>
      <c r="P7" s="28"/>
      <c r="Q7" s="20">
        <f t="shared" si="0"/>
        <v>0</v>
      </c>
    </row>
    <row r="8" spans="1:17">
      <c r="A8" s="161"/>
      <c r="B8" s="176"/>
      <c r="C8" s="6" t="s">
        <v>18</v>
      </c>
      <c r="D8" s="91"/>
      <c r="E8" s="95"/>
      <c r="F8" s="91"/>
      <c r="G8" s="91"/>
      <c r="H8" s="91"/>
      <c r="I8" s="91"/>
      <c r="J8" s="91"/>
      <c r="K8" s="91"/>
      <c r="L8" s="91"/>
      <c r="M8" s="91"/>
      <c r="N8" s="91"/>
      <c r="O8" s="80"/>
      <c r="P8" s="32"/>
      <c r="Q8" s="20">
        <f t="shared" si="0"/>
        <v>0</v>
      </c>
    </row>
    <row r="9" spans="1:17">
      <c r="A9" s="161"/>
      <c r="B9" s="176"/>
      <c r="C9" s="4" t="s">
        <v>19</v>
      </c>
      <c r="D9" s="92"/>
      <c r="E9" s="96"/>
      <c r="F9" s="92"/>
      <c r="G9" s="92"/>
      <c r="H9" s="92"/>
      <c r="I9" s="92"/>
      <c r="J9" s="92"/>
      <c r="K9" s="92"/>
      <c r="L9" s="92"/>
      <c r="M9" s="92"/>
      <c r="N9" s="92"/>
      <c r="O9" s="18"/>
      <c r="P9" s="33"/>
      <c r="Q9" s="22">
        <f t="shared" si="0"/>
        <v>0</v>
      </c>
    </row>
    <row r="10" spans="1:17">
      <c r="A10" s="161"/>
      <c r="B10" s="177" t="s">
        <v>30</v>
      </c>
      <c r="C10" s="5" t="s">
        <v>10</v>
      </c>
      <c r="D10" s="94"/>
      <c r="E10" s="93"/>
      <c r="F10" s="94"/>
      <c r="G10" s="94"/>
      <c r="H10" s="94"/>
      <c r="I10" s="94"/>
      <c r="J10" s="94"/>
      <c r="K10" s="94"/>
      <c r="L10" s="94"/>
      <c r="M10" s="94"/>
      <c r="N10" s="94"/>
      <c r="O10" s="79"/>
      <c r="P10" s="27"/>
      <c r="Q10" s="21">
        <f t="shared" si="0"/>
        <v>0</v>
      </c>
    </row>
    <row r="11" spans="1:17">
      <c r="A11" s="161"/>
      <c r="B11" s="178"/>
      <c r="C11" s="110" t="s">
        <v>71</v>
      </c>
      <c r="D11" s="89"/>
      <c r="E11" s="101"/>
      <c r="F11" s="98"/>
      <c r="G11" s="98"/>
      <c r="H11" s="98"/>
      <c r="I11" s="98"/>
      <c r="J11" s="98"/>
      <c r="K11" s="98"/>
      <c r="L11" s="98"/>
      <c r="M11" s="88"/>
      <c r="N11" s="88"/>
      <c r="O11" s="17"/>
      <c r="P11" s="29"/>
      <c r="Q11" s="20">
        <f t="shared" si="0"/>
        <v>0</v>
      </c>
    </row>
    <row r="12" spans="1:17">
      <c r="A12" s="161"/>
      <c r="B12" s="179"/>
      <c r="C12" s="99" t="s">
        <v>70</v>
      </c>
      <c r="D12" s="92"/>
      <c r="E12" s="96"/>
      <c r="F12" s="96"/>
      <c r="G12" s="96"/>
      <c r="H12" s="96"/>
      <c r="I12" s="92"/>
      <c r="J12" s="92"/>
      <c r="K12" s="92"/>
      <c r="L12" s="92"/>
      <c r="M12" s="89"/>
      <c r="N12" s="92"/>
      <c r="O12" s="18"/>
      <c r="P12" s="33"/>
      <c r="Q12" s="20">
        <f>SUM(D12:P12)</f>
        <v>0</v>
      </c>
    </row>
    <row r="13" spans="1:17" ht="14.25" thickBot="1">
      <c r="A13" s="162"/>
      <c r="B13" s="149" t="s">
        <v>5</v>
      </c>
      <c r="C13" s="150"/>
      <c r="D13" s="42">
        <f>SUM(D4:D4)-SUM(D5:D9)+SUM(D10:D12)</f>
        <v>5</v>
      </c>
      <c r="E13" s="42">
        <f>SUM(E4:E4)-SUM(E5:E9)+SUM(E10:E12)</f>
        <v>0</v>
      </c>
      <c r="F13" s="42">
        <f>SUM(F4:F4)-SUM(F5:F9)+SUM(F10:F12)</f>
        <v>0</v>
      </c>
      <c r="G13" s="42">
        <f>SUM(G4:G4)-SUM(G5:G9)+SUM(G10:G12)</f>
        <v>0</v>
      </c>
      <c r="H13" s="42">
        <f>SUM(H4:H4)-SUM(H5:H9)+SUM(H10:H12)</f>
        <v>0</v>
      </c>
      <c r="I13" s="42">
        <f t="shared" ref="I13:O13" si="1">SUM(I4:I4)-SUM(I5:I9)+SUM(I10:I12)</f>
        <v>0</v>
      </c>
      <c r="J13" s="42">
        <f t="shared" si="1"/>
        <v>0</v>
      </c>
      <c r="K13" s="42">
        <f t="shared" si="1"/>
        <v>0</v>
      </c>
      <c r="L13" s="42">
        <f t="shared" si="1"/>
        <v>-5</v>
      </c>
      <c r="M13" s="42">
        <f t="shared" si="1"/>
        <v>0</v>
      </c>
      <c r="N13" s="42">
        <f t="shared" si="1"/>
        <v>0</v>
      </c>
      <c r="O13" s="43">
        <f t="shared" si="1"/>
        <v>0</v>
      </c>
      <c r="P13" s="44"/>
      <c r="Q13" s="45">
        <f t="shared" si="0"/>
        <v>0</v>
      </c>
    </row>
    <row r="14" spans="1:17">
      <c r="A14" s="173" t="s">
        <v>96</v>
      </c>
      <c r="B14" s="174" t="s">
        <v>12</v>
      </c>
      <c r="C14" s="106" t="s">
        <v>87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78"/>
      <c r="P14" s="30"/>
      <c r="Q14" s="19">
        <f>SUM(D14:P14)</f>
        <v>0</v>
      </c>
    </row>
    <row r="15" spans="1:17">
      <c r="A15" s="161"/>
      <c r="B15" s="175"/>
      <c r="C15" s="107" t="s">
        <v>89</v>
      </c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1"/>
      <c r="P15" s="31"/>
      <c r="Q15" s="20">
        <f t="shared" si="0"/>
        <v>0</v>
      </c>
    </row>
    <row r="16" spans="1:17">
      <c r="A16" s="161"/>
      <c r="B16" s="176"/>
      <c r="C16" s="108" t="s">
        <v>88</v>
      </c>
      <c r="D16" s="89"/>
      <c r="E16" s="90"/>
      <c r="F16" s="90"/>
      <c r="G16" s="90"/>
      <c r="H16" s="89"/>
      <c r="I16" s="89"/>
      <c r="J16" s="89"/>
      <c r="K16" s="89"/>
      <c r="L16" s="89"/>
      <c r="M16" s="89"/>
      <c r="N16" s="89"/>
      <c r="O16" s="17"/>
      <c r="P16" s="28"/>
      <c r="Q16" s="20">
        <f t="shared" si="0"/>
        <v>0</v>
      </c>
    </row>
    <row r="17" spans="1:17">
      <c r="A17" s="161"/>
      <c r="B17" s="176"/>
      <c r="C17" s="109" t="s">
        <v>90</v>
      </c>
      <c r="D17" s="91">
        <v>55</v>
      </c>
      <c r="E17" s="89"/>
      <c r="F17" s="89"/>
      <c r="G17" s="91"/>
      <c r="H17" s="91"/>
      <c r="I17" s="91"/>
      <c r="J17" s="91"/>
      <c r="K17" s="91"/>
      <c r="L17" s="91">
        <v>5</v>
      </c>
      <c r="M17" s="91"/>
      <c r="N17" s="91"/>
      <c r="O17" s="80"/>
      <c r="P17" s="32"/>
      <c r="Q17" s="20">
        <f t="shared" si="0"/>
        <v>60</v>
      </c>
    </row>
    <row r="18" spans="1:17">
      <c r="A18" s="161"/>
      <c r="B18" s="176"/>
      <c r="C18" s="109" t="s">
        <v>91</v>
      </c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80"/>
      <c r="P18" s="32"/>
      <c r="Q18" s="20">
        <f t="shared" si="0"/>
        <v>0</v>
      </c>
    </row>
    <row r="19" spans="1:17">
      <c r="A19" s="161"/>
      <c r="B19" s="176"/>
      <c r="C19" s="109" t="s">
        <v>92</v>
      </c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80"/>
      <c r="P19" s="32"/>
      <c r="Q19" s="20">
        <f t="shared" si="0"/>
        <v>0</v>
      </c>
    </row>
    <row r="20" spans="1:17">
      <c r="A20" s="161"/>
      <c r="B20" s="176"/>
      <c r="C20" s="108" t="s">
        <v>93</v>
      </c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80"/>
      <c r="P20" s="32"/>
      <c r="Q20" s="20">
        <f t="shared" si="0"/>
        <v>0</v>
      </c>
    </row>
    <row r="21" spans="1:17">
      <c r="A21" s="161"/>
      <c r="B21" s="176"/>
      <c r="C21" s="110" t="s">
        <v>94</v>
      </c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18"/>
      <c r="P21" s="33"/>
      <c r="Q21" s="22">
        <f t="shared" si="0"/>
        <v>0</v>
      </c>
    </row>
    <row r="22" spans="1:17">
      <c r="A22" s="161"/>
      <c r="B22" s="176" t="s">
        <v>11</v>
      </c>
      <c r="C22" s="111" t="s">
        <v>7</v>
      </c>
      <c r="D22" s="93"/>
      <c r="E22" s="93"/>
      <c r="F22" s="93"/>
      <c r="G22" s="93"/>
      <c r="H22" s="93"/>
      <c r="I22" s="93"/>
      <c r="J22" s="93"/>
      <c r="K22" s="93"/>
      <c r="L22" s="94"/>
      <c r="M22" s="94"/>
      <c r="N22" s="94"/>
      <c r="O22" s="79"/>
      <c r="P22" s="27"/>
      <c r="Q22" s="21">
        <f t="shared" si="0"/>
        <v>0</v>
      </c>
    </row>
    <row r="23" spans="1:17">
      <c r="A23" s="161"/>
      <c r="B23" s="176"/>
      <c r="C23" s="109" t="s">
        <v>4</v>
      </c>
      <c r="D23" s="95"/>
      <c r="E23" s="95"/>
      <c r="F23" s="95"/>
      <c r="G23" s="95"/>
      <c r="H23" s="95"/>
      <c r="I23" s="95"/>
      <c r="J23" s="95"/>
      <c r="K23" s="95"/>
      <c r="L23" s="91"/>
      <c r="M23" s="91"/>
      <c r="N23" s="91"/>
      <c r="O23" s="80"/>
      <c r="P23" s="32"/>
      <c r="Q23" s="20">
        <f t="shared" si="0"/>
        <v>0</v>
      </c>
    </row>
    <row r="24" spans="1:17">
      <c r="A24" s="161"/>
      <c r="B24" s="176"/>
      <c r="C24" s="109" t="s">
        <v>17</v>
      </c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80"/>
      <c r="P24" s="32"/>
      <c r="Q24" s="20">
        <f t="shared" si="0"/>
        <v>0</v>
      </c>
    </row>
    <row r="25" spans="1:17">
      <c r="A25" s="161"/>
      <c r="B25" s="176"/>
      <c r="C25" s="109" t="s">
        <v>18</v>
      </c>
      <c r="D25" s="90"/>
      <c r="E25" s="90"/>
      <c r="F25" s="90"/>
      <c r="G25" s="90"/>
      <c r="H25" s="91"/>
      <c r="I25" s="91"/>
      <c r="J25" s="91"/>
      <c r="K25" s="91"/>
      <c r="L25" s="91"/>
      <c r="M25" s="91"/>
      <c r="N25" s="91"/>
      <c r="O25" s="80"/>
      <c r="P25" s="32"/>
      <c r="Q25" s="20">
        <f t="shared" si="0"/>
        <v>0</v>
      </c>
    </row>
    <row r="26" spans="1:17">
      <c r="A26" s="161"/>
      <c r="B26" s="176"/>
      <c r="C26" s="112" t="s">
        <v>19</v>
      </c>
      <c r="D26" s="96"/>
      <c r="E26" s="96"/>
      <c r="F26" s="96"/>
      <c r="G26" s="96"/>
      <c r="H26" s="92"/>
      <c r="I26" s="92"/>
      <c r="J26" s="92"/>
      <c r="K26" s="92"/>
      <c r="L26" s="92"/>
      <c r="M26" s="92"/>
      <c r="N26" s="92"/>
      <c r="O26" s="18"/>
      <c r="P26" s="33"/>
      <c r="Q26" s="22">
        <f t="shared" si="0"/>
        <v>0</v>
      </c>
    </row>
    <row r="27" spans="1:17">
      <c r="A27" s="161"/>
      <c r="B27" s="176" t="s">
        <v>13</v>
      </c>
      <c r="C27" s="111" t="s">
        <v>10</v>
      </c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79"/>
      <c r="P27" s="27"/>
      <c r="Q27" s="21">
        <f t="shared" si="0"/>
        <v>0</v>
      </c>
    </row>
    <row r="28" spans="1:17">
      <c r="A28" s="161"/>
      <c r="B28" s="176"/>
      <c r="C28" s="108" t="s">
        <v>55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17"/>
      <c r="P28" s="28"/>
      <c r="Q28" s="20">
        <f t="shared" si="0"/>
        <v>0</v>
      </c>
    </row>
    <row r="29" spans="1:17">
      <c r="A29" s="161"/>
      <c r="B29" s="176"/>
      <c r="C29" s="108" t="s">
        <v>56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17"/>
      <c r="P29" s="28"/>
      <c r="Q29" s="20">
        <f t="shared" si="0"/>
        <v>0</v>
      </c>
    </row>
    <row r="30" spans="1:17">
      <c r="A30" s="161"/>
      <c r="B30" s="176"/>
      <c r="C30" s="112" t="s">
        <v>61</v>
      </c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18"/>
      <c r="P30" s="33"/>
      <c r="Q30" s="22">
        <f>SUM(D30:P30)</f>
        <v>0</v>
      </c>
    </row>
    <row r="31" spans="1:17">
      <c r="A31" s="161"/>
      <c r="B31" s="158" t="s">
        <v>54</v>
      </c>
      <c r="C31" s="159"/>
      <c r="D31" s="56">
        <f>SUM(D14:D21)-SUM(D25:D26)</f>
        <v>55</v>
      </c>
      <c r="E31" s="56">
        <f t="shared" ref="E31:O31" si="2">SUM(E14:E21)-SUM(E25:E26)</f>
        <v>0</v>
      </c>
      <c r="F31" s="56">
        <f t="shared" si="2"/>
        <v>0</v>
      </c>
      <c r="G31" s="56">
        <f>SUM(G14:G21)-SUM(G25:G26)</f>
        <v>0</v>
      </c>
      <c r="H31" s="56">
        <f t="shared" si="2"/>
        <v>0</v>
      </c>
      <c r="I31" s="56">
        <f t="shared" si="2"/>
        <v>0</v>
      </c>
      <c r="J31" s="56">
        <f t="shared" si="2"/>
        <v>0</v>
      </c>
      <c r="K31" s="56">
        <f t="shared" si="2"/>
        <v>0</v>
      </c>
      <c r="L31" s="56">
        <f t="shared" si="2"/>
        <v>5</v>
      </c>
      <c r="M31" s="56">
        <f t="shared" si="2"/>
        <v>0</v>
      </c>
      <c r="N31" s="56">
        <f t="shared" si="2"/>
        <v>0</v>
      </c>
      <c r="O31" s="57">
        <f t="shared" si="2"/>
        <v>0</v>
      </c>
      <c r="P31" s="60">
        <f>SUM(P14:P21)-SUM(P25:P26)</f>
        <v>0</v>
      </c>
      <c r="Q31" s="59">
        <f t="shared" si="0"/>
        <v>60</v>
      </c>
    </row>
    <row r="32" spans="1:17" ht="14.25" thickBot="1">
      <c r="A32" s="162"/>
      <c r="B32" s="149" t="s">
        <v>5</v>
      </c>
      <c r="C32" s="150"/>
      <c r="D32" s="42">
        <f>SUM(D14:D21)-SUM(D22:D26)+SUM(D27:D30)</f>
        <v>55</v>
      </c>
      <c r="E32" s="42">
        <f>SUM(E14:E21)-SUM(E22:E26)+SUM(E27:E30)</f>
        <v>0</v>
      </c>
      <c r="F32" s="42">
        <f t="shared" ref="F32:O32" si="3">SUM(F14:F21)-SUM(F22:F26)+SUM(F27:F30)</f>
        <v>0</v>
      </c>
      <c r="G32" s="42">
        <f>SUM(G14:G21)-SUM(G22:G26)+SUM(G27:G30)</f>
        <v>0</v>
      </c>
      <c r="H32" s="42">
        <f t="shared" si="3"/>
        <v>0</v>
      </c>
      <c r="I32" s="42">
        <f t="shared" si="3"/>
        <v>0</v>
      </c>
      <c r="J32" s="42">
        <f t="shared" si="3"/>
        <v>0</v>
      </c>
      <c r="K32" s="42">
        <f t="shared" si="3"/>
        <v>0</v>
      </c>
      <c r="L32" s="42">
        <f t="shared" si="3"/>
        <v>5</v>
      </c>
      <c r="M32" s="42">
        <f t="shared" si="3"/>
        <v>0</v>
      </c>
      <c r="N32" s="42">
        <f t="shared" si="3"/>
        <v>0</v>
      </c>
      <c r="O32" s="43">
        <f t="shared" si="3"/>
        <v>0</v>
      </c>
      <c r="P32" s="44">
        <f>SUM(P14:P21)-SUM(P22:P26)+SUM(P27:P30)</f>
        <v>0</v>
      </c>
      <c r="Q32" s="46">
        <f>SUM(D32:P32)</f>
        <v>60</v>
      </c>
    </row>
    <row r="33" spans="1:17">
      <c r="A33" s="160"/>
      <c r="B33" s="170" t="s">
        <v>12</v>
      </c>
      <c r="C33" s="106" t="s">
        <v>87</v>
      </c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78"/>
      <c r="P33" s="30"/>
      <c r="Q33" s="19">
        <f>SUM(D33:P33)</f>
        <v>0</v>
      </c>
    </row>
    <row r="34" spans="1:17">
      <c r="A34" s="161"/>
      <c r="B34" s="171"/>
      <c r="C34" s="107" t="s">
        <v>89</v>
      </c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1"/>
      <c r="P34" s="31"/>
      <c r="Q34" s="20">
        <f t="shared" ref="Q34:Q51" si="4">SUM(D34:P34)</f>
        <v>0</v>
      </c>
    </row>
    <row r="35" spans="1:17">
      <c r="A35" s="161"/>
      <c r="B35" s="172"/>
      <c r="C35" s="108" t="s">
        <v>88</v>
      </c>
      <c r="D35" s="89"/>
      <c r="E35" s="90"/>
      <c r="F35" s="90"/>
      <c r="G35" s="90"/>
      <c r="H35" s="89"/>
      <c r="I35" s="89"/>
      <c r="J35" s="89"/>
      <c r="K35" s="89"/>
      <c r="L35" s="89"/>
      <c r="M35" s="89"/>
      <c r="N35" s="89"/>
      <c r="O35" s="17"/>
      <c r="P35" s="28"/>
      <c r="Q35" s="20">
        <f t="shared" si="4"/>
        <v>0</v>
      </c>
    </row>
    <row r="36" spans="1:17">
      <c r="A36" s="161"/>
      <c r="B36" s="172"/>
      <c r="C36" s="109" t="s">
        <v>90</v>
      </c>
      <c r="D36" s="91"/>
      <c r="E36" s="89"/>
      <c r="F36" s="89"/>
      <c r="G36" s="91"/>
      <c r="H36" s="91"/>
      <c r="I36" s="91"/>
      <c r="J36" s="91"/>
      <c r="K36" s="91"/>
      <c r="L36" s="91"/>
      <c r="M36" s="91"/>
      <c r="N36" s="91"/>
      <c r="O36" s="80"/>
      <c r="P36" s="32"/>
      <c r="Q36" s="20">
        <f t="shared" si="4"/>
        <v>0</v>
      </c>
    </row>
    <row r="37" spans="1:17">
      <c r="A37" s="161"/>
      <c r="B37" s="172"/>
      <c r="C37" s="109" t="s">
        <v>91</v>
      </c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80"/>
      <c r="P37" s="32"/>
      <c r="Q37" s="20">
        <f t="shared" si="4"/>
        <v>0</v>
      </c>
    </row>
    <row r="38" spans="1:17">
      <c r="A38" s="161"/>
      <c r="B38" s="172"/>
      <c r="C38" s="109" t="s">
        <v>92</v>
      </c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80"/>
      <c r="P38" s="32"/>
      <c r="Q38" s="20">
        <f>SUM(D38:P38)</f>
        <v>0</v>
      </c>
    </row>
    <row r="39" spans="1:17">
      <c r="A39" s="161"/>
      <c r="B39" s="172"/>
      <c r="C39" s="108" t="s">
        <v>93</v>
      </c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80"/>
      <c r="P39" s="32"/>
      <c r="Q39" s="20">
        <f t="shared" si="4"/>
        <v>0</v>
      </c>
    </row>
    <row r="40" spans="1:17">
      <c r="A40" s="161"/>
      <c r="B40" s="172"/>
      <c r="C40" s="110" t="s">
        <v>94</v>
      </c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18"/>
      <c r="P40" s="33"/>
      <c r="Q40" s="22">
        <f t="shared" si="4"/>
        <v>0</v>
      </c>
    </row>
    <row r="41" spans="1:17">
      <c r="A41" s="161"/>
      <c r="B41" s="172" t="s">
        <v>11</v>
      </c>
      <c r="C41" s="111" t="s">
        <v>7</v>
      </c>
      <c r="D41" s="93"/>
      <c r="E41" s="93"/>
      <c r="F41" s="93"/>
      <c r="G41" s="93"/>
      <c r="H41" s="93"/>
      <c r="I41" s="93"/>
      <c r="J41" s="93"/>
      <c r="K41" s="93"/>
      <c r="L41" s="94"/>
      <c r="M41" s="94"/>
      <c r="N41" s="94"/>
      <c r="O41" s="79"/>
      <c r="P41" s="27"/>
      <c r="Q41" s="21">
        <f t="shared" si="4"/>
        <v>0</v>
      </c>
    </row>
    <row r="42" spans="1:17">
      <c r="A42" s="161"/>
      <c r="B42" s="172"/>
      <c r="C42" s="109" t="s">
        <v>4</v>
      </c>
      <c r="D42" s="95"/>
      <c r="E42" s="95"/>
      <c r="F42" s="95"/>
      <c r="G42" s="95"/>
      <c r="H42" s="95"/>
      <c r="I42" s="95"/>
      <c r="J42" s="95"/>
      <c r="K42" s="95"/>
      <c r="L42" s="91"/>
      <c r="M42" s="91"/>
      <c r="N42" s="91"/>
      <c r="O42" s="80"/>
      <c r="P42" s="32"/>
      <c r="Q42" s="20">
        <f t="shared" si="4"/>
        <v>0</v>
      </c>
    </row>
    <row r="43" spans="1:17">
      <c r="A43" s="161"/>
      <c r="B43" s="172"/>
      <c r="C43" s="109" t="s">
        <v>17</v>
      </c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80"/>
      <c r="P43" s="32"/>
      <c r="Q43" s="20">
        <f t="shared" si="4"/>
        <v>0</v>
      </c>
    </row>
    <row r="44" spans="1:17">
      <c r="A44" s="161"/>
      <c r="B44" s="172"/>
      <c r="C44" s="109" t="s">
        <v>18</v>
      </c>
      <c r="D44" s="90"/>
      <c r="E44" s="90"/>
      <c r="F44" s="90"/>
      <c r="G44" s="90"/>
      <c r="H44" s="91"/>
      <c r="I44" s="91"/>
      <c r="J44" s="91"/>
      <c r="K44" s="91"/>
      <c r="L44" s="91"/>
      <c r="M44" s="91"/>
      <c r="N44" s="91"/>
      <c r="O44" s="80"/>
      <c r="P44" s="32"/>
      <c r="Q44" s="20">
        <f t="shared" si="4"/>
        <v>0</v>
      </c>
    </row>
    <row r="45" spans="1:17">
      <c r="A45" s="161"/>
      <c r="B45" s="172"/>
      <c r="C45" s="112" t="s">
        <v>19</v>
      </c>
      <c r="D45" s="96"/>
      <c r="E45" s="96"/>
      <c r="F45" s="96"/>
      <c r="G45" s="96"/>
      <c r="H45" s="92"/>
      <c r="I45" s="92"/>
      <c r="J45" s="92"/>
      <c r="K45" s="92"/>
      <c r="L45" s="92"/>
      <c r="M45" s="92"/>
      <c r="N45" s="92"/>
      <c r="O45" s="18"/>
      <c r="P45" s="33"/>
      <c r="Q45" s="22">
        <f t="shared" si="4"/>
        <v>0</v>
      </c>
    </row>
    <row r="46" spans="1:17">
      <c r="A46" s="161"/>
      <c r="B46" s="172" t="s">
        <v>13</v>
      </c>
      <c r="C46" s="111" t="s">
        <v>10</v>
      </c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79"/>
      <c r="P46" s="27"/>
      <c r="Q46" s="21">
        <f t="shared" si="4"/>
        <v>0</v>
      </c>
    </row>
    <row r="47" spans="1:17">
      <c r="A47" s="161"/>
      <c r="B47" s="172"/>
      <c r="C47" s="108" t="s">
        <v>55</v>
      </c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17"/>
      <c r="P47" s="28"/>
      <c r="Q47" s="20">
        <f t="shared" si="4"/>
        <v>0</v>
      </c>
    </row>
    <row r="48" spans="1:17">
      <c r="A48" s="161"/>
      <c r="B48" s="172"/>
      <c r="C48" s="108" t="s">
        <v>56</v>
      </c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17"/>
      <c r="P48" s="28"/>
      <c r="Q48" s="20">
        <f t="shared" si="4"/>
        <v>0</v>
      </c>
    </row>
    <row r="49" spans="1:17">
      <c r="A49" s="161"/>
      <c r="B49" s="172"/>
      <c r="C49" s="112" t="s">
        <v>61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18"/>
      <c r="P49" s="33"/>
      <c r="Q49" s="22">
        <f t="shared" si="4"/>
        <v>0</v>
      </c>
    </row>
    <row r="50" spans="1:17">
      <c r="A50" s="161"/>
      <c r="B50" s="158" t="s">
        <v>54</v>
      </c>
      <c r="C50" s="159"/>
      <c r="D50" s="56">
        <f>SUM(D33:D40)-SUM(D44:D45)</f>
        <v>0</v>
      </c>
      <c r="E50" s="56">
        <f t="shared" ref="E50:O50" si="5">SUM(E33:E40)-SUM(E44:E45)</f>
        <v>0</v>
      </c>
      <c r="F50" s="56">
        <f t="shared" si="5"/>
        <v>0</v>
      </c>
      <c r="G50" s="56">
        <f>SUM(G33:G40)-SUM(G44:G45)</f>
        <v>0</v>
      </c>
      <c r="H50" s="56">
        <f t="shared" si="5"/>
        <v>0</v>
      </c>
      <c r="I50" s="56">
        <f t="shared" si="5"/>
        <v>0</v>
      </c>
      <c r="J50" s="56">
        <f t="shared" si="5"/>
        <v>0</v>
      </c>
      <c r="K50" s="56">
        <f t="shared" si="5"/>
        <v>0</v>
      </c>
      <c r="L50" s="56">
        <f t="shared" si="5"/>
        <v>0</v>
      </c>
      <c r="M50" s="56">
        <f t="shared" si="5"/>
        <v>0</v>
      </c>
      <c r="N50" s="56">
        <f t="shared" si="5"/>
        <v>0</v>
      </c>
      <c r="O50" s="57">
        <f t="shared" si="5"/>
        <v>0</v>
      </c>
      <c r="P50" s="60">
        <f>SUM(P33:P40)-SUM(P44:P45)</f>
        <v>0</v>
      </c>
      <c r="Q50" s="59">
        <f>SUM(D50:P50)</f>
        <v>0</v>
      </c>
    </row>
    <row r="51" spans="1:17" ht="14.25" thickBot="1">
      <c r="A51" s="162"/>
      <c r="B51" s="149" t="s">
        <v>5</v>
      </c>
      <c r="C51" s="150"/>
      <c r="D51" s="42">
        <f>SUM(D33:D40)-SUM(D41:D45)+SUM(D46:D49)</f>
        <v>0</v>
      </c>
      <c r="E51" s="42">
        <f>SUM(E33:E40)-SUM(E41:E45)+SUM(E46:E49)</f>
        <v>0</v>
      </c>
      <c r="F51" s="42">
        <f t="shared" ref="F51:O51" si="6">SUM(F33:F40)-SUM(F41:F45)+SUM(F46:F49)</f>
        <v>0</v>
      </c>
      <c r="G51" s="42">
        <f>SUM(G33:G40)-SUM(G41:G45)+SUM(G46:G49)</f>
        <v>0</v>
      </c>
      <c r="H51" s="42">
        <f t="shared" si="6"/>
        <v>0</v>
      </c>
      <c r="I51" s="42">
        <f t="shared" si="6"/>
        <v>0</v>
      </c>
      <c r="J51" s="42">
        <f t="shared" si="6"/>
        <v>0</v>
      </c>
      <c r="K51" s="42">
        <f t="shared" si="6"/>
        <v>0</v>
      </c>
      <c r="L51" s="42">
        <f t="shared" si="6"/>
        <v>0</v>
      </c>
      <c r="M51" s="42">
        <f t="shared" si="6"/>
        <v>0</v>
      </c>
      <c r="N51" s="42">
        <f t="shared" si="6"/>
        <v>0</v>
      </c>
      <c r="O51" s="43">
        <f t="shared" si="6"/>
        <v>0</v>
      </c>
      <c r="P51" s="44">
        <f>SUM(P33:P40)-SUM(P41:P45)+SUM(P46:P49)</f>
        <v>0</v>
      </c>
      <c r="Q51" s="46">
        <f t="shared" si="4"/>
        <v>0</v>
      </c>
    </row>
    <row r="52" spans="1:17">
      <c r="A52" s="173" t="s">
        <v>97</v>
      </c>
      <c r="B52" s="170" t="s">
        <v>12</v>
      </c>
      <c r="C52" s="106" t="s">
        <v>87</v>
      </c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78"/>
      <c r="P52" s="30"/>
      <c r="Q52" s="19">
        <f>SUM(D52:P52)</f>
        <v>0</v>
      </c>
    </row>
    <row r="53" spans="1:17">
      <c r="A53" s="161"/>
      <c r="B53" s="171"/>
      <c r="C53" s="107" t="s">
        <v>89</v>
      </c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1"/>
      <c r="P53" s="31"/>
      <c r="Q53" s="20">
        <f t="shared" ref="Q53:Q70" si="7">SUM(D53:P53)</f>
        <v>0</v>
      </c>
    </row>
    <row r="54" spans="1:17">
      <c r="A54" s="161"/>
      <c r="B54" s="172"/>
      <c r="C54" s="108" t="s">
        <v>88</v>
      </c>
      <c r="D54" s="89"/>
      <c r="E54" s="90"/>
      <c r="F54" s="90"/>
      <c r="G54" s="90"/>
      <c r="H54" s="89"/>
      <c r="I54" s="89"/>
      <c r="J54" s="89"/>
      <c r="K54" s="89"/>
      <c r="L54" s="89"/>
      <c r="M54" s="89"/>
      <c r="N54" s="89"/>
      <c r="O54" s="17"/>
      <c r="P54" s="28"/>
      <c r="Q54" s="20">
        <f t="shared" si="7"/>
        <v>0</v>
      </c>
    </row>
    <row r="55" spans="1:17">
      <c r="A55" s="161"/>
      <c r="B55" s="172"/>
      <c r="C55" s="109" t="s">
        <v>90</v>
      </c>
      <c r="D55" s="91"/>
      <c r="E55" s="89"/>
      <c r="F55" s="89"/>
      <c r="G55" s="91"/>
      <c r="H55" s="91"/>
      <c r="I55" s="91"/>
      <c r="J55" s="91"/>
      <c r="K55" s="91"/>
      <c r="L55" s="91"/>
      <c r="M55" s="91"/>
      <c r="N55" s="91"/>
      <c r="O55" s="80"/>
      <c r="P55" s="32"/>
      <c r="Q55" s="20">
        <f t="shared" si="7"/>
        <v>0</v>
      </c>
    </row>
    <row r="56" spans="1:17">
      <c r="A56" s="161"/>
      <c r="B56" s="172"/>
      <c r="C56" s="109" t="s">
        <v>91</v>
      </c>
      <c r="D56" s="91"/>
      <c r="E56" s="91"/>
      <c r="F56" s="91"/>
      <c r="G56" s="91"/>
      <c r="H56" s="91"/>
      <c r="I56" s="91"/>
      <c r="J56" s="91"/>
      <c r="K56" s="91"/>
      <c r="L56" s="91"/>
      <c r="M56" s="91"/>
      <c r="N56" s="91"/>
      <c r="O56" s="80"/>
      <c r="P56" s="32"/>
      <c r="Q56" s="20">
        <f t="shared" si="7"/>
        <v>0</v>
      </c>
    </row>
    <row r="57" spans="1:17">
      <c r="A57" s="161"/>
      <c r="B57" s="172"/>
      <c r="C57" s="109" t="s">
        <v>92</v>
      </c>
      <c r="D57" s="91">
        <v>3</v>
      </c>
      <c r="E57" s="91"/>
      <c r="F57" s="91">
        <v>5</v>
      </c>
      <c r="G57" s="91"/>
      <c r="H57" s="91"/>
      <c r="I57" s="91"/>
      <c r="J57" s="91"/>
      <c r="K57" s="91"/>
      <c r="L57" s="91"/>
      <c r="M57" s="91"/>
      <c r="N57" s="91"/>
      <c r="O57" s="80"/>
      <c r="P57" s="32"/>
      <c r="Q57" s="20">
        <f>SUM(D57:P57)</f>
        <v>8</v>
      </c>
    </row>
    <row r="58" spans="1:17">
      <c r="A58" s="161"/>
      <c r="B58" s="172"/>
      <c r="C58" s="108" t="s">
        <v>93</v>
      </c>
      <c r="D58" s="91"/>
      <c r="E58" s="91"/>
      <c r="F58" s="91"/>
      <c r="G58" s="91"/>
      <c r="H58" s="91"/>
      <c r="I58" s="91"/>
      <c r="J58" s="91"/>
      <c r="K58" s="91"/>
      <c r="L58" s="91"/>
      <c r="M58" s="91"/>
      <c r="N58" s="91"/>
      <c r="O58" s="80"/>
      <c r="P58" s="32"/>
      <c r="Q58" s="20">
        <f t="shared" si="7"/>
        <v>0</v>
      </c>
    </row>
    <row r="59" spans="1:17">
      <c r="A59" s="161"/>
      <c r="B59" s="172"/>
      <c r="C59" s="110" t="s">
        <v>94</v>
      </c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18"/>
      <c r="P59" s="33"/>
      <c r="Q59" s="22">
        <f t="shared" si="7"/>
        <v>0</v>
      </c>
    </row>
    <row r="60" spans="1:17">
      <c r="A60" s="161"/>
      <c r="B60" s="172" t="s">
        <v>11</v>
      </c>
      <c r="C60" s="111" t="s">
        <v>7</v>
      </c>
      <c r="D60" s="93"/>
      <c r="E60" s="93"/>
      <c r="F60" s="93"/>
      <c r="G60" s="93"/>
      <c r="H60" s="93"/>
      <c r="I60" s="93"/>
      <c r="J60" s="93"/>
      <c r="K60" s="93"/>
      <c r="L60" s="94"/>
      <c r="M60" s="94"/>
      <c r="N60" s="94"/>
      <c r="O60" s="79"/>
      <c r="P60" s="27"/>
      <c r="Q60" s="21">
        <f t="shared" si="7"/>
        <v>0</v>
      </c>
    </row>
    <row r="61" spans="1:17">
      <c r="A61" s="161"/>
      <c r="B61" s="172"/>
      <c r="C61" s="109" t="s">
        <v>4</v>
      </c>
      <c r="D61" s="95"/>
      <c r="E61" s="95"/>
      <c r="F61" s="95"/>
      <c r="G61" s="95"/>
      <c r="H61" s="95"/>
      <c r="I61" s="95"/>
      <c r="J61" s="95"/>
      <c r="K61" s="95"/>
      <c r="L61" s="91"/>
      <c r="M61" s="91"/>
      <c r="N61" s="91"/>
      <c r="O61" s="80"/>
      <c r="P61" s="32"/>
      <c r="Q61" s="20">
        <f t="shared" si="7"/>
        <v>0</v>
      </c>
    </row>
    <row r="62" spans="1:17">
      <c r="A62" s="161"/>
      <c r="B62" s="172"/>
      <c r="C62" s="109" t="s">
        <v>17</v>
      </c>
      <c r="D62" s="91"/>
      <c r="E62" s="91"/>
      <c r="F62" s="91"/>
      <c r="G62" s="91"/>
      <c r="H62" s="91"/>
      <c r="I62" s="91"/>
      <c r="J62" s="91"/>
      <c r="K62" s="91"/>
      <c r="L62" s="91"/>
      <c r="M62" s="91"/>
      <c r="N62" s="91"/>
      <c r="O62" s="80"/>
      <c r="P62" s="32"/>
      <c r="Q62" s="20">
        <f t="shared" si="7"/>
        <v>0</v>
      </c>
    </row>
    <row r="63" spans="1:17">
      <c r="A63" s="161"/>
      <c r="B63" s="172"/>
      <c r="C63" s="109" t="s">
        <v>18</v>
      </c>
      <c r="D63" s="90"/>
      <c r="E63" s="90"/>
      <c r="F63" s="90"/>
      <c r="G63" s="90"/>
      <c r="H63" s="91"/>
      <c r="I63" s="91"/>
      <c r="J63" s="91"/>
      <c r="K63" s="91"/>
      <c r="L63" s="91"/>
      <c r="M63" s="91"/>
      <c r="N63" s="91"/>
      <c r="O63" s="80"/>
      <c r="P63" s="32"/>
      <c r="Q63" s="20">
        <f t="shared" si="7"/>
        <v>0</v>
      </c>
    </row>
    <row r="64" spans="1:17">
      <c r="A64" s="161"/>
      <c r="B64" s="172"/>
      <c r="C64" s="112" t="s">
        <v>19</v>
      </c>
      <c r="D64" s="96"/>
      <c r="E64" s="96"/>
      <c r="F64" s="96"/>
      <c r="G64" s="96"/>
      <c r="H64" s="92"/>
      <c r="I64" s="92"/>
      <c r="J64" s="92"/>
      <c r="K64" s="92"/>
      <c r="L64" s="92"/>
      <c r="M64" s="92"/>
      <c r="N64" s="92"/>
      <c r="O64" s="18"/>
      <c r="P64" s="33"/>
      <c r="Q64" s="22">
        <f t="shared" si="7"/>
        <v>0</v>
      </c>
    </row>
    <row r="65" spans="1:17">
      <c r="A65" s="161"/>
      <c r="B65" s="172" t="s">
        <v>13</v>
      </c>
      <c r="C65" s="111" t="s">
        <v>10</v>
      </c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79"/>
      <c r="P65" s="27"/>
      <c r="Q65" s="21">
        <f t="shared" si="7"/>
        <v>0</v>
      </c>
    </row>
    <row r="66" spans="1:17">
      <c r="A66" s="161"/>
      <c r="B66" s="172"/>
      <c r="C66" s="108" t="s">
        <v>55</v>
      </c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17"/>
      <c r="P66" s="28"/>
      <c r="Q66" s="20">
        <f t="shared" si="7"/>
        <v>0</v>
      </c>
    </row>
    <row r="67" spans="1:17">
      <c r="A67" s="161"/>
      <c r="B67" s="172"/>
      <c r="C67" s="108" t="s">
        <v>56</v>
      </c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17"/>
      <c r="P67" s="28"/>
      <c r="Q67" s="20">
        <f t="shared" si="7"/>
        <v>0</v>
      </c>
    </row>
    <row r="68" spans="1:17">
      <c r="A68" s="161"/>
      <c r="B68" s="172"/>
      <c r="C68" s="112" t="s">
        <v>61</v>
      </c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18"/>
      <c r="P68" s="33"/>
      <c r="Q68" s="22">
        <f t="shared" si="7"/>
        <v>0</v>
      </c>
    </row>
    <row r="69" spans="1:17">
      <c r="A69" s="161"/>
      <c r="B69" s="158" t="s">
        <v>54</v>
      </c>
      <c r="C69" s="159"/>
      <c r="D69" s="56">
        <f>SUM(D52:D59)-SUM(D63:D64)</f>
        <v>3</v>
      </c>
      <c r="E69" s="56">
        <f t="shared" ref="E69:O69" si="8">SUM(E52:E59)-SUM(E63:E64)</f>
        <v>0</v>
      </c>
      <c r="F69" s="56">
        <f t="shared" si="8"/>
        <v>5</v>
      </c>
      <c r="G69" s="56">
        <f>SUM(G52:G59)-SUM(G63:G64)</f>
        <v>0</v>
      </c>
      <c r="H69" s="56">
        <f t="shared" si="8"/>
        <v>0</v>
      </c>
      <c r="I69" s="56">
        <f t="shared" si="8"/>
        <v>0</v>
      </c>
      <c r="J69" s="56">
        <f t="shared" si="8"/>
        <v>0</v>
      </c>
      <c r="K69" s="56">
        <f t="shared" si="8"/>
        <v>0</v>
      </c>
      <c r="L69" s="56">
        <f t="shared" si="8"/>
        <v>0</v>
      </c>
      <c r="M69" s="56">
        <f t="shared" si="8"/>
        <v>0</v>
      </c>
      <c r="N69" s="56">
        <f t="shared" si="8"/>
        <v>0</v>
      </c>
      <c r="O69" s="57">
        <f t="shared" si="8"/>
        <v>0</v>
      </c>
      <c r="P69" s="60">
        <f>SUM(P52:P59)-SUM(P63:P64)</f>
        <v>0</v>
      </c>
      <c r="Q69" s="59">
        <f>SUM(D69:P69)</f>
        <v>8</v>
      </c>
    </row>
    <row r="70" spans="1:17" ht="14.25" thickBot="1">
      <c r="A70" s="162"/>
      <c r="B70" s="149" t="s">
        <v>5</v>
      </c>
      <c r="C70" s="150"/>
      <c r="D70" s="42">
        <f>SUM(D52:D59)-SUM(D60:D64)+SUM(D65:D68)</f>
        <v>3</v>
      </c>
      <c r="E70" s="42">
        <f>SUM(E52:E59)-SUM(E60:E64)+SUM(E65:E68)</f>
        <v>0</v>
      </c>
      <c r="F70" s="42">
        <f t="shared" ref="F70:O70" si="9">SUM(F52:F59)-SUM(F60:F64)+SUM(F65:F68)</f>
        <v>5</v>
      </c>
      <c r="G70" s="42">
        <f>SUM(G52:G59)-SUM(G60:G64)+SUM(G65:G68)</f>
        <v>0</v>
      </c>
      <c r="H70" s="42">
        <f t="shared" si="9"/>
        <v>0</v>
      </c>
      <c r="I70" s="42">
        <f t="shared" si="9"/>
        <v>0</v>
      </c>
      <c r="J70" s="42">
        <f t="shared" si="9"/>
        <v>0</v>
      </c>
      <c r="K70" s="42">
        <f t="shared" si="9"/>
        <v>0</v>
      </c>
      <c r="L70" s="42">
        <f t="shared" si="9"/>
        <v>0</v>
      </c>
      <c r="M70" s="42">
        <f t="shared" si="9"/>
        <v>0</v>
      </c>
      <c r="N70" s="42">
        <f t="shared" si="9"/>
        <v>0</v>
      </c>
      <c r="O70" s="43">
        <f t="shared" si="9"/>
        <v>0</v>
      </c>
      <c r="P70" s="44">
        <f>SUM(P52:P59)-SUM(P60:P64)+SUM(P65:P68)</f>
        <v>0</v>
      </c>
      <c r="Q70" s="46">
        <f t="shared" si="7"/>
        <v>8</v>
      </c>
    </row>
    <row r="71" spans="1:17">
      <c r="A71" s="160"/>
      <c r="B71" s="170" t="s">
        <v>12</v>
      </c>
      <c r="C71" s="106" t="s">
        <v>87</v>
      </c>
      <c r="D71" s="87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78"/>
      <c r="P71" s="30"/>
      <c r="Q71" s="19">
        <f>SUM(D71:P71)</f>
        <v>0</v>
      </c>
    </row>
    <row r="72" spans="1:17">
      <c r="A72" s="161"/>
      <c r="B72" s="171"/>
      <c r="C72" s="107" t="s">
        <v>89</v>
      </c>
      <c r="D72" s="88"/>
      <c r="E72" s="88"/>
      <c r="F72" s="88"/>
      <c r="G72" s="88"/>
      <c r="H72" s="88"/>
      <c r="I72" s="88"/>
      <c r="J72" s="88"/>
      <c r="K72" s="88"/>
      <c r="L72" s="88"/>
      <c r="M72" s="88"/>
      <c r="N72" s="88"/>
      <c r="O72" s="81"/>
      <c r="P72" s="31"/>
      <c r="Q72" s="20">
        <f t="shared" ref="Q72:Q89" si="10">SUM(D72:P72)</f>
        <v>0</v>
      </c>
    </row>
    <row r="73" spans="1:17">
      <c r="A73" s="161"/>
      <c r="B73" s="172"/>
      <c r="C73" s="108" t="s">
        <v>88</v>
      </c>
      <c r="D73" s="89"/>
      <c r="E73" s="90"/>
      <c r="F73" s="90"/>
      <c r="G73" s="90"/>
      <c r="H73" s="89"/>
      <c r="I73" s="89"/>
      <c r="J73" s="89"/>
      <c r="K73" s="89"/>
      <c r="L73" s="89"/>
      <c r="M73" s="89"/>
      <c r="N73" s="89"/>
      <c r="O73" s="17"/>
      <c r="P73" s="28"/>
      <c r="Q73" s="20">
        <f t="shared" si="10"/>
        <v>0</v>
      </c>
    </row>
    <row r="74" spans="1:17">
      <c r="A74" s="161"/>
      <c r="B74" s="172"/>
      <c r="C74" s="109" t="s">
        <v>90</v>
      </c>
      <c r="D74" s="91"/>
      <c r="E74" s="89"/>
      <c r="F74" s="89"/>
      <c r="G74" s="91"/>
      <c r="H74" s="91"/>
      <c r="I74" s="91"/>
      <c r="J74" s="91"/>
      <c r="K74" s="91"/>
      <c r="L74" s="91"/>
      <c r="M74" s="91"/>
      <c r="N74" s="91"/>
      <c r="O74" s="80"/>
      <c r="P74" s="32"/>
      <c r="Q74" s="20">
        <f t="shared" si="10"/>
        <v>0</v>
      </c>
    </row>
    <row r="75" spans="1:17">
      <c r="A75" s="161"/>
      <c r="B75" s="172"/>
      <c r="C75" s="109" t="s">
        <v>91</v>
      </c>
      <c r="D75" s="91">
        <v>454</v>
      </c>
      <c r="E75" s="91"/>
      <c r="F75" s="91">
        <v>45</v>
      </c>
      <c r="G75" s="91"/>
      <c r="H75" s="91"/>
      <c r="I75" s="91"/>
      <c r="J75" s="91"/>
      <c r="K75" s="91"/>
      <c r="L75" s="91"/>
      <c r="M75" s="91"/>
      <c r="N75" s="91"/>
      <c r="O75" s="80"/>
      <c r="P75" s="32"/>
      <c r="Q75" s="20">
        <f t="shared" si="10"/>
        <v>499</v>
      </c>
    </row>
    <row r="76" spans="1:17">
      <c r="A76" s="161"/>
      <c r="B76" s="172"/>
      <c r="C76" s="109" t="s">
        <v>92</v>
      </c>
      <c r="D76" s="91"/>
      <c r="E76" s="91"/>
      <c r="F76" s="91"/>
      <c r="G76" s="91"/>
      <c r="H76" s="91"/>
      <c r="I76" s="91"/>
      <c r="J76" s="91"/>
      <c r="K76" s="91"/>
      <c r="L76" s="91"/>
      <c r="M76" s="91"/>
      <c r="N76" s="91"/>
      <c r="O76" s="80"/>
      <c r="P76" s="32"/>
      <c r="Q76" s="20">
        <f>SUM(D76:P76)</f>
        <v>0</v>
      </c>
    </row>
    <row r="77" spans="1:17">
      <c r="A77" s="161"/>
      <c r="B77" s="172"/>
      <c r="C77" s="108" t="s">
        <v>93</v>
      </c>
      <c r="D77" s="91"/>
      <c r="E77" s="91"/>
      <c r="F77" s="91"/>
      <c r="G77" s="91"/>
      <c r="H77" s="91"/>
      <c r="I77" s="91"/>
      <c r="J77" s="91"/>
      <c r="K77" s="91"/>
      <c r="L77" s="91"/>
      <c r="M77" s="91"/>
      <c r="N77" s="91"/>
      <c r="O77" s="80"/>
      <c r="P77" s="32"/>
      <c r="Q77" s="20">
        <f t="shared" si="10"/>
        <v>0</v>
      </c>
    </row>
    <row r="78" spans="1:17">
      <c r="A78" s="161"/>
      <c r="B78" s="172"/>
      <c r="C78" s="110" t="s">
        <v>94</v>
      </c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18"/>
      <c r="P78" s="33"/>
      <c r="Q78" s="22">
        <f t="shared" si="10"/>
        <v>0</v>
      </c>
    </row>
    <row r="79" spans="1:17">
      <c r="A79" s="161"/>
      <c r="B79" s="172" t="s">
        <v>11</v>
      </c>
      <c r="C79" s="111" t="s">
        <v>7</v>
      </c>
      <c r="D79" s="93"/>
      <c r="E79" s="93"/>
      <c r="F79" s="93"/>
      <c r="G79" s="93"/>
      <c r="H79" s="93"/>
      <c r="I79" s="93"/>
      <c r="J79" s="93"/>
      <c r="K79" s="93"/>
      <c r="L79" s="94"/>
      <c r="M79" s="94"/>
      <c r="N79" s="94"/>
      <c r="O79" s="79"/>
      <c r="P79" s="27"/>
      <c r="Q79" s="21">
        <f t="shared" si="10"/>
        <v>0</v>
      </c>
    </row>
    <row r="80" spans="1:17">
      <c r="A80" s="161"/>
      <c r="B80" s="172"/>
      <c r="C80" s="109" t="s">
        <v>4</v>
      </c>
      <c r="D80" s="95"/>
      <c r="E80" s="95"/>
      <c r="F80" s="95"/>
      <c r="G80" s="95"/>
      <c r="H80" s="95"/>
      <c r="I80" s="95"/>
      <c r="J80" s="95"/>
      <c r="K80" s="95"/>
      <c r="L80" s="91"/>
      <c r="M80" s="91"/>
      <c r="N80" s="91"/>
      <c r="O80" s="80"/>
      <c r="P80" s="32"/>
      <c r="Q80" s="20">
        <f t="shared" si="10"/>
        <v>0</v>
      </c>
    </row>
    <row r="81" spans="1:17">
      <c r="A81" s="161"/>
      <c r="B81" s="172"/>
      <c r="C81" s="109" t="s">
        <v>17</v>
      </c>
      <c r="D81" s="91"/>
      <c r="E81" s="91"/>
      <c r="F81" s="91"/>
      <c r="G81" s="91"/>
      <c r="H81" s="91"/>
      <c r="I81" s="91"/>
      <c r="J81" s="91"/>
      <c r="K81" s="91"/>
      <c r="L81" s="91"/>
      <c r="M81" s="91"/>
      <c r="N81" s="91"/>
      <c r="O81" s="80"/>
      <c r="P81" s="32"/>
      <c r="Q81" s="20">
        <f t="shared" si="10"/>
        <v>0</v>
      </c>
    </row>
    <row r="82" spans="1:17">
      <c r="A82" s="161"/>
      <c r="B82" s="172"/>
      <c r="C82" s="109" t="s">
        <v>18</v>
      </c>
      <c r="D82" s="90"/>
      <c r="E82" s="90"/>
      <c r="F82" s="90"/>
      <c r="G82" s="90"/>
      <c r="H82" s="91"/>
      <c r="I82" s="91"/>
      <c r="J82" s="91"/>
      <c r="K82" s="91"/>
      <c r="L82" s="91"/>
      <c r="M82" s="91"/>
      <c r="N82" s="91"/>
      <c r="O82" s="80"/>
      <c r="P82" s="32"/>
      <c r="Q82" s="20">
        <f t="shared" si="10"/>
        <v>0</v>
      </c>
    </row>
    <row r="83" spans="1:17">
      <c r="A83" s="161"/>
      <c r="B83" s="172"/>
      <c r="C83" s="112" t="s">
        <v>19</v>
      </c>
      <c r="D83" s="96"/>
      <c r="E83" s="96"/>
      <c r="F83" s="96"/>
      <c r="G83" s="96"/>
      <c r="H83" s="92"/>
      <c r="I83" s="92"/>
      <c r="J83" s="92"/>
      <c r="K83" s="92"/>
      <c r="L83" s="92"/>
      <c r="M83" s="92"/>
      <c r="N83" s="92"/>
      <c r="O83" s="18"/>
      <c r="P83" s="33"/>
      <c r="Q83" s="22">
        <f t="shared" si="10"/>
        <v>0</v>
      </c>
    </row>
    <row r="84" spans="1:17">
      <c r="A84" s="161"/>
      <c r="B84" s="172" t="s">
        <v>13</v>
      </c>
      <c r="C84" s="111" t="s">
        <v>10</v>
      </c>
      <c r="D84" s="94"/>
      <c r="E84" s="94"/>
      <c r="F84" s="94"/>
      <c r="G84" s="94"/>
      <c r="H84" s="94"/>
      <c r="I84" s="94"/>
      <c r="J84" s="94"/>
      <c r="K84" s="94"/>
      <c r="L84" s="94"/>
      <c r="M84" s="94"/>
      <c r="N84" s="94"/>
      <c r="O84" s="79"/>
      <c r="P84" s="27"/>
      <c r="Q84" s="21">
        <f t="shared" si="10"/>
        <v>0</v>
      </c>
    </row>
    <row r="85" spans="1:17">
      <c r="A85" s="161"/>
      <c r="B85" s="172"/>
      <c r="C85" s="108" t="s">
        <v>55</v>
      </c>
      <c r="D85" s="89"/>
      <c r="E85" s="89"/>
      <c r="F85" s="89"/>
      <c r="G85" s="89"/>
      <c r="H85" s="89"/>
      <c r="I85" s="89"/>
      <c r="J85" s="89"/>
      <c r="K85" s="89"/>
      <c r="L85" s="89"/>
      <c r="M85" s="89"/>
      <c r="N85" s="89"/>
      <c r="O85" s="17"/>
      <c r="P85" s="28"/>
      <c r="Q85" s="20">
        <f t="shared" si="10"/>
        <v>0</v>
      </c>
    </row>
    <row r="86" spans="1:17">
      <c r="A86" s="161"/>
      <c r="B86" s="172"/>
      <c r="C86" s="108" t="s">
        <v>56</v>
      </c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17"/>
      <c r="P86" s="28"/>
      <c r="Q86" s="20">
        <f t="shared" si="10"/>
        <v>0</v>
      </c>
    </row>
    <row r="87" spans="1:17">
      <c r="A87" s="161"/>
      <c r="B87" s="172"/>
      <c r="C87" s="112" t="s">
        <v>61</v>
      </c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18"/>
      <c r="P87" s="33"/>
      <c r="Q87" s="22">
        <f t="shared" si="10"/>
        <v>0</v>
      </c>
    </row>
    <row r="88" spans="1:17">
      <c r="A88" s="161"/>
      <c r="B88" s="158" t="s">
        <v>54</v>
      </c>
      <c r="C88" s="159"/>
      <c r="D88" s="56">
        <f>SUM(D71:D78)-SUM(D82:D83)</f>
        <v>454</v>
      </c>
      <c r="E88" s="56">
        <f t="shared" ref="E88:O88" si="11">SUM(E71:E78)-SUM(E82:E83)</f>
        <v>0</v>
      </c>
      <c r="F88" s="56">
        <f t="shared" si="11"/>
        <v>45</v>
      </c>
      <c r="G88" s="56">
        <f>SUM(G71:G78)-SUM(G82:G83)</f>
        <v>0</v>
      </c>
      <c r="H88" s="56">
        <f t="shared" si="11"/>
        <v>0</v>
      </c>
      <c r="I88" s="56">
        <f t="shared" si="11"/>
        <v>0</v>
      </c>
      <c r="J88" s="56">
        <f t="shared" si="11"/>
        <v>0</v>
      </c>
      <c r="K88" s="56">
        <f t="shared" si="11"/>
        <v>0</v>
      </c>
      <c r="L88" s="56">
        <f t="shared" si="11"/>
        <v>0</v>
      </c>
      <c r="M88" s="56">
        <f t="shared" si="11"/>
        <v>0</v>
      </c>
      <c r="N88" s="56">
        <f t="shared" si="11"/>
        <v>0</v>
      </c>
      <c r="O88" s="57">
        <f t="shared" si="11"/>
        <v>0</v>
      </c>
      <c r="P88" s="60">
        <f>SUM(P71:P78)-SUM(P82:P83)</f>
        <v>0</v>
      </c>
      <c r="Q88" s="59">
        <f>SUM(D88:P88)</f>
        <v>499</v>
      </c>
    </row>
    <row r="89" spans="1:17" ht="14.25" thickBot="1">
      <c r="A89" s="162"/>
      <c r="B89" s="149" t="s">
        <v>5</v>
      </c>
      <c r="C89" s="150"/>
      <c r="D89" s="42">
        <f>SUM(D71:D78)-SUM(D79:D83)+SUM(D84:D87)</f>
        <v>454</v>
      </c>
      <c r="E89" s="42">
        <f>SUM(E71:E78)-SUM(E79:E83)+SUM(E84:E87)</f>
        <v>0</v>
      </c>
      <c r="F89" s="42">
        <f t="shared" ref="F89:O89" si="12">SUM(F71:F78)-SUM(F79:F83)+SUM(F84:F87)</f>
        <v>45</v>
      </c>
      <c r="G89" s="42">
        <f>SUM(G71:G78)-SUM(G79:G83)+SUM(G84:G87)</f>
        <v>0</v>
      </c>
      <c r="H89" s="42">
        <f t="shared" si="12"/>
        <v>0</v>
      </c>
      <c r="I89" s="42">
        <f t="shared" si="12"/>
        <v>0</v>
      </c>
      <c r="J89" s="42">
        <f t="shared" si="12"/>
        <v>0</v>
      </c>
      <c r="K89" s="42">
        <f t="shared" si="12"/>
        <v>0</v>
      </c>
      <c r="L89" s="42">
        <f t="shared" si="12"/>
        <v>0</v>
      </c>
      <c r="M89" s="42">
        <f t="shared" si="12"/>
        <v>0</v>
      </c>
      <c r="N89" s="42">
        <f t="shared" si="12"/>
        <v>0</v>
      </c>
      <c r="O89" s="43">
        <f t="shared" si="12"/>
        <v>0</v>
      </c>
      <c r="P89" s="44">
        <f>SUM(P71:P78)-SUM(P79:P83)+SUM(P84:P87)</f>
        <v>0</v>
      </c>
      <c r="Q89" s="46">
        <f t="shared" si="10"/>
        <v>499</v>
      </c>
    </row>
    <row r="90" spans="1:17">
      <c r="A90" s="173" t="s">
        <v>98</v>
      </c>
      <c r="B90" s="170" t="s">
        <v>12</v>
      </c>
      <c r="C90" s="106" t="s">
        <v>87</v>
      </c>
      <c r="D90" s="87"/>
      <c r="E90" s="87"/>
      <c r="F90" s="87"/>
      <c r="G90" s="87"/>
      <c r="H90" s="87"/>
      <c r="I90" s="87"/>
      <c r="J90" s="87"/>
      <c r="K90" s="87"/>
      <c r="L90" s="87"/>
      <c r="M90" s="87"/>
      <c r="N90" s="87"/>
      <c r="O90" s="78"/>
      <c r="P90" s="30"/>
      <c r="Q90" s="19">
        <f>SUM(D90:P90)</f>
        <v>0</v>
      </c>
    </row>
    <row r="91" spans="1:17">
      <c r="A91" s="161"/>
      <c r="B91" s="171"/>
      <c r="C91" s="107" t="s">
        <v>89</v>
      </c>
      <c r="D91" s="88"/>
      <c r="E91" s="88"/>
      <c r="F91" s="88"/>
      <c r="G91" s="88"/>
      <c r="H91" s="88"/>
      <c r="I91" s="88"/>
      <c r="J91" s="88"/>
      <c r="K91" s="88"/>
      <c r="L91" s="88"/>
      <c r="M91" s="88"/>
      <c r="N91" s="88"/>
      <c r="O91" s="81"/>
      <c r="P91" s="31"/>
      <c r="Q91" s="20">
        <f t="shared" ref="Q91:Q108" si="13">SUM(D91:P91)</f>
        <v>0</v>
      </c>
    </row>
    <row r="92" spans="1:17">
      <c r="A92" s="161"/>
      <c r="B92" s="172"/>
      <c r="C92" s="108" t="s">
        <v>88</v>
      </c>
      <c r="D92" s="89"/>
      <c r="E92" s="90"/>
      <c r="F92" s="90"/>
      <c r="G92" s="90"/>
      <c r="H92" s="89"/>
      <c r="I92" s="89"/>
      <c r="J92" s="89"/>
      <c r="K92" s="89"/>
      <c r="L92" s="89"/>
      <c r="M92" s="89"/>
      <c r="N92" s="89"/>
      <c r="O92" s="17"/>
      <c r="P92" s="28"/>
      <c r="Q92" s="20">
        <f t="shared" si="13"/>
        <v>0</v>
      </c>
    </row>
    <row r="93" spans="1:17">
      <c r="A93" s="161"/>
      <c r="B93" s="172"/>
      <c r="C93" s="109" t="s">
        <v>90</v>
      </c>
      <c r="D93" s="91"/>
      <c r="E93" s="89"/>
      <c r="F93" s="89"/>
      <c r="G93" s="91"/>
      <c r="H93" s="91"/>
      <c r="I93" s="91"/>
      <c r="J93" s="91"/>
      <c r="K93" s="91"/>
      <c r="L93" s="91"/>
      <c r="M93" s="91"/>
      <c r="N93" s="91"/>
      <c r="O93" s="80"/>
      <c r="P93" s="32"/>
      <c r="Q93" s="20">
        <f t="shared" si="13"/>
        <v>0</v>
      </c>
    </row>
    <row r="94" spans="1:17">
      <c r="A94" s="161"/>
      <c r="B94" s="172"/>
      <c r="C94" s="109" t="s">
        <v>91</v>
      </c>
      <c r="D94" s="91"/>
      <c r="E94" s="91"/>
      <c r="F94" s="91"/>
      <c r="G94" s="91"/>
      <c r="H94" s="91"/>
      <c r="I94" s="91"/>
      <c r="J94" s="91"/>
      <c r="K94" s="91"/>
      <c r="L94" s="91"/>
      <c r="M94" s="91"/>
      <c r="N94" s="91"/>
      <c r="O94" s="80"/>
      <c r="P94" s="32"/>
      <c r="Q94" s="20">
        <f t="shared" si="13"/>
        <v>0</v>
      </c>
    </row>
    <row r="95" spans="1:17">
      <c r="A95" s="161"/>
      <c r="B95" s="172"/>
      <c r="C95" s="109" t="s">
        <v>92</v>
      </c>
      <c r="D95" s="91"/>
      <c r="E95" s="91"/>
      <c r="F95" s="91"/>
      <c r="G95" s="91"/>
      <c r="H95" s="91"/>
      <c r="I95" s="91"/>
      <c r="J95" s="91"/>
      <c r="K95" s="91"/>
      <c r="L95" s="91"/>
      <c r="M95" s="91"/>
      <c r="N95" s="91"/>
      <c r="O95" s="80"/>
      <c r="P95" s="32"/>
      <c r="Q95" s="20">
        <f>SUM(D95:P95)</f>
        <v>0</v>
      </c>
    </row>
    <row r="96" spans="1:17">
      <c r="A96" s="161"/>
      <c r="B96" s="172"/>
      <c r="C96" s="108" t="s">
        <v>93</v>
      </c>
      <c r="D96" s="91"/>
      <c r="E96" s="91"/>
      <c r="F96" s="91"/>
      <c r="G96" s="91"/>
      <c r="H96" s="91"/>
      <c r="I96" s="91"/>
      <c r="J96" s="91"/>
      <c r="K96" s="91"/>
      <c r="L96" s="91"/>
      <c r="M96" s="91"/>
      <c r="N96" s="91"/>
      <c r="O96" s="80"/>
      <c r="P96" s="32"/>
      <c r="Q96" s="20">
        <f t="shared" si="13"/>
        <v>0</v>
      </c>
    </row>
    <row r="97" spans="1:17">
      <c r="A97" s="161"/>
      <c r="B97" s="172"/>
      <c r="C97" s="110" t="s">
        <v>94</v>
      </c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18"/>
      <c r="P97" s="33"/>
      <c r="Q97" s="22">
        <f t="shared" si="13"/>
        <v>0</v>
      </c>
    </row>
    <row r="98" spans="1:17">
      <c r="A98" s="161"/>
      <c r="B98" s="172" t="s">
        <v>11</v>
      </c>
      <c r="C98" s="111" t="s">
        <v>7</v>
      </c>
      <c r="D98" s="93"/>
      <c r="E98" s="93"/>
      <c r="F98" s="93"/>
      <c r="G98" s="93"/>
      <c r="H98" s="93"/>
      <c r="I98" s="93"/>
      <c r="J98" s="93"/>
      <c r="K98" s="93"/>
      <c r="L98" s="94"/>
      <c r="M98" s="94"/>
      <c r="N98" s="94"/>
      <c r="O98" s="79"/>
      <c r="P98" s="27"/>
      <c r="Q98" s="21">
        <f t="shared" si="13"/>
        <v>0</v>
      </c>
    </row>
    <row r="99" spans="1:17">
      <c r="A99" s="161"/>
      <c r="B99" s="172"/>
      <c r="C99" s="109" t="s">
        <v>4</v>
      </c>
      <c r="D99" s="95"/>
      <c r="E99" s="95"/>
      <c r="F99" s="95"/>
      <c r="G99" s="95"/>
      <c r="H99" s="95"/>
      <c r="I99" s="95"/>
      <c r="J99" s="95"/>
      <c r="K99" s="95"/>
      <c r="L99" s="91"/>
      <c r="M99" s="91"/>
      <c r="N99" s="91"/>
      <c r="O99" s="80"/>
      <c r="P99" s="32"/>
      <c r="Q99" s="20">
        <f t="shared" si="13"/>
        <v>0</v>
      </c>
    </row>
    <row r="100" spans="1:17">
      <c r="A100" s="161"/>
      <c r="B100" s="172"/>
      <c r="C100" s="109" t="s">
        <v>17</v>
      </c>
      <c r="D100" s="91"/>
      <c r="E100" s="91"/>
      <c r="F100" s="91"/>
      <c r="G100" s="91"/>
      <c r="H100" s="91"/>
      <c r="I100" s="91"/>
      <c r="J100" s="91"/>
      <c r="K100" s="91"/>
      <c r="L100" s="91"/>
      <c r="M100" s="91"/>
      <c r="N100" s="91"/>
      <c r="O100" s="80"/>
      <c r="P100" s="32"/>
      <c r="Q100" s="20">
        <f t="shared" si="13"/>
        <v>0</v>
      </c>
    </row>
    <row r="101" spans="1:17">
      <c r="A101" s="161"/>
      <c r="B101" s="172"/>
      <c r="C101" s="109" t="s">
        <v>18</v>
      </c>
      <c r="D101" s="90"/>
      <c r="E101" s="90"/>
      <c r="F101" s="90"/>
      <c r="G101" s="90"/>
      <c r="H101" s="91"/>
      <c r="I101" s="91"/>
      <c r="J101" s="91"/>
      <c r="K101" s="91"/>
      <c r="L101" s="91"/>
      <c r="M101" s="91"/>
      <c r="N101" s="91"/>
      <c r="O101" s="80"/>
      <c r="P101" s="32"/>
      <c r="Q101" s="20">
        <f t="shared" si="13"/>
        <v>0</v>
      </c>
    </row>
    <row r="102" spans="1:17">
      <c r="A102" s="161"/>
      <c r="B102" s="172"/>
      <c r="C102" s="112" t="s">
        <v>19</v>
      </c>
      <c r="D102" s="96"/>
      <c r="E102" s="96"/>
      <c r="F102" s="96"/>
      <c r="G102" s="96"/>
      <c r="H102" s="92"/>
      <c r="I102" s="92"/>
      <c r="J102" s="92"/>
      <c r="K102" s="92"/>
      <c r="L102" s="92"/>
      <c r="M102" s="92"/>
      <c r="N102" s="92"/>
      <c r="O102" s="18"/>
      <c r="P102" s="33"/>
      <c r="Q102" s="22">
        <f t="shared" si="13"/>
        <v>0</v>
      </c>
    </row>
    <row r="103" spans="1:17">
      <c r="A103" s="161"/>
      <c r="B103" s="172" t="s">
        <v>13</v>
      </c>
      <c r="C103" s="111" t="s">
        <v>10</v>
      </c>
      <c r="D103" s="94"/>
      <c r="E103" s="94"/>
      <c r="F103" s="94"/>
      <c r="G103" s="94"/>
      <c r="H103" s="94"/>
      <c r="I103" s="94"/>
      <c r="J103" s="94"/>
      <c r="K103" s="94"/>
      <c r="L103" s="94"/>
      <c r="M103" s="94"/>
      <c r="N103" s="94"/>
      <c r="O103" s="79"/>
      <c r="P103" s="27"/>
      <c r="Q103" s="21">
        <f t="shared" si="13"/>
        <v>0</v>
      </c>
    </row>
    <row r="104" spans="1:17">
      <c r="A104" s="161"/>
      <c r="B104" s="172"/>
      <c r="C104" s="108" t="s">
        <v>55</v>
      </c>
      <c r="D104" s="89"/>
      <c r="E104" s="89"/>
      <c r="F104" s="89"/>
      <c r="G104" s="89"/>
      <c r="H104" s="89"/>
      <c r="I104" s="89"/>
      <c r="J104" s="89"/>
      <c r="K104" s="89"/>
      <c r="L104" s="89"/>
      <c r="M104" s="89"/>
      <c r="N104" s="89"/>
      <c r="O104" s="17"/>
      <c r="P104" s="28"/>
      <c r="Q104" s="20">
        <f t="shared" si="13"/>
        <v>0</v>
      </c>
    </row>
    <row r="105" spans="1:17">
      <c r="A105" s="161"/>
      <c r="B105" s="172"/>
      <c r="C105" s="108" t="s">
        <v>56</v>
      </c>
      <c r="D105" s="89"/>
      <c r="E105" s="89"/>
      <c r="F105" s="89"/>
      <c r="G105" s="89"/>
      <c r="H105" s="89"/>
      <c r="I105" s="89"/>
      <c r="J105" s="89"/>
      <c r="K105" s="89"/>
      <c r="L105" s="89"/>
      <c r="M105" s="89"/>
      <c r="N105" s="89"/>
      <c r="O105" s="17"/>
      <c r="P105" s="28"/>
      <c r="Q105" s="20">
        <f t="shared" si="13"/>
        <v>0</v>
      </c>
    </row>
    <row r="106" spans="1:17">
      <c r="A106" s="161"/>
      <c r="B106" s="172"/>
      <c r="C106" s="112" t="s">
        <v>61</v>
      </c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18"/>
      <c r="P106" s="33"/>
      <c r="Q106" s="22">
        <f t="shared" si="13"/>
        <v>0</v>
      </c>
    </row>
    <row r="107" spans="1:17">
      <c r="A107" s="161"/>
      <c r="B107" s="158" t="s">
        <v>54</v>
      </c>
      <c r="C107" s="159"/>
      <c r="D107" s="56">
        <f>SUM(D90:D97)-SUM(D101:D102)</f>
        <v>0</v>
      </c>
      <c r="E107" s="56">
        <f t="shared" ref="E107:O107" si="14">SUM(E90:E97)-SUM(E101:E102)</f>
        <v>0</v>
      </c>
      <c r="F107" s="56">
        <f t="shared" si="14"/>
        <v>0</v>
      </c>
      <c r="G107" s="56">
        <f>SUM(G90:G97)-SUM(G101:G102)</f>
        <v>0</v>
      </c>
      <c r="H107" s="56">
        <f t="shared" si="14"/>
        <v>0</v>
      </c>
      <c r="I107" s="56">
        <f t="shared" si="14"/>
        <v>0</v>
      </c>
      <c r="J107" s="56">
        <f t="shared" si="14"/>
        <v>0</v>
      </c>
      <c r="K107" s="56">
        <f t="shared" si="14"/>
        <v>0</v>
      </c>
      <c r="L107" s="56">
        <f t="shared" si="14"/>
        <v>0</v>
      </c>
      <c r="M107" s="56">
        <f t="shared" si="14"/>
        <v>0</v>
      </c>
      <c r="N107" s="56">
        <f t="shared" si="14"/>
        <v>0</v>
      </c>
      <c r="O107" s="57">
        <f t="shared" si="14"/>
        <v>0</v>
      </c>
      <c r="P107" s="60">
        <f>SUM(P90:P97)-SUM(P101:P102)</f>
        <v>0</v>
      </c>
      <c r="Q107" s="59">
        <f>SUM(D107:P107)</f>
        <v>0</v>
      </c>
    </row>
    <row r="108" spans="1:17" ht="14.25" thickBot="1">
      <c r="A108" s="162"/>
      <c r="B108" s="149" t="s">
        <v>5</v>
      </c>
      <c r="C108" s="150"/>
      <c r="D108" s="42">
        <f>SUM(D90:D97)-SUM(D98:D102)+SUM(D103:D106)</f>
        <v>0</v>
      </c>
      <c r="E108" s="42">
        <f>SUM(E90:E97)-SUM(E98:E102)+SUM(E103:E106)</f>
        <v>0</v>
      </c>
      <c r="F108" s="42">
        <f t="shared" ref="F108:O108" si="15">SUM(F90:F97)-SUM(F98:F102)+SUM(F103:F106)</f>
        <v>0</v>
      </c>
      <c r="G108" s="42">
        <f>SUM(G90:G97)-SUM(G98:G102)+SUM(G103:G106)</f>
        <v>0</v>
      </c>
      <c r="H108" s="42">
        <f t="shared" si="15"/>
        <v>0</v>
      </c>
      <c r="I108" s="42">
        <f t="shared" si="15"/>
        <v>0</v>
      </c>
      <c r="J108" s="42">
        <f t="shared" si="15"/>
        <v>0</v>
      </c>
      <c r="K108" s="42">
        <f t="shared" si="15"/>
        <v>0</v>
      </c>
      <c r="L108" s="42">
        <f t="shared" si="15"/>
        <v>0</v>
      </c>
      <c r="M108" s="42">
        <f t="shared" si="15"/>
        <v>0</v>
      </c>
      <c r="N108" s="42">
        <f t="shared" si="15"/>
        <v>0</v>
      </c>
      <c r="O108" s="43">
        <f t="shared" si="15"/>
        <v>0</v>
      </c>
      <c r="P108" s="44">
        <f>SUM(P90:P97)-SUM(P98:P102)+SUM(P103:P106)</f>
        <v>0</v>
      </c>
      <c r="Q108" s="46">
        <f t="shared" si="13"/>
        <v>0</v>
      </c>
    </row>
    <row r="109" spans="1:17">
      <c r="A109" s="189" t="s">
        <v>40</v>
      </c>
      <c r="B109" s="190"/>
      <c r="C109" s="191"/>
      <c r="D109" s="47">
        <f ca="1">SUMIF($C:$C,"*役員手当*",D:D)
+SUMIF($C:$C,"*基本給*",D:D)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
+SUMIF($C:$C,"特別手当",INDEX(D:D,2,1))</f>
        <v>63</v>
      </c>
      <c r="E109" s="47">
        <f ca="1">SUMIF($C:$C,"役員手当",E:E)
+SUMIF($C:$C,"基本給",E:E)
+SUMIF($C:$C,"役職手当",E:E)
+SUMIF($C:$C,"営業手当",E:E)
+SUMIF($C:$C,"管理手当",E:E)
+SUMIF($C:$C,"在宅手当",E:E)
+SUMIF($C:$C,"特別手当",E:E)
+SUMIF($C:$C,"扶養家族手当",E:E)
+SUMIF($C:$C,"調整金",E:E)
+SUMIF($C:$C,"特別手当",INDEX(E:E,2,1))</f>
        <v>0</v>
      </c>
      <c r="F109" s="47">
        <f ca="1">SUMIF($C:$C,"役員手当",F:F)
+SUMIF($C:$C,"基本給",F:F)
+SUMIF($C:$C,"役職手当",F:F)
+SUMIF($C:$C,"営業手当",F:F)
+SUMIF($C:$C,"管理手当",F:F)
+SUMIF($C:$C,"在宅手当",F:F)
+SUMIF($C:$C,"特別手当",F:F)
+SUMIF($C:$C,"扶養家族手当",F:F)
+SUMIF($C:$C,"調整金",F:F)
+SUMIF($C:$C,"特別手当",INDEX(F:F,2,1))</f>
        <v>0</v>
      </c>
      <c r="G109" s="47">
        <f ca="1">SUMIF($C:$C,"役員手当",G:G)
+SUMIF($C:$C,"基本給",G:G)
+SUMIF($C:$C,"役職手当",G:G)
+SUMIF($C:$C,"営業手当",G:G)
+SUMIF($C:$C,"管理手当",G:G)
+SUMIF($C:$C,"在宅手当",G:G)
+SUMIF($C:$C,"特別手当",G:G)
+SUMIF($C:$C,"扶養家族手当",G:G)
+SUMIF($C:$C,"調整金",G:G)
+SUMIF($C:$C,"特別手当",INDEX(G:G,2,1))</f>
        <v>0</v>
      </c>
      <c r="H109" s="47">
        <f ca="1">SUMIF($C:$C,"役員手当",H:H)
+SUMIF($C:$C,"基本給",H:H)
+SUMIF($C:$C,"役職手当",H:H)
+SUMIF($C:$C,"営業手当",H:H)
+SUMIF($C:$C,"管理手当",H:H)
+SUMIF($C:$C,"在宅手当",H:H)
+SUMIF($C:$C,"特別手当",H:H)
+SUMIF($C:$C,"扶養家族手当",H:H)
+SUMIF($C:$C,"調整金",H:H)
+SUMIF($C:$C,"特別手当",INDEX(H:H,2,1))</f>
        <v>0</v>
      </c>
      <c r="I109" s="47">
        <f ca="1">SUMIF($C:$C,"役員手当",I:I)
+SUMIF($C:$C,"基本給",I:I)
+SUMIF($C:$C,"役職手当",I:I)
+SUMIF($C:$C,"営業手当",I:I)
+SUMIF($C:$C,"管理手当",I:I)
+SUMIF($C:$C,"在宅手当",I:I)
+SUMIF($C:$C,"特別手当",I:I)
+SUMIF($C:$C,"扶養家族手当",I:I)
+SUMIF($C:$C,"調整金",I:I)
+SUMIF($C:$C,"特別手当",INDEX(I:I,2,1))</f>
        <v>0</v>
      </c>
      <c r="J109" s="47">
        <f ca="1">SUMIF($C:$C,"*役員手当*",J:J)
+SUMIF($C:$C,"*基本給*",J:J)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
+SUMIF($C:$C,"特別手当",INDEX(J:J,2,1))</f>
        <v>0</v>
      </c>
      <c r="K109" s="47">
        <f ca="1">SUMIF($C:$C,"役員手当",K:K)
+SUMIF($C:$C,"基本給",K:K)
+SUMIF($C:$C,"役職手当",K:K)
+SUMIF($C:$C,"営業手当",K:K)
+SUMIF($C:$C,"管理手当",K:K)
+SUMIF($C:$C,"在宅手当",K:K)
+SUMIF($C:$C,"特別手当",K:K)
+SUMIF($C:$C,"扶養家族手当",K:K)
+SUMIF($C:$C,"調整金",K:K)
+SUMIF($C:$C,"特別手当",INDEX(K:K,2,1))</f>
        <v>0</v>
      </c>
      <c r="L109" s="47">
        <f ca="1">SUMIF($C:$C,"役員手当",L:L)
+SUMIF($C:$C,"基本給",L:L)
+SUMIF($C:$C,"役職手当",L:L)
+SUMIF($C:$C,"営業手当",L:L)
+SUMIF($C:$C,"管理手当",L:L)
+SUMIF($C:$C,"在宅手当",L:L)
+SUMIF($C:$C,"特別手当",L:L)
+SUMIF($C:$C,"扶養家族手当",L:L)
+SUMIF($C:$C,"調整金",L:L)
+SUMIF($C:$C,"特別手当",INDEX(L:L,2,1))</f>
        <v>0</v>
      </c>
      <c r="M109" s="47">
        <f ca="1">SUMIF($C:$C,"役員手当",M:M)
+SUMIF($C:$C,"基本給",M:M)
+SUMIF($C:$C,"役職手当",M:M)
+SUMIF($C:$C,"営業手当",M:M)
+SUMIF($C:$C,"管理手当",M:M)
+SUMIF($C:$C,"在宅手当",M:M)
+SUMIF($C:$C,"特別手当",M:M)
+SUMIF($C:$C,"扶養家族手当",M:M)
+SUMIF($C:$C,"調整金",M:M)
+SUMIF($C:$C,"特別手当",INDEX(M:M,2,1))</f>
        <v>0</v>
      </c>
      <c r="N109" s="47">
        <f ca="1">SUMIF($C:$C,"役員手当",N:N)
+SUMIF($C:$C,"基本給",N:N)
+SUMIF($C:$C,"役職手当",N:N)
+SUMIF($C:$C,"営業手当",N:N)
+SUMIF($C:$C,"管理手当",N:N)
+SUMIF($C:$C,"在宅手当",N:N)
+SUMIF($C:$C,"特別手当",N:N)
+SUMIF($C:$C,"扶養家族手当",N:N)
+SUMIF($C:$C,"調整金",N:N)
+SUMIF($C:$C,"特別手当",INDEX(N:N,2,1))</f>
        <v>0</v>
      </c>
      <c r="O109" s="47">
        <f ca="1">SUMIF($C:$C,"役員手当",O:O)
+SUMIF($C:$C,"基本給",O:O)
+SUMIF($C:$C,"役職手当",O:O)
+SUMIF($C:$C,"営業手当",O:O)
+SUMIF($C:$C,"管理手当",O:O)
+SUMIF($C:$C,"在宅手当",O:O)
+SUMIF($C:$C,"特別手当",O:O)
+SUMIF($C:$C,"扶養家族手当",O:O)
+SUMIF($C:$C,"調整金",O:O)
+SUMIF($C:$C,"特別手当",INDEX(O:O,2,1))</f>
        <v>0</v>
      </c>
      <c r="P109" s="47">
        <f ca="1">SUMIF($C:$C,"役員手当",P:P)
+SUMIF($C:$C,"基本給",P:P)
+SUMIF($C:$C,"役職手当",P:P)
+SUMIF($C:$C,"営業手当",P:P)
+SUMIF($C:$C,"管理手当",P:P)
+SUMIF($C:$C,"在宅手当",P:P)
+SUMIF($C:$C,"特別手当",P:P)
+SUMIF($C:$C,"扶養家族手当",P:P)
+SUMIF($C:$C,"調整金",P:P)
+SUMIF($C:$C,"特別手当",INDEX(P:P,2,1))</f>
        <v>0</v>
      </c>
      <c r="Q109" s="49">
        <f ca="1">SUM(P109:P109)</f>
        <v>0</v>
      </c>
    </row>
    <row r="110" spans="1:17">
      <c r="A110" s="146" t="s">
        <v>41</v>
      </c>
      <c r="B110" s="147"/>
      <c r="C110" s="148"/>
      <c r="D110" s="50">
        <f>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</f>
        <v>58</v>
      </c>
      <c r="E110" s="50">
        <f ca="1">SUMIF($C:$C,"基本給",E:E)
+SUMIF($C:$C,"役職手当",E:E)
+SUMIF($C:$C,"営業手当",E:E)
+SUMIF($C:$C,"管理手当",E:E)
+SUMIF($C:$C,"在宅手当",E:E)
+SUMIF($C:$C,"特別手当",E:E)
+SUMIF($C:$C,"扶養家族手当",E:E)
+SUMIF($C:$C,"調整金",E:E)
+SUMIF($C:$C,"小計",E:E)
+SUMIF($C:$C,"特別手当",INDEX(E:E,2,1))</f>
        <v>0</v>
      </c>
      <c r="F110" s="50">
        <f ca="1">SUMIF($C:$C,"基本給",F:F)
+SUMIF($C:$C,"役職手当",F:F)
+SUMIF($C:$C,"営業手当",F:F)
+SUMIF($C:$C,"管理手当",F:F)
+SUMIF($C:$C,"在宅手当",F:F)
+SUMIF($C:$C,"特別手当",F:F)
+SUMIF($C:$C,"扶養家族手当",F:F)
+SUMIF($C:$C,"調整金",F:F)
+SUMIF($C:$C,"小計",F:F)
+SUMIF($C:$C,"特別手当",INDEX(F:F,2,1))</f>
        <v>0</v>
      </c>
      <c r="G110" s="50">
        <f ca="1">SUMIF($C:$C,"基本給",G:G)
+SUMIF($C:$C,"役職手当",G:G)
+SUMIF($C:$C,"営業手当",G:G)
+SUMIF($C:$C,"管理手当",G:G)
+SUMIF($C:$C,"在宅手当",G:G)
+SUMIF($C:$C,"特別手当",G:G)
+SUMIF($C:$C,"扶養家族手当",G:G)
+SUMIF($C:$C,"調整金",G:G)
+SUMIF($C:$C,"小計",G:G)
+SUMIF($C:$C,"特別手当",INDEX(G:G,2,1))</f>
        <v>0</v>
      </c>
      <c r="H110" s="50">
        <f ca="1">SUMIF($C:$C,"基本給",H:H)
+SUMIF($C:$C,"役職手当",H:H)
+SUMIF($C:$C,"営業手当",H:H)
+SUMIF($C:$C,"管理手当",H:H)
+SUMIF($C:$C,"在宅手当",H:H)
+SUMIF($C:$C,"特別手当",H:H)
+SUMIF($C:$C,"扶養家族手当",H:H)
+SUMIF($C:$C,"調整金",H:H)
+SUMIF($C:$C,"小計",H:H)
+SUMIF($C:$C,"特別手当",INDEX(H:H,2,1))</f>
        <v>0</v>
      </c>
      <c r="I110" s="50">
        <f ca="1">SUMIF($C:$C,"基本給",I:I)
+SUMIF($C:$C,"役職手当",I:I)
+SUMIF($C:$C,"営業手当",I:I)
+SUMIF($C:$C,"管理手当",I:I)
+SUMIF($C:$C,"在宅手当",I:I)
+SUMIF($C:$C,"特別手当",I:I)
+SUMIF($C:$C,"扶養家族手当",I:I)
+SUMIF($C:$C,"調整金",I:I)
+SUMIF($C:$C,"小計",I:I)
+SUMIF($C:$C,"特別手当",INDEX(I:I,2,1))</f>
        <v>0</v>
      </c>
      <c r="J110" s="50">
        <f>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</f>
        <v>0</v>
      </c>
      <c r="K110" s="50">
        <f ca="1">SUMIF($C:$C,"基本給",K:K)
+SUMIF($C:$C,"役職手当",K:K)
+SUMIF($C:$C,"営業手当",K:K)
+SUMIF($C:$C,"管理手当",K:K)
+SUMIF($C:$C,"在宅手当",K:K)
+SUMIF($C:$C,"特別手当",K:K)
+SUMIF($C:$C,"扶養家族手当",K:K)
+SUMIF($C:$C,"調整金",K:K)
+SUMIF($C:$C,"小計",K:K)
+SUMIF($C:$C,"特別手当",INDEX(K:K,2,1))</f>
        <v>0</v>
      </c>
      <c r="L110" s="50">
        <f ca="1">SUMIF($C:$C,"基本給",L:L)
+SUMIF($C:$C,"役職手当",L:L)
+SUMIF($C:$C,"営業手当",L:L)
+SUMIF($C:$C,"管理手当",L:L)
+SUMIF($C:$C,"在宅手当",L:L)
+SUMIF($C:$C,"特別手当",L:L)
+SUMIF($C:$C,"扶養家族手当",L:L)
+SUMIF($C:$C,"調整金",L:L)
+SUMIF($C:$C,"小計",L:L)
+SUMIF($C:$C,"特別手当",INDEX(L:L,2,1))</f>
        <v>0</v>
      </c>
      <c r="M110" s="50">
        <f ca="1">SUMIF($C:$C,"基本給",M:M)
+SUMIF($C:$C,"役職手当",M:M)
+SUMIF($C:$C,"営業手当",M:M)
+SUMIF($C:$C,"管理手当",M:M)
+SUMIF($C:$C,"在宅手当",M:M)
+SUMIF($C:$C,"特別手当",M:M)
+SUMIF($C:$C,"扶養家族手当",M:M)
+SUMIF($C:$C,"調整金",M:M)
+SUMIF($C:$C,"小計",M:M)
+SUMIF($C:$C,"特別手当",INDEX(M:M,2,1))</f>
        <v>0</v>
      </c>
      <c r="N110" s="50">
        <f ca="1">SUMIF($C:$C,"基本給",N:N)
+SUMIF($C:$C,"役職手当",N:N)
+SUMIF($C:$C,"営業手当",N:N)
+SUMIF($C:$C,"管理手当",N:N)
+SUMIF($C:$C,"在宅手当",N:N)
+SUMIF($C:$C,"特別手当",N:N)
+SUMIF($C:$C,"扶養家族手当",N:N)
+SUMIF($C:$C,"調整金",N:N)
+SUMIF($C:$C,"小計",N:N)
+SUMIF($C:$C,"特別手当",INDEX(N:N,2,1))</f>
        <v>0</v>
      </c>
      <c r="O110" s="50">
        <f ca="1">SUMIF($C:$C,"基本給",O:O)
+SUMIF($C:$C,"役職手当",O:O)
+SUMIF($C:$C,"営業手当",O:O)
+SUMIF($C:$C,"管理手当",O:O)
+SUMIF($C:$C,"在宅手当",O:O)
+SUMIF($C:$C,"特別手当",O:O)
+SUMIF($C:$C,"扶養家族手当",O:O)
+SUMIF($C:$C,"調整金",O:O)
+SUMIF($C:$C,"小計",O:O)
+SUMIF($C:$C,"特別手当",INDEX(O:O,2,1))</f>
        <v>0</v>
      </c>
      <c r="P110" s="50">
        <f ca="1">SUMIF($C:$C,"基本給",P:P)
+SUMIF($C:$C,"役職手当",P:P)
+SUMIF($C:$C,"営業手当",P:P)
+SUMIF($C:$C,"管理手当",P:P)
+SUMIF($C:$C,"在宅手当",P:P)
+SUMIF($C:$C,"特別手当",P:P)
+SUMIF($C:$C,"扶養家族手当",P:P)
+SUMIF($C:$C,"調整金",P:P)
+SUMIF($C:$C,"小計",P:P)
+SUMIF($C:$C,"特別手当",INDEX(P:P,2,1))</f>
        <v>0</v>
      </c>
      <c r="Q110" s="52">
        <f ca="1">SUM(P110:P110)</f>
        <v>0</v>
      </c>
    </row>
    <row r="111" spans="1:17">
      <c r="A111" s="146" t="s">
        <v>31</v>
      </c>
      <c r="B111" s="147"/>
      <c r="C111" s="148"/>
      <c r="D111" s="50">
        <f>SUMIF($B:$B,"計",D:D)</f>
        <v>517</v>
      </c>
      <c r="E111" s="50">
        <f>SUMIF($B:$B,"計",E:E)</f>
        <v>0</v>
      </c>
      <c r="F111" s="50">
        <f>SUMIF($B:$B,"計",F:F)</f>
        <v>50</v>
      </c>
      <c r="G111" s="50">
        <f>SUMIF($B:$B,"計",G:G)</f>
        <v>0</v>
      </c>
      <c r="H111" s="50">
        <f>SUMIF($B:$B,"計",H:H)</f>
        <v>0</v>
      </c>
      <c r="I111" s="50">
        <f>SUMIF($B:$B,"計",I:I)</f>
        <v>0</v>
      </c>
      <c r="J111" s="50">
        <f>SUMIF($B:$B,"計",J:J)</f>
        <v>0</v>
      </c>
      <c r="K111" s="50">
        <f>SUMIF($B:$B,"計",K:K)</f>
        <v>0</v>
      </c>
      <c r="L111" s="50">
        <f>SUMIF($B:$B,"計",L:L)</f>
        <v>0</v>
      </c>
      <c r="M111" s="50">
        <f>SUMIF($B:$B,"計",M:M)</f>
        <v>0</v>
      </c>
      <c r="N111" s="50">
        <f>SUMIF($B:$B,"計",N:N)</f>
        <v>0</v>
      </c>
      <c r="O111" s="50">
        <f>SUMIF($B:$B,"計",O:O)</f>
        <v>0</v>
      </c>
      <c r="P111" s="50">
        <f>SUMIF($B:$B,"計",P:P)</f>
        <v>0</v>
      </c>
      <c r="Q111" s="52">
        <f t="shared" ref="Q111:Q116" si="16">SUM(P111:P111)</f>
        <v>0</v>
      </c>
    </row>
    <row r="112" spans="1:17">
      <c r="A112" s="146" t="s">
        <v>20</v>
      </c>
      <c r="B112" s="147"/>
      <c r="C112" s="148"/>
      <c r="D112" s="53">
        <f>SUMIF($C:$C,"所得税",D:D)</f>
        <v>0</v>
      </c>
      <c r="E112" s="53">
        <f>SUMIF($C:$C,"所得税",E:E)</f>
        <v>0</v>
      </c>
      <c r="F112" s="53">
        <f>SUMIF($C:$C,"所得税",F:F)</f>
        <v>0</v>
      </c>
      <c r="G112" s="53">
        <f>SUMIF($C:$C,"所得税",G:G)</f>
        <v>0</v>
      </c>
      <c r="H112" s="53">
        <f>SUMIF($C:$C,"所得税",H:H)</f>
        <v>0</v>
      </c>
      <c r="I112" s="53">
        <f>SUMIF($C:$C,"所得税",I:I)</f>
        <v>0</v>
      </c>
      <c r="J112" s="53">
        <f>SUMIF($C:$C,"所得税",J:J)</f>
        <v>0</v>
      </c>
      <c r="K112" s="53">
        <f>SUMIF($C:$C,"所得税",K:K)</f>
        <v>0</v>
      </c>
      <c r="L112" s="53">
        <f>SUMIF($C:$C,"所得税",L:L)</f>
        <v>0</v>
      </c>
      <c r="M112" s="53">
        <f>SUMIF($C:$C,"所得税",M:M)</f>
        <v>0</v>
      </c>
      <c r="N112" s="53">
        <f>SUMIF($C:$C,"所得税",N:N)</f>
        <v>0</v>
      </c>
      <c r="O112" s="53">
        <f>SUMIF($C:$C,"所得税",O:O)</f>
        <v>0</v>
      </c>
      <c r="P112" s="53">
        <f>SUMIF($C:$C,"所得税",P:P)</f>
        <v>0</v>
      </c>
      <c r="Q112" s="52">
        <f t="shared" si="16"/>
        <v>0</v>
      </c>
    </row>
    <row r="113" spans="1:17">
      <c r="A113" s="146" t="s">
        <v>43</v>
      </c>
      <c r="B113" s="147"/>
      <c r="C113" s="148"/>
      <c r="D113" s="53">
        <f>SUMIF($C:$C,"住民税",D:D)</f>
        <v>0</v>
      </c>
      <c r="E113" s="53">
        <f>SUMIF($C:$C,"住民税",E:E)</f>
        <v>0</v>
      </c>
      <c r="F113" s="53">
        <f>SUMIF($C:$C,"住民税",F:F)</f>
        <v>0</v>
      </c>
      <c r="G113" s="53">
        <f>SUMIF($C:$C,"住民税",G:G)</f>
        <v>0</v>
      </c>
      <c r="H113" s="53">
        <f>SUMIF($C:$C,"住民税",H:H)</f>
        <v>0</v>
      </c>
      <c r="I113" s="53">
        <f>SUMIF($C:$C,"住民税",I:I)</f>
        <v>0</v>
      </c>
      <c r="J113" s="53">
        <f>SUMIF($C:$C,"住民税",J:J)</f>
        <v>0</v>
      </c>
      <c r="K113" s="53">
        <f>SUMIF($C:$C,"住民税",K:K)</f>
        <v>0</v>
      </c>
      <c r="L113" s="53">
        <f>SUMIF($C:$C,"住民税",L:L)</f>
        <v>0</v>
      </c>
      <c r="M113" s="53">
        <f>SUMIF($C:$C,"住民税",M:M)</f>
        <v>0</v>
      </c>
      <c r="N113" s="53">
        <f>SUMIF($C:$C,"住民税",N:N)</f>
        <v>0</v>
      </c>
      <c r="O113" s="53">
        <f>SUMIF($C:$C,"住民税",O:O)</f>
        <v>0</v>
      </c>
      <c r="P113" s="53">
        <f>SUMIF($C:$C,"住民税",P:P)</f>
        <v>0</v>
      </c>
      <c r="Q113" s="52">
        <f t="shared" si="16"/>
        <v>0</v>
      </c>
    </row>
    <row r="114" spans="1:17">
      <c r="A114" s="146" t="s">
        <v>53</v>
      </c>
      <c r="B114" s="147"/>
      <c r="C114" s="148"/>
      <c r="D114" s="53">
        <f>SUMIF($C:$C,"健康保険料",D:D)+SUMIF($C:$C,"厚生年金",D:D)</f>
        <v>0</v>
      </c>
      <c r="E114" s="53">
        <f>SUMIF($C:$C,"健康保険料",E:E)+SUMIF($C:$C,"厚生年金",E:E)</f>
        <v>0</v>
      </c>
      <c r="F114" s="53">
        <f>SUMIF($C:$C,"健康保険料",F:F)+SUMIF($C:$C,"厚生年金",F:F)</f>
        <v>0</v>
      </c>
      <c r="G114" s="53">
        <f>SUMIF($C:$C,"健康保険料",G:G)+SUMIF($C:$C,"厚生年金",G:G)</f>
        <v>0</v>
      </c>
      <c r="H114" s="53">
        <f>SUMIF($C:$C,"健康保険料",H:H)+SUMIF($C:$C,"厚生年金",H:H)</f>
        <v>0</v>
      </c>
      <c r="I114" s="53">
        <f>SUMIF($C:$C,"健康保険料",I:I)+SUMIF($C:$C,"厚生年金",I:I)</f>
        <v>0</v>
      </c>
      <c r="J114" s="53">
        <f>SUMIF($C:$C,"健康保険料",J:J)+SUMIF($C:$C,"厚生年金",J:J)</f>
        <v>0</v>
      </c>
      <c r="K114" s="53">
        <f>SUMIF($C:$C,"健康保険料",K:K)+SUMIF($C:$C,"厚生年金",K:K)</f>
        <v>0</v>
      </c>
      <c r="L114" s="53">
        <f>SUMIF($C:$C,"健康保険料",L:L)+SUMIF($C:$C,"厚生年金",L:L)</f>
        <v>0</v>
      </c>
      <c r="M114" s="53">
        <f>SUMIF($C:$C,"健康保険料",M:M)+SUMIF($C:$C,"厚生年金",M:M)</f>
        <v>0</v>
      </c>
      <c r="N114" s="53">
        <f>SUMIF($C:$C,"健康保険料",N:N)+SUMIF($C:$C,"厚生年金",N:N)</f>
        <v>0</v>
      </c>
      <c r="O114" s="53">
        <f>SUMIF($C:$C,"健康保険料",O:O)+SUMIF($C:$C,"厚生年金",O:O)</f>
        <v>0</v>
      </c>
      <c r="P114" s="53">
        <f>SUMIF($C:$C,"健康保険料",P:P)+SUMIF($C:$C,"厚生年金",P:P)</f>
        <v>0</v>
      </c>
      <c r="Q114" s="52">
        <f t="shared" si="16"/>
        <v>0</v>
      </c>
    </row>
    <row r="115" spans="1:17">
      <c r="A115" s="146" t="s">
        <v>22</v>
      </c>
      <c r="B115" s="147"/>
      <c r="C115" s="148"/>
      <c r="D115" s="53">
        <f>SUMIF($C:$C,"雇用保険",D:D)</f>
        <v>0</v>
      </c>
      <c r="E115" s="53">
        <f>SUMIF($C:$C,"雇用保険",E:E)</f>
        <v>0</v>
      </c>
      <c r="F115" s="53">
        <f>SUMIF($C:$C,"雇用保険",F:F)</f>
        <v>0</v>
      </c>
      <c r="G115" s="53">
        <f>SUMIF($C:$C,"雇用保険",G:G)</f>
        <v>0</v>
      </c>
      <c r="H115" s="53">
        <f>SUMIF($C:$C,"雇用保険",H:H)</f>
        <v>0</v>
      </c>
      <c r="I115" s="53">
        <f>SUMIF($C:$C,"雇用保険",I:I)</f>
        <v>0</v>
      </c>
      <c r="J115" s="53">
        <f>SUMIF($C:$C,"雇用保険",J:J)</f>
        <v>0</v>
      </c>
      <c r="K115" s="53">
        <f>SUMIF($C:$C,"雇用保険",K:K)</f>
        <v>0</v>
      </c>
      <c r="L115" s="53">
        <f>SUMIF($C:$C,"雇用保険",L:L)</f>
        <v>0</v>
      </c>
      <c r="M115" s="53">
        <f>SUMIF($C:$C,"雇用保険",M:M)</f>
        <v>0</v>
      </c>
      <c r="N115" s="53">
        <f>SUMIF($C:$C,"雇用保険",N:N)</f>
        <v>0</v>
      </c>
      <c r="O115" s="53">
        <f>SUMIF($C:$C,"雇用保険",O:O)</f>
        <v>0</v>
      </c>
      <c r="P115" s="53">
        <f>SUMIF($C:$C,"雇用保険",P:P)</f>
        <v>0</v>
      </c>
      <c r="Q115" s="52">
        <f t="shared" si="16"/>
        <v>0</v>
      </c>
    </row>
    <row r="116" spans="1:17">
      <c r="A116" s="146" t="s">
        <v>21</v>
      </c>
      <c r="B116" s="147"/>
      <c r="C116" s="148"/>
      <c r="D116" s="53">
        <f>SUMIF($C:$C,"交通費",D:D)</f>
        <v>0</v>
      </c>
      <c r="E116" s="53">
        <f>SUMIF($C:$C,"交通費",E:E)</f>
        <v>0</v>
      </c>
      <c r="F116" s="53">
        <f>SUMIF($C:$C,"交通費",F:F)</f>
        <v>0</v>
      </c>
      <c r="G116" s="53">
        <f>SUMIF($C:$C,"交通費",G:G)</f>
        <v>0</v>
      </c>
      <c r="H116" s="53">
        <f>SUMIF($C:$C,"交通費",H:H)</f>
        <v>0</v>
      </c>
      <c r="I116" s="53">
        <f>SUMIF($C:$C,"交通費",I:I)</f>
        <v>0</v>
      </c>
      <c r="J116" s="53">
        <f>SUMIF($C:$C,"交通費",J:J)</f>
        <v>0</v>
      </c>
      <c r="K116" s="53">
        <f>SUMIF($C:$C,"交通費",K:K)</f>
        <v>0</v>
      </c>
      <c r="L116" s="53">
        <f>SUMIF($C:$C,"交通費",L:L)</f>
        <v>0</v>
      </c>
      <c r="M116" s="53">
        <f>SUMIF($C:$C,"交通費",M:M)</f>
        <v>0</v>
      </c>
      <c r="N116" s="53">
        <f>SUMIF($C:$C,"交通費",N:N)</f>
        <v>0</v>
      </c>
      <c r="O116" s="53">
        <f>SUMIF($C:$C,"交通費",O:O)</f>
        <v>0</v>
      </c>
      <c r="P116" s="53">
        <f>SUMIF($C:$C,"交通費",P:P)</f>
        <v>0</v>
      </c>
      <c r="Q116" s="52">
        <f t="shared" si="16"/>
        <v>0</v>
      </c>
    </row>
    <row r="117" spans="1:17" ht="14.25" thickBot="1">
      <c r="A117" s="186" t="s">
        <v>57</v>
      </c>
      <c r="B117" s="187"/>
      <c r="C117" s="188"/>
      <c r="D117" s="55">
        <f>SUMIF($C:$C,"*精算分*",D:D)</f>
        <v>0</v>
      </c>
      <c r="E117" s="55">
        <f>SUMIF($C:$C,"*精算分*",E:E)</f>
        <v>0</v>
      </c>
      <c r="F117" s="55">
        <f>SUMIF($C:$C,"*精算分*",F:F)</f>
        <v>0</v>
      </c>
      <c r="G117" s="55">
        <f>SUMIF($C:$C,"*精算分*",G:G)</f>
        <v>0</v>
      </c>
      <c r="H117" s="55">
        <f>SUMIF($C:$C,"*精算分*",H:H)</f>
        <v>0</v>
      </c>
      <c r="I117" s="55">
        <f>SUMIF($C:$C,"*精算分*",I:I)</f>
        <v>0</v>
      </c>
      <c r="J117" s="55">
        <f>SUMIF($C:$C,"*精算分*",J:J)</f>
        <v>0</v>
      </c>
      <c r="K117" s="55">
        <f>SUMIF($C:$C,"*精算分*",K:K)</f>
        <v>0</v>
      </c>
      <c r="L117" s="55">
        <f>SUMIF($C:$C,"*精算分*",L:L)</f>
        <v>0</v>
      </c>
      <c r="M117" s="55">
        <f>SUMIF($C:$C,"*精算分*",M:M)</f>
        <v>0</v>
      </c>
      <c r="N117" s="55">
        <f>SUMIF($C:$C,"*精算分*",N:N)</f>
        <v>0</v>
      </c>
      <c r="O117" s="55">
        <f>SUMIF($C:$C,"*精算分*",O:O)</f>
        <v>0</v>
      </c>
      <c r="P117" s="55">
        <f>SUMIF($C:$C,"*精算分*",P:P)</f>
        <v>0</v>
      </c>
      <c r="Q117" s="45">
        <f>SUM(P117:P117)</f>
        <v>0</v>
      </c>
    </row>
    <row r="118" spans="1:17">
      <c r="A118" s="26"/>
      <c r="B118" s="26"/>
      <c r="C118" s="26"/>
      <c r="D118" s="24"/>
      <c r="E118" s="24"/>
      <c r="F118" s="24"/>
      <c r="G118" s="24"/>
      <c r="H118" s="24"/>
      <c r="I118" s="37"/>
      <c r="J118" s="37"/>
      <c r="K118" s="37"/>
      <c r="L118" s="24"/>
      <c r="M118" s="24"/>
      <c r="N118" s="24"/>
      <c r="O118" s="24"/>
      <c r="P118" s="24"/>
      <c r="Q118" s="25"/>
    </row>
    <row r="120" spans="1:17">
      <c r="A120" s="10"/>
      <c r="C120" s="104" t="s">
        <v>81</v>
      </c>
      <c r="D120" s="1">
        <f>SUMIF($C:$C,"基本給 ",D:D)
+SUMIF($C:$C,"役職手当 ",D:D)
+SUMIF($C:$C,"営業手当 ",D:D)
+SUMIF($C:$C,"管理手当 ",D:D)
+SUMIF($C:$C,"住宅手当 ",D:D)
+SUMIF($C:$C,"特別手当 ",D:D)
+SUMIF($C:$C,"扶養家族手当 ",D:D)
+SUMIF($C:$C,"調整金 ",D:D)</f>
        <v>512</v>
      </c>
      <c r="E120" s="1">
        <f>SUMIF($C:$C,"基本給 ",E:E)
+SUMIF($C:$C,"役職手当 ",E:E)
+SUMIF($C:$C,"営業手当 ",E:E)
+SUMIF($C:$C,"管理手当 ",E:E)
+SUMIF($C:$C,"住宅手当 ",E:E)
+SUMIF($C:$C,"特別手当 ",E:E)
+SUMIF($C:$C,"扶養家族手当 ",E:E)
+SUMIF($C:$C,"調整金 ",E:E)</f>
        <v>0</v>
      </c>
      <c r="F120" s="1">
        <f>SUMIF($C:$C,"基本給 ",F:F)
+SUMIF($C:$C,"役職手当 ",F:F)
+SUMIF($C:$C,"営業手当 ",F:F)
+SUMIF($C:$C,"管理手当 ",F:F)
+SUMIF($C:$C,"住宅手当 ",F:F)
+SUMIF($C:$C,"特別手当 ",F:F)
+SUMIF($C:$C,"扶養家族手当 ",F:F)
+SUMIF($C:$C,"調整金 ",F:F)</f>
        <v>50</v>
      </c>
      <c r="G120" s="1">
        <f>SUMIF($C:$C,"基本給 ",G:G)
+SUMIF($C:$C,"役職手当 ",G:G)
+SUMIF($C:$C,"営業手当 ",G:G)
+SUMIF($C:$C,"管理手当 ",G:G)
+SUMIF($C:$C,"住宅手当 ",G:G)
+SUMIF($C:$C,"特別手当 ",G:G)
+SUMIF($C:$C,"扶養家族手当 ",G:G)
+SUMIF($C:$C,"調整金 ",G:G)</f>
        <v>0</v>
      </c>
      <c r="H120" s="1">
        <f>SUMIF($C:$C,"基本給 ",H:H)
+SUMIF($C:$C,"役職手当 ",H:H)
+SUMIF($C:$C,"営業手当 ",H:H)
+SUMIF($C:$C,"管理手当 ",H:H)
+SUMIF($C:$C,"住宅手当 ",H:H)
+SUMIF($C:$C,"特別手当 ",H:H)
+SUMIF($C:$C,"扶養家族手当 ",H:H)
+SUMIF($C:$C,"調整金 ",H:H)</f>
        <v>0</v>
      </c>
      <c r="I120" s="1">
        <f>SUMIF($C:$C,"基本給 ",I:I)
+SUMIF($C:$C,"役職手当 ",I:I)
+SUMIF($C:$C,"営業手当 ",I:I)
+SUMIF($C:$C,"管理手当 ",I:I)
+SUMIF($C:$C,"住宅手当 ",I:I)
+SUMIF($C:$C,"特別手当 ",I:I)
+SUMIF($C:$C,"扶養家族手当 ",I:I)
+SUMIF($C:$C,"調整金 ",I:I)</f>
        <v>0</v>
      </c>
      <c r="J120" s="1">
        <f>SUMIF($C:$C,"基本給 ",J:J)
+SUMIF($C:$C,"役職手当 ",J:J)
+SUMIF($C:$C,"営業手当 ",J:J)
+SUMIF($C:$C,"管理手当 ",J:J)
+SUMIF($C:$C,"住宅手当 ",J:J)
+SUMIF($C:$C,"特別手当 ",J:J)
+SUMIF($C:$C,"扶養家族手当 ",J:J)
+SUMIF($C:$C,"調整金 ",J:J)</f>
        <v>0</v>
      </c>
      <c r="K120" s="1">
        <f>SUMIF($C:$C,"基本給 ",K:K)
+SUMIF($C:$C,"役職手当 ",K:K)
+SUMIF($C:$C,"営業手当 ",K:K)
+SUMIF($C:$C,"管理手当 ",K:K)
+SUMIF($C:$C,"住宅手当 ",K:K)
+SUMIF($C:$C,"特別手当 ",K:K)
+SUMIF($C:$C,"扶養家族手当 ",K:K)
+SUMIF($C:$C,"調整金 ",K:K)</f>
        <v>0</v>
      </c>
      <c r="L120" s="1">
        <f>SUMIF($C:$C,"基本給 ",L:L)
+SUMIF($C:$C,"役職手当 ",L:L)
+SUMIF($C:$C,"営業手当 ",L:L)
+SUMIF($C:$C,"管理手当 ",L:L)
+SUMIF($C:$C,"住宅手当 ",L:L)
+SUMIF($C:$C,"特別手当 ",L:L)
+SUMIF($C:$C,"扶養家族手当 ",L:L)
+SUMIF($C:$C,"調整金 ",L:L)</f>
        <v>5</v>
      </c>
      <c r="M120" s="1">
        <f>SUMIF($C:$C,"基本給 ",M:M)
+SUMIF($C:$C,"役職手当 ",M:M)
+SUMIF($C:$C,"営業手当 ",M:M)
+SUMIF($C:$C,"管理手当 ",M:M)
+SUMIF($C:$C,"住宅手当 ",M:M)
+SUMIF($C:$C,"特別手当 ",M:M)
+SUMIF($C:$C,"扶養家族手当 ",M:M)
+SUMIF($C:$C,"調整金 ",M:M)</f>
        <v>0</v>
      </c>
      <c r="N120" s="1">
        <f>SUMIF($C:$C,"基本給 ",N:N)
+SUMIF($C:$C,"役職手当 ",N:N)
+SUMIF($C:$C,"営業手当 ",N:N)
+SUMIF($C:$C,"管理手当 ",N:N)
+SUMIF($C:$C,"住宅手当 ",N:N)
+SUMIF($C:$C,"特別手当 ",N:N)
+SUMIF($C:$C,"扶養家族手当 ",N:N)
+SUMIF($C:$C,"調整金 ",N:N)</f>
        <v>0</v>
      </c>
      <c r="O120" s="1">
        <f>SUMIF($C:$C,"基本給 ",O:O)
+SUMIF($C:$C,"役職手当 ",O:O)
+SUMIF($C:$C,"営業手当 ",O:O)
+SUMIF($C:$C,"管理手当 ",O:O)
+SUMIF($C:$C,"住宅手当 ",O:O)
+SUMIF($C:$C,"特別手当 ",O:O)
+SUMIF($C:$C,"扶養家族手当 ",O:O)
+SUMIF($C:$C,"調整金 ",O:O)</f>
        <v>0</v>
      </c>
    </row>
    <row r="121" spans="1:17">
      <c r="A121" s="10"/>
      <c r="C121" s="104" t="s">
        <v>82</v>
      </c>
      <c r="D121" s="36">
        <f ca="1">SUMIF($C:$C,"小計",D:D)
+SUMIF($C:$C,"営業手当",D:D)
+SUMIF($C:$C,"管理手当",D:D)
+SUMIF($C:$C,"住宅手当",D:D)
+SUMIF($C:$C,"特別手当",D:D)
+SUMIF($C:$C,"特別手当",INDEX(D:D,2,1))
+SUMIF($C:$C,"特別手当",INDEX(D:D,3,1))
+SUMIF($C:$C,"調整金",D:D)</f>
        <v>0</v>
      </c>
      <c r="E121" s="36">
        <f ca="1">SUMIF($C:$C,"小計",E:E)
+SUMIF($C:$C,"営業手当",E:E)
+SUMIF($C:$C,"管理手当",E:E)
+SUMIF($C:$C,"住宅手当",E:E)
+SUMIF($C:$C,"特別手当",E:E)
+SUMIF($C:$C,"特別手当",INDEX(E:E,2,1))
+SUMIF($C:$C,"特別手当",INDEX(E:E,3,1))
+SUMIF($C:$C,"調整金",E:E)</f>
        <v>0</v>
      </c>
      <c r="F121" s="36">
        <f ca="1">SUMIF($C:$C,"小計",F:F)
+SUMIF($C:$C,"営業手当",F:F)
+SUMIF($C:$C,"管理手当",F:F)
+SUMIF($C:$C,"住宅手当",F:F)
+SUMIF($C:$C,"特別手当",F:F)
+SUMIF($C:$C,"特別手当",INDEX(F:F,2,1))
+SUMIF($C:$C,"特別手当",INDEX(F:F,3,1))
+SUMIF($C:$C,"調整金",F:F)</f>
        <v>0</v>
      </c>
      <c r="G121" s="36">
        <f ca="1">SUMIF($C:$C,"小計",G:G)
+SUMIF($C:$C,"営業手当",G:G)
+SUMIF($C:$C,"管理手当",G:G)
+SUMIF($C:$C,"住宅手当",G:G)
+SUMIF($C:$C,"特別手当",G:G)
+SUMIF($C:$C,"特別手当",INDEX(G:G,2,1))
+SUMIF($C:$C,"特別手当",INDEX(G:G,3,1))
+SUMIF($C:$C,"調整金",G:G)</f>
        <v>0</v>
      </c>
      <c r="H121" s="36">
        <f ca="1">SUMIF($C:$C,"小計",H:H)
+SUMIF($C:$C,"営業手当",H:H)
+SUMIF($C:$C,"管理手当",H:H)
+SUMIF($C:$C,"住宅手当",H:H)
+SUMIF($C:$C,"特別手当",H:H)
+SUMIF($C:$C,"特別手当",INDEX(H:H,2,1))
+SUMIF($C:$C,"特別手当",INDEX(H:H,3,1))
+SUMIF($C:$C,"調整金",H:H)</f>
        <v>0</v>
      </c>
      <c r="I121" s="36">
        <f ca="1">SUMIF($C:$C,"小計",I:I)
+SUMIF($C:$C,"営業手当",I:I)
+SUMIF($C:$C,"管理手当",I:I)
+SUMIF($C:$C,"住宅手当",I:I)
+SUMIF($C:$C,"特別手当",I:I)
+SUMIF($C:$C,"特別手当",INDEX(I:I,2,1))
+SUMIF($C:$C,"特別手当",INDEX(I:I,3,1))
+SUMIF($C:$C,"調整金",I:I)</f>
        <v>0</v>
      </c>
      <c r="J121" s="36">
        <f ca="1">SUMIF($C:$C,"小計",J:J)
+SUMIF($C:$C,"営業手当",J:J)
+SUMIF($C:$C,"管理手当",J:J)
+SUMIF($C:$C,"住宅手当",J:J)
+SUMIF($C:$C,"特別手当",J:J)
+SUMIF($C:$C,"特別手当",INDEX(J:J,2,1))
+SUMIF($C:$C,"特別手当",INDEX(J:J,3,1))
+SUMIF($C:$C,"調整金",J:J)</f>
        <v>0</v>
      </c>
      <c r="K121" s="36">
        <f ca="1">SUMIF($C:$C,"小計",K:K)
+SUMIF($C:$C,"営業手当",K:K)
+SUMIF($C:$C,"管理手当",K:K)
+SUMIF($C:$C,"住宅手当",K:K)
+SUMIF($C:$C,"特別手当",K:K)
+SUMIF($C:$C,"特別手当",INDEX(K:K,2,1))
+SUMIF($C:$C,"特別手当",INDEX(K:K,3,1))
+SUMIF($C:$C,"調整金",K:K)</f>
        <v>0</v>
      </c>
      <c r="L121" s="36">
        <f ca="1">SUMIF($C:$C,"小計",L:L)
+SUMIF($C:$C,"営業手当",L:L)
+SUMIF($C:$C,"管理手当",L:L)
+SUMIF($C:$C,"住宅手当",L:L)
+SUMIF($C:$C,"特別手当",L:L)
+SUMIF($C:$C,"特別手当",INDEX(L:L,2,1))
+SUMIF($C:$C,"特別手当",INDEX(L:L,3,1))
+SUMIF($C:$C,"調整金",L:L)</f>
        <v>0</v>
      </c>
      <c r="M121" s="36">
        <f ca="1">SUMIF($C:$C,"小計",M:M)
+SUMIF($C:$C,"営業手当",M:M)
+SUMIF($C:$C,"管理手当",M:M)
+SUMIF($C:$C,"住宅手当",M:M)
+SUMIF($C:$C,"特別手当",M:M)
+SUMIF($C:$C,"特別手当",INDEX(M:M,2,1))
+SUMIF($C:$C,"特別手当",INDEX(M:M,3,1))
+SUMIF($C:$C,"調整金",M:M)</f>
        <v>0</v>
      </c>
      <c r="N121" s="36">
        <f ca="1">SUMIF($C:$C,"小計",N:N)
+SUMIF($C:$C,"営業手当",N:N)
+SUMIF($C:$C,"管理手当",N:N)
+SUMIF($C:$C,"住宅手当",N:N)
+SUMIF($C:$C,"特別手当",N:N)
+SUMIF($C:$C,"特別手当",INDEX(N:N,2,1))
+SUMIF($C:$C,"特別手当",INDEX(N:N,3,1))
+SUMIF($C:$C,"調整金",N:N)</f>
        <v>0</v>
      </c>
      <c r="O121" s="36">
        <f ca="1">SUMIF($C:$C,"小計",O:O)
+SUMIF($C:$C,"営業手当",O:O)
+SUMIF($C:$C,"管理手当",O:O)
+SUMIF($C:$C,"住宅手当",O:O)
+SUMIF($C:$C,"特別手当",O:O)
+SUMIF($C:$C,"特別手当",INDEX(O:O,2,1))
+SUMIF($C:$C,"特別手当",INDEX(O:O,3,1))
+SUMIF($C:$C,"調整金",O:O)</f>
        <v>0</v>
      </c>
    </row>
    <row r="122" spans="1:17">
      <c r="A122" s="10"/>
      <c r="B122" s="11"/>
    </row>
  </sheetData>
  <mergeCells count="44">
    <mergeCell ref="A90:A108"/>
    <mergeCell ref="B90:B97"/>
    <mergeCell ref="B98:B102"/>
    <mergeCell ref="B103:B106"/>
    <mergeCell ref="B107:C107"/>
    <mergeCell ref="B108:C108"/>
    <mergeCell ref="A52:A70"/>
    <mergeCell ref="B52:B59"/>
    <mergeCell ref="B60:B64"/>
    <mergeCell ref="B65:B68"/>
    <mergeCell ref="B69:C69"/>
    <mergeCell ref="B70:C70"/>
    <mergeCell ref="A71:A89"/>
    <mergeCell ref="B71:B78"/>
    <mergeCell ref="B79:B83"/>
    <mergeCell ref="B84:B87"/>
    <mergeCell ref="B88:C88"/>
    <mergeCell ref="B89:C89"/>
    <mergeCell ref="A33:A51"/>
    <mergeCell ref="B33:B40"/>
    <mergeCell ref="B41:B45"/>
    <mergeCell ref="B46:B49"/>
    <mergeCell ref="B50:C50"/>
    <mergeCell ref="B51:C51"/>
    <mergeCell ref="B3:C3"/>
    <mergeCell ref="A4:A13"/>
    <mergeCell ref="B5:B9"/>
    <mergeCell ref="B10:B12"/>
    <mergeCell ref="B13:C13"/>
    <mergeCell ref="B32:C32"/>
    <mergeCell ref="A14:A32"/>
    <mergeCell ref="B14:B21"/>
    <mergeCell ref="B22:B26"/>
    <mergeCell ref="B27:B30"/>
    <mergeCell ref="B31:C31"/>
    <mergeCell ref="A115:C115"/>
    <mergeCell ref="A116:C116"/>
    <mergeCell ref="A117:C117"/>
    <mergeCell ref="A109:C109"/>
    <mergeCell ref="A110:C110"/>
    <mergeCell ref="A111:C111"/>
    <mergeCell ref="A112:C112"/>
    <mergeCell ref="A113:C113"/>
    <mergeCell ref="A114:C114"/>
  </mergeCells>
  <phoneticPr fontId="3"/>
  <pageMargins left="0.47244094488188981" right="0.39370078740157483" top="0.78740157480314965" bottom="0.39" header="0.59055118110236227" footer="0.2"/>
  <pageSetup paperSize="9" scale="65" orientation="landscape" r:id="rId1"/>
  <headerFooter alignWithMargins="0">
    <oddHeader>&amp;L&amp;"ＭＳ Ｐゴシック,太字"&amp;12フリーメーク　社員給与明細&amp;R&amp;P / &amp;N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rgb="FF92D050"/>
  </sheetPr>
  <dimension ref="A1:Q50"/>
  <sheetViews>
    <sheetView tabSelected="1" zoomScale="90" zoomScaleNormal="9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G24" sqref="G24"/>
    </sheetView>
  </sheetViews>
  <sheetFormatPr defaultRowHeight="13.5"/>
  <cols>
    <col min="1" max="1" width="3.625" customWidth="1"/>
    <col min="2" max="2" width="18.125" customWidth="1"/>
    <col min="3" max="3" width="13.25" bestFit="1" customWidth="1"/>
    <col min="4" max="4" width="11.625" customWidth="1"/>
    <col min="5" max="6" width="14.125" bestFit="1" customWidth="1"/>
    <col min="7" max="14" width="11.625" customWidth="1"/>
    <col min="15" max="15" width="14.125" customWidth="1"/>
    <col min="17" max="17" width="15.25" bestFit="1" customWidth="1"/>
  </cols>
  <sheetData>
    <row r="1" spans="1:17" ht="18.75">
      <c r="A1" s="67" t="s">
        <v>80</v>
      </c>
      <c r="B1" s="68"/>
      <c r="C1" s="68"/>
      <c r="D1" s="68"/>
      <c r="E1" s="68"/>
    </row>
    <row r="2" spans="1:17" ht="18.75">
      <c r="A2" s="65"/>
      <c r="G2">
        <f>SUM(C6:G6)</f>
        <v>6</v>
      </c>
    </row>
    <row r="3" spans="1:17">
      <c r="A3" s="64"/>
      <c r="B3" s="64"/>
      <c r="C3" s="75" t="s">
        <v>37</v>
      </c>
      <c r="D3" s="75" t="s">
        <v>28</v>
      </c>
      <c r="E3" s="75" t="s">
        <v>32</v>
      </c>
      <c r="F3" s="75" t="s">
        <v>33</v>
      </c>
      <c r="G3" s="76" t="s">
        <v>34</v>
      </c>
      <c r="H3" s="76" t="s">
        <v>35</v>
      </c>
      <c r="I3" s="76" t="s">
        <v>36</v>
      </c>
      <c r="J3" s="76" t="s">
        <v>24</v>
      </c>
      <c r="K3" s="75" t="s">
        <v>25</v>
      </c>
      <c r="L3" s="75" t="s">
        <v>26</v>
      </c>
      <c r="M3" s="75" t="s">
        <v>23</v>
      </c>
      <c r="N3" s="75" t="s">
        <v>27</v>
      </c>
      <c r="O3" s="72"/>
    </row>
    <row r="4" spans="1:17">
      <c r="A4" s="180" t="s">
        <v>0</v>
      </c>
      <c r="B4" s="180"/>
      <c r="C4" s="66" t="s">
        <v>44</v>
      </c>
      <c r="D4" s="66" t="s">
        <v>45</v>
      </c>
      <c r="E4" s="66" t="s">
        <v>46</v>
      </c>
      <c r="F4" s="66" t="s">
        <v>47</v>
      </c>
      <c r="G4" s="66" t="s">
        <v>48</v>
      </c>
      <c r="H4" s="66" t="s">
        <v>2</v>
      </c>
      <c r="I4" s="66" t="s">
        <v>3</v>
      </c>
      <c r="J4" s="66" t="s">
        <v>49</v>
      </c>
      <c r="K4" s="66" t="s">
        <v>50</v>
      </c>
      <c r="L4" s="66" t="s">
        <v>51</v>
      </c>
      <c r="M4" s="66" t="s">
        <v>59</v>
      </c>
      <c r="N4" s="66" t="s">
        <v>29</v>
      </c>
      <c r="O4" s="66" t="s">
        <v>64</v>
      </c>
      <c r="Q4" s="66" t="s">
        <v>69</v>
      </c>
    </row>
    <row r="5" spans="1:17"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70"/>
    </row>
    <row r="6" spans="1:17">
      <c r="A6" s="73" t="s">
        <v>62</v>
      </c>
      <c r="B6" s="73"/>
      <c r="C6" s="83">
        <v>4</v>
      </c>
      <c r="D6" s="83">
        <f>COUNTIF(D8:D12,"&lt;&gt;0")</f>
        <v>0</v>
      </c>
      <c r="E6" s="83">
        <f t="shared" ref="D6:N6" si="0">COUNTIF(E8:E12,"&lt;&gt;0")</f>
        <v>2</v>
      </c>
      <c r="F6" s="83">
        <f t="shared" si="0"/>
        <v>0</v>
      </c>
      <c r="G6" s="83">
        <f t="shared" si="0"/>
        <v>0</v>
      </c>
      <c r="H6" s="83">
        <f t="shared" si="0"/>
        <v>0</v>
      </c>
      <c r="I6" s="83">
        <f t="shared" si="0"/>
        <v>0</v>
      </c>
      <c r="J6" s="83">
        <f t="shared" si="0"/>
        <v>0</v>
      </c>
      <c r="K6" s="83">
        <f t="shared" si="0"/>
        <v>1</v>
      </c>
      <c r="L6" s="83">
        <f t="shared" si="0"/>
        <v>0</v>
      </c>
      <c r="M6" s="83">
        <f t="shared" si="0"/>
        <v>0</v>
      </c>
      <c r="N6" s="83">
        <f t="shared" si="0"/>
        <v>0</v>
      </c>
      <c r="O6" s="69"/>
    </row>
    <row r="7" spans="1:17">
      <c r="B7" t="str">
        <f>IF('■2017年度　社員給与詳細'!A4="","",'■2017年度　社員給与詳細'!A4)</f>
        <v>社長</v>
      </c>
      <c r="C7" s="82">
        <f>'■2017年度　社員給与詳細'!D13</f>
        <v>5</v>
      </c>
      <c r="D7" s="82">
        <f>'■2017年度　社員給与詳細'!E13</f>
        <v>0</v>
      </c>
      <c r="E7" s="82">
        <f>'■2017年度　社員給与詳細'!F13</f>
        <v>0</v>
      </c>
      <c r="F7" s="82">
        <f>'■2017年度　社員給与詳細'!G13</f>
        <v>0</v>
      </c>
      <c r="G7" s="82">
        <f>'■2017年度　社員給与詳細'!H13</f>
        <v>0</v>
      </c>
      <c r="H7" s="82">
        <f>'■2017年度　社員給与詳細'!I13</f>
        <v>0</v>
      </c>
      <c r="I7" s="82">
        <f>'■2017年度　社員給与詳細'!J13</f>
        <v>0</v>
      </c>
      <c r="J7" s="82">
        <f>'■2017年度　社員給与詳細'!K13</f>
        <v>0</v>
      </c>
      <c r="K7" s="82">
        <f>'■2017年度　社員給与詳細'!L13</f>
        <v>-5</v>
      </c>
      <c r="L7" s="82">
        <f>'■2017年度　社員給与詳細'!M13</f>
        <v>0</v>
      </c>
      <c r="M7" s="82">
        <f>'■2017年度　社員給与詳細'!N13</f>
        <v>0</v>
      </c>
      <c r="N7" s="82">
        <f>'■2017年度　社員給与詳細'!O13</f>
        <v>0</v>
      </c>
      <c r="O7" s="70">
        <f>SUM(C7:N7)</f>
        <v>0</v>
      </c>
      <c r="Q7" s="70">
        <f>'■2017年度　社員給与詳細'!Q13</f>
        <v>0</v>
      </c>
    </row>
    <row r="8" spans="1:17">
      <c r="B8" t="str">
        <f>IF('■2017年度　社員給与詳細'!A14="","",'■2017年度　社員給与詳細'!A14)</f>
        <v>社長</v>
      </c>
      <c r="C8" s="82">
        <f>'■2017年度　社員給与詳細'!D32</f>
        <v>55</v>
      </c>
      <c r="D8" s="82">
        <f>'■2017年度　社員給与詳細'!E32</f>
        <v>0</v>
      </c>
      <c r="E8" s="82">
        <f>'■2017年度　社員給与詳細'!F32</f>
        <v>0</v>
      </c>
      <c r="F8" s="82">
        <f>'■2017年度　社員給与詳細'!G32</f>
        <v>0</v>
      </c>
      <c r="G8" s="82">
        <f>'■2017年度　社員給与詳細'!H32</f>
        <v>0</v>
      </c>
      <c r="H8" s="82">
        <f>'■2017年度　社員給与詳細'!I32</f>
        <v>0</v>
      </c>
      <c r="I8" s="82">
        <f>'■2017年度　社員給与詳細'!J32</f>
        <v>0</v>
      </c>
      <c r="J8" s="82">
        <f>'■2017年度　社員給与詳細'!K32</f>
        <v>0</v>
      </c>
      <c r="K8" s="82">
        <f>'■2017年度　社員給与詳細'!L32</f>
        <v>5</v>
      </c>
      <c r="L8" s="82">
        <f>'■2017年度　社員給与詳細'!M32</f>
        <v>0</v>
      </c>
      <c r="M8" s="82">
        <f>'■2017年度　社員給与詳細'!N32</f>
        <v>0</v>
      </c>
      <c r="N8" s="82">
        <f>'■2017年度　社員給与詳細'!O32</f>
        <v>0</v>
      </c>
      <c r="O8" s="70">
        <f>SUM(C8:N8)</f>
        <v>60</v>
      </c>
      <c r="Q8" s="70">
        <f>'■2017年度　社員給与詳細'!Q32</f>
        <v>60</v>
      </c>
    </row>
    <row r="9" spans="1:17">
      <c r="B9" t="s">
        <v>99</v>
      </c>
      <c r="C9" s="82">
        <f>'■2017年度　社員給与詳細'!D51</f>
        <v>0</v>
      </c>
      <c r="D9" s="82">
        <f>'■2017年度　社員給与詳細'!E51</f>
        <v>0</v>
      </c>
      <c r="E9" s="82">
        <f>'■2017年度　社員給与詳細'!F51</f>
        <v>0</v>
      </c>
      <c r="F9" s="82">
        <f>'■2017年度　社員給与詳細'!G51</f>
        <v>0</v>
      </c>
      <c r="G9" s="82">
        <f>'■2017年度　社員給与詳細'!H51</f>
        <v>0</v>
      </c>
      <c r="H9" s="82">
        <f>'■2017年度　社員給与詳細'!I51</f>
        <v>0</v>
      </c>
      <c r="I9" s="82">
        <f>'■2017年度　社員給与詳細'!J51</f>
        <v>0</v>
      </c>
      <c r="J9" s="82">
        <f>'■2017年度　社員給与詳細'!K51</f>
        <v>0</v>
      </c>
      <c r="K9" s="82">
        <f>'■2017年度　社員給与詳細'!L51</f>
        <v>0</v>
      </c>
      <c r="L9" s="82">
        <f>'■2017年度　社員給与詳細'!M51</f>
        <v>0</v>
      </c>
      <c r="M9" s="82">
        <f>'■2017年度　社員給与詳細'!N51</f>
        <v>0</v>
      </c>
      <c r="N9" s="82">
        <f>'■2017年度　社員給与詳細'!O51</f>
        <v>0</v>
      </c>
      <c r="O9" s="70">
        <f>SUM(C9:N9)</f>
        <v>0</v>
      </c>
      <c r="Q9" s="70">
        <f>'■2017年度　社員給与詳細'!Q51</f>
        <v>0</v>
      </c>
    </row>
    <row r="10" spans="1:17">
      <c r="B10" t="s">
        <v>100</v>
      </c>
      <c r="C10" s="82">
        <f>'■2017年度　社員給与詳細'!D70</f>
        <v>3</v>
      </c>
      <c r="D10" s="82">
        <f>'■2017年度　社員給与詳細'!E70</f>
        <v>0</v>
      </c>
      <c r="E10" s="82">
        <f>'■2017年度　社員給与詳細'!F70</f>
        <v>5</v>
      </c>
      <c r="F10" s="82">
        <f>'■2017年度　社員給与詳細'!G70</f>
        <v>0</v>
      </c>
      <c r="G10" s="82">
        <f>'■2017年度　社員給与詳細'!H70</f>
        <v>0</v>
      </c>
      <c r="H10" s="82">
        <f>'■2017年度　社員給与詳細'!I70</f>
        <v>0</v>
      </c>
      <c r="I10" s="82">
        <f>'■2017年度　社員給与詳細'!J70</f>
        <v>0</v>
      </c>
      <c r="J10" s="82">
        <f>'■2017年度　社員給与詳細'!K70</f>
        <v>0</v>
      </c>
      <c r="K10" s="82">
        <f>'■2017年度　社員給与詳細'!L70</f>
        <v>0</v>
      </c>
      <c r="L10" s="82">
        <f>'■2017年度　社員給与詳細'!M70</f>
        <v>0</v>
      </c>
      <c r="M10" s="82">
        <f>'■2017年度　社員給与詳細'!N70</f>
        <v>0</v>
      </c>
      <c r="N10" s="82">
        <f>'■2017年度　社員給与詳細'!O70</f>
        <v>0</v>
      </c>
      <c r="O10" s="70">
        <f>SUM(C10:N10)</f>
        <v>8</v>
      </c>
      <c r="Q10" s="70">
        <f>'■2017年度　社員給与詳細'!Q70</f>
        <v>8</v>
      </c>
    </row>
    <row r="11" spans="1:17">
      <c r="B11" t="str">
        <f>IF('■2017年度　社員給与詳細'!$A$71="","",'■2017年度　社員給与詳細'!$A$71)</f>
        <v/>
      </c>
      <c r="C11" s="82">
        <f>'■2017年度　社員給与詳細'!D89</f>
        <v>454</v>
      </c>
      <c r="D11" s="82">
        <f>'■2017年度　社員給与詳細'!E89</f>
        <v>0</v>
      </c>
      <c r="E11" s="82">
        <f>'■2017年度　社員給与詳細'!F89</f>
        <v>45</v>
      </c>
      <c r="F11" s="82">
        <f>'■2017年度　社員給与詳細'!G89</f>
        <v>0</v>
      </c>
      <c r="G11" s="82">
        <f>'■2017年度　社員給与詳細'!H89</f>
        <v>0</v>
      </c>
      <c r="H11" s="82">
        <f>'■2017年度　社員給与詳細'!I89</f>
        <v>0</v>
      </c>
      <c r="I11" s="82">
        <f>'■2017年度　社員給与詳細'!J89</f>
        <v>0</v>
      </c>
      <c r="J11" s="82">
        <f>'■2017年度　社員給与詳細'!K89</f>
        <v>0</v>
      </c>
      <c r="K11" s="82">
        <f>'■2017年度　社員給与詳細'!L89</f>
        <v>0</v>
      </c>
      <c r="L11" s="82">
        <f>'■2017年度　社員給与詳細'!M89</f>
        <v>0</v>
      </c>
      <c r="M11" s="82">
        <f>'■2017年度　社員給与詳細'!N89</f>
        <v>0</v>
      </c>
      <c r="N11" s="82">
        <f>'■2017年度　社員給与詳細'!O89</f>
        <v>0</v>
      </c>
      <c r="O11" s="70">
        <f>SUM(C11:N11)</f>
        <v>499</v>
      </c>
      <c r="Q11" s="70">
        <f>'■2017年度　社員給与詳細'!Q89</f>
        <v>499</v>
      </c>
    </row>
    <row r="12" spans="1:17">
      <c r="B12" t="str">
        <f>IF('■2017年度　社員給与詳細'!$A$90="","",'■2017年度　社員給与詳細'!$A$90)</f>
        <v>sisi</v>
      </c>
      <c r="C12" s="82">
        <f>'■2017年度　社員給与詳細'!D108</f>
        <v>0</v>
      </c>
      <c r="D12" s="82">
        <f>'■2017年度　社員給与詳細'!E108</f>
        <v>0</v>
      </c>
      <c r="E12" s="82">
        <f>'■2017年度　社員給与詳細'!F108</f>
        <v>0</v>
      </c>
      <c r="F12" s="82">
        <f>'■2017年度　社員給与詳細'!G108</f>
        <v>0</v>
      </c>
      <c r="G12" s="82">
        <f>'■2017年度　社員給与詳細'!H108</f>
        <v>0</v>
      </c>
      <c r="H12" s="82">
        <f>'■2017年度　社員給与詳細'!I108</f>
        <v>0</v>
      </c>
      <c r="I12" s="82">
        <f>'■2017年度　社員給与詳細'!J108</f>
        <v>0</v>
      </c>
      <c r="J12" s="82">
        <f>'■2017年度　社員給与詳細'!K108</f>
        <v>0</v>
      </c>
      <c r="K12" s="82">
        <f>'■2017年度　社員給与詳細'!L108</f>
        <v>0</v>
      </c>
      <c r="L12" s="82">
        <f>'■2017年度　社員給与詳細'!M108</f>
        <v>0</v>
      </c>
      <c r="M12" s="82">
        <f>'■2017年度　社員給与詳細'!N108</f>
        <v>0</v>
      </c>
      <c r="N12" s="82">
        <f>'■2017年度　社員給与詳細'!O108</f>
        <v>0</v>
      </c>
      <c r="O12" s="70">
        <f>SUM(C12:N12)</f>
        <v>0</v>
      </c>
      <c r="Q12" s="70">
        <f>'■2017年度　社員給与詳細'!Q108</f>
        <v>0</v>
      </c>
    </row>
    <row r="13" spans="1:17"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70"/>
      <c r="Q13" s="70"/>
    </row>
    <row r="14" spans="1:17">
      <c r="C14" s="102"/>
      <c r="D14" s="102"/>
      <c r="E14" s="102"/>
      <c r="F14" s="102"/>
      <c r="G14" s="102" t="e">
        <f>SUM(C15:G15)</f>
        <v>#REF!</v>
      </c>
      <c r="H14" s="102"/>
      <c r="I14" s="102"/>
      <c r="J14" s="102"/>
      <c r="K14" s="102"/>
      <c r="L14" s="83"/>
      <c r="M14" s="83"/>
      <c r="N14" s="83"/>
      <c r="O14" s="69"/>
    </row>
    <row r="15" spans="1:17">
      <c r="A15" s="73" t="s">
        <v>63</v>
      </c>
      <c r="B15" s="74"/>
      <c r="C15" s="83" t="e">
        <f>COUNTIF(#REF!,"&lt;&gt;0")</f>
        <v>#REF!</v>
      </c>
      <c r="D15" s="83" t="e">
        <f>COUNTIF(#REF!,"&lt;&gt;0")</f>
        <v>#REF!</v>
      </c>
      <c r="E15" s="83" t="e">
        <f>COUNTIF(#REF!,"&lt;&gt;0")</f>
        <v>#REF!</v>
      </c>
      <c r="F15" s="83" t="e">
        <f>COUNTIF(#REF!,"&lt;&gt;0")</f>
        <v>#REF!</v>
      </c>
      <c r="G15" s="83" t="e">
        <f>COUNTIF(#REF!,"&lt;&gt;0")</f>
        <v>#REF!</v>
      </c>
      <c r="H15" s="83" t="e">
        <f>COUNTIF(#REF!,"&lt;&gt;0")</f>
        <v>#REF!</v>
      </c>
      <c r="I15" s="83" t="e">
        <f>COUNTIF(#REF!,"&lt;&gt;0")</f>
        <v>#REF!</v>
      </c>
      <c r="J15" s="83" t="e">
        <f>COUNTIF(#REF!,"&lt;&gt;0")</f>
        <v>#REF!</v>
      </c>
      <c r="K15" s="83" t="e">
        <f>COUNTIF(#REF!,"&lt;&gt;0")</f>
        <v>#REF!</v>
      </c>
      <c r="L15" s="83" t="e">
        <f>COUNTIF(#REF!,"&lt;&gt;0")</f>
        <v>#REF!</v>
      </c>
      <c r="M15" s="83" t="e">
        <f>COUNTIF(#REF!,"&lt;&gt;0")</f>
        <v>#REF!</v>
      </c>
      <c r="N15" s="83" t="e">
        <f>COUNTIF(#REF!,"&lt;&gt;0")</f>
        <v>#REF!</v>
      </c>
      <c r="O15" s="69"/>
    </row>
    <row r="16" spans="1:17" s="115" customFormat="1">
      <c r="A16"/>
      <c r="B16" s="123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70"/>
    </row>
    <row r="17" spans="1:15" s="115" customFormat="1">
      <c r="A17"/>
      <c r="B17" s="123"/>
      <c r="C17" s="82"/>
      <c r="D17" s="82"/>
      <c r="E17" s="82"/>
      <c r="F17" s="82"/>
      <c r="G17" s="82"/>
      <c r="H17" s="82"/>
      <c r="I17" s="82"/>
      <c r="J17" s="82"/>
      <c r="K17" s="82"/>
      <c r="L17" s="82"/>
      <c r="M17" s="82"/>
      <c r="N17" s="82"/>
      <c r="O17" s="70"/>
    </row>
    <row r="18" spans="1:15" s="115" customFormat="1">
      <c r="A18"/>
      <c r="B18" s="123"/>
      <c r="C18" s="82"/>
      <c r="D18" s="82"/>
      <c r="E18" s="82"/>
      <c r="F18" s="82"/>
      <c r="G18" s="82"/>
      <c r="H18" s="82"/>
      <c r="I18" s="82"/>
      <c r="J18" s="82"/>
      <c r="K18" s="82"/>
      <c r="L18" s="82"/>
      <c r="M18" s="82"/>
      <c r="N18" s="82"/>
      <c r="O18" s="70"/>
    </row>
    <row r="19" spans="1:15" s="115" customFormat="1">
      <c r="A19" s="77" t="s">
        <v>72</v>
      </c>
      <c r="B19"/>
      <c r="C19" s="1">
        <f>C7</f>
        <v>5</v>
      </c>
      <c r="D19" s="1">
        <f>D7</f>
        <v>0</v>
      </c>
      <c r="E19" s="1">
        <f t="shared" ref="E19:M19" si="1">E7</f>
        <v>0</v>
      </c>
      <c r="F19" s="1">
        <f t="shared" si="1"/>
        <v>0</v>
      </c>
      <c r="G19" s="1">
        <f t="shared" si="1"/>
        <v>0</v>
      </c>
      <c r="H19" s="1">
        <f t="shared" si="1"/>
        <v>0</v>
      </c>
      <c r="I19" s="1">
        <f t="shared" si="1"/>
        <v>0</v>
      </c>
      <c r="J19" s="1">
        <f t="shared" si="1"/>
        <v>0</v>
      </c>
      <c r="K19" s="1">
        <f>K7</f>
        <v>-5</v>
      </c>
      <c r="L19" s="1">
        <f t="shared" si="1"/>
        <v>0</v>
      </c>
      <c r="M19" s="1">
        <f t="shared" si="1"/>
        <v>0</v>
      </c>
      <c r="N19" s="1">
        <f>N7</f>
        <v>0</v>
      </c>
      <c r="O19" s="71">
        <f>SUM(C19:N19)</f>
        <v>0</v>
      </c>
    </row>
    <row r="20" spans="1:15" s="115" customFormat="1">
      <c r="A20" s="77" t="s">
        <v>65</v>
      </c>
      <c r="B20" s="77"/>
      <c r="C20" s="113">
        <f>SUM(C8:C12)</f>
        <v>512</v>
      </c>
      <c r="D20" s="113">
        <f t="shared" ref="D20:N20" si="2">SUM(D8:D12)</f>
        <v>0</v>
      </c>
      <c r="E20" s="113">
        <f t="shared" si="2"/>
        <v>50</v>
      </c>
      <c r="F20" s="113">
        <f t="shared" si="2"/>
        <v>0</v>
      </c>
      <c r="G20" s="113">
        <f t="shared" si="2"/>
        <v>0</v>
      </c>
      <c r="H20" s="113">
        <f t="shared" si="2"/>
        <v>0</v>
      </c>
      <c r="I20" s="113">
        <f t="shared" si="2"/>
        <v>0</v>
      </c>
      <c r="J20" s="113">
        <f t="shared" si="2"/>
        <v>0</v>
      </c>
      <c r="K20" s="113">
        <f t="shared" si="2"/>
        <v>5</v>
      </c>
      <c r="L20" s="113">
        <f t="shared" si="2"/>
        <v>0</v>
      </c>
      <c r="M20" s="113">
        <f t="shared" si="2"/>
        <v>0</v>
      </c>
      <c r="N20" s="113">
        <f t="shared" si="2"/>
        <v>0</v>
      </c>
      <c r="O20" s="71">
        <f>SUM(C20:N20)</f>
        <v>567</v>
      </c>
    </row>
    <row r="21" spans="1:15">
      <c r="A21" s="114" t="s">
        <v>66</v>
      </c>
      <c r="B21" s="77"/>
      <c r="C21" s="1">
        <f>SUM(C16)</f>
        <v>0</v>
      </c>
      <c r="D21" s="1">
        <f t="shared" ref="D21:N21" si="3">SUM(D16)</f>
        <v>0</v>
      </c>
      <c r="E21" s="1">
        <f t="shared" si="3"/>
        <v>0</v>
      </c>
      <c r="F21" s="1">
        <f t="shared" si="3"/>
        <v>0</v>
      </c>
      <c r="G21" s="1">
        <f t="shared" si="3"/>
        <v>0</v>
      </c>
      <c r="H21" s="1">
        <f t="shared" si="3"/>
        <v>0</v>
      </c>
      <c r="I21" s="1">
        <f t="shared" si="3"/>
        <v>0</v>
      </c>
      <c r="J21" s="1">
        <f t="shared" si="3"/>
        <v>0</v>
      </c>
      <c r="K21" s="1">
        <f t="shared" si="3"/>
        <v>0</v>
      </c>
      <c r="L21" s="1">
        <f t="shared" si="3"/>
        <v>0</v>
      </c>
      <c r="M21" s="1">
        <f t="shared" si="3"/>
        <v>0</v>
      </c>
      <c r="N21" s="1">
        <f t="shared" si="3"/>
        <v>0</v>
      </c>
      <c r="O21" s="71">
        <f>SUM(C21:N21)</f>
        <v>0</v>
      </c>
    </row>
    <row r="22" spans="1:15">
      <c r="A22" s="77" t="s">
        <v>67</v>
      </c>
      <c r="B22" s="77"/>
      <c r="C22" s="1">
        <f>SUM(C19:C21)</f>
        <v>517</v>
      </c>
      <c r="D22" s="1">
        <f>SUM(D19:D21)</f>
        <v>0</v>
      </c>
      <c r="E22" s="1">
        <f t="shared" ref="E22:N22" si="4">SUM(E19:E21)</f>
        <v>50</v>
      </c>
      <c r="F22" s="1">
        <f t="shared" si="4"/>
        <v>0</v>
      </c>
      <c r="G22" s="1">
        <f t="shared" si="4"/>
        <v>0</v>
      </c>
      <c r="H22" s="1">
        <f t="shared" si="4"/>
        <v>0</v>
      </c>
      <c r="I22" s="1">
        <f>SUM(I19:I21)</f>
        <v>0</v>
      </c>
      <c r="J22" s="1">
        <f t="shared" si="4"/>
        <v>0</v>
      </c>
      <c r="K22" s="1">
        <f t="shared" si="4"/>
        <v>0</v>
      </c>
      <c r="L22" s="1">
        <f t="shared" si="4"/>
        <v>0</v>
      </c>
      <c r="M22" s="1">
        <f t="shared" si="4"/>
        <v>0</v>
      </c>
      <c r="N22" s="1">
        <f t="shared" si="4"/>
        <v>0</v>
      </c>
      <c r="O22" s="71">
        <f>SUM(C22:N22)</f>
        <v>567</v>
      </c>
    </row>
    <row r="23" spans="1:15">
      <c r="B23" s="77"/>
    </row>
    <row r="25" spans="1:15">
      <c r="C25" t="s">
        <v>79</v>
      </c>
    </row>
    <row r="26" spans="1:15">
      <c r="C26" s="182" t="s">
        <v>73</v>
      </c>
      <c r="D26" s="182"/>
      <c r="E26" s="181" t="s">
        <v>74</v>
      </c>
      <c r="F26" s="181"/>
    </row>
    <row r="27" spans="1:15">
      <c r="B27" s="124" t="s">
        <v>75</v>
      </c>
      <c r="C27" s="100">
        <f>SUM(C20:G20)</f>
        <v>562</v>
      </c>
      <c r="D27" s="133">
        <f>SUM(C6:G6)</f>
        <v>6</v>
      </c>
      <c r="E27" s="100">
        <f>SUM(H20:N20)</f>
        <v>5</v>
      </c>
      <c r="F27" s="133">
        <f>SUM(H6:N6)</f>
        <v>1</v>
      </c>
    </row>
    <row r="28" spans="1:15" ht="14.25" thickBot="1">
      <c r="B28" s="125" t="s">
        <v>76</v>
      </c>
      <c r="C28" s="134">
        <f>SUM(C21:G21)</f>
        <v>0</v>
      </c>
      <c r="D28" s="135" t="e">
        <f>SUM(C15:G15)</f>
        <v>#REF!</v>
      </c>
      <c r="E28" s="136">
        <f>SUM(H21:N21)</f>
        <v>0</v>
      </c>
      <c r="F28" s="133" t="e">
        <f>SUM(H15:N15)</f>
        <v>#REF!</v>
      </c>
    </row>
    <row r="29" spans="1:15" ht="14.25" thickTop="1">
      <c r="B29" s="126" t="s">
        <v>77</v>
      </c>
      <c r="C29" s="137">
        <f>SUM(C27:C28)</f>
        <v>562</v>
      </c>
      <c r="D29" s="138" t="e">
        <f>SUM(D27:D28)</f>
        <v>#REF!</v>
      </c>
      <c r="E29" s="100">
        <f>SUM(E27:E28)</f>
        <v>5</v>
      </c>
      <c r="F29" s="138" t="e">
        <f>SUM(F27:F28)</f>
        <v>#REF!</v>
      </c>
    </row>
    <row r="30" spans="1:15">
      <c r="C30" s="134"/>
      <c r="D30" s="139"/>
      <c r="E30" s="134"/>
      <c r="F30" s="139"/>
    </row>
    <row r="31" spans="1:15">
      <c r="C31" s="103"/>
      <c r="F31" s="100"/>
    </row>
    <row r="32" spans="1:15">
      <c r="C32" s="103"/>
      <c r="F32" s="100"/>
    </row>
    <row r="33" spans="3:6">
      <c r="C33" s="103"/>
      <c r="F33" s="100"/>
    </row>
    <row r="50" ht="18" customHeight="1"/>
  </sheetData>
  <mergeCells count="3">
    <mergeCell ref="A4:B4"/>
    <mergeCell ref="E26:F26"/>
    <mergeCell ref="C26:D26"/>
  </mergeCells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>
    <tabColor theme="9" tint="0.59999389629810485"/>
  </sheetPr>
  <dimension ref="A1:Q19"/>
  <sheetViews>
    <sheetView workbookViewId="0">
      <selection activeCell="D25" sqref="D25"/>
    </sheetView>
  </sheetViews>
  <sheetFormatPr defaultRowHeight="13.5"/>
  <cols>
    <col min="3" max="3" width="13.25" customWidth="1"/>
  </cols>
  <sheetData>
    <row r="1" spans="1:17">
      <c r="A1" s="160"/>
      <c r="B1" s="170" t="s">
        <v>12</v>
      </c>
      <c r="C1" s="106" t="s">
        <v>87</v>
      </c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78"/>
      <c r="P1" s="30"/>
      <c r="Q1" s="19">
        <f>SUM(D1:P1)</f>
        <v>0</v>
      </c>
    </row>
    <row r="2" spans="1:17">
      <c r="A2" s="161"/>
      <c r="B2" s="171"/>
      <c r="C2" s="107" t="s">
        <v>89</v>
      </c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1"/>
      <c r="P2" s="31"/>
      <c r="Q2" s="20">
        <f t="shared" ref="Q2:Q19" si="0">SUM(D2:P2)</f>
        <v>0</v>
      </c>
    </row>
    <row r="3" spans="1:17">
      <c r="A3" s="161"/>
      <c r="B3" s="172"/>
      <c r="C3" s="108" t="s">
        <v>88</v>
      </c>
      <c r="D3" s="89"/>
      <c r="E3" s="90"/>
      <c r="F3" s="90"/>
      <c r="G3" s="90"/>
      <c r="H3" s="89"/>
      <c r="I3" s="89"/>
      <c r="J3" s="89"/>
      <c r="K3" s="89"/>
      <c r="L3" s="89"/>
      <c r="M3" s="89"/>
      <c r="N3" s="89"/>
      <c r="O3" s="17"/>
      <c r="P3" s="28"/>
      <c r="Q3" s="20">
        <f t="shared" si="0"/>
        <v>0</v>
      </c>
    </row>
    <row r="4" spans="1:17">
      <c r="A4" s="161"/>
      <c r="B4" s="172"/>
      <c r="C4" s="109" t="s">
        <v>90</v>
      </c>
      <c r="D4" s="91"/>
      <c r="E4" s="89"/>
      <c r="F4" s="89"/>
      <c r="G4" s="91"/>
      <c r="H4" s="91"/>
      <c r="I4" s="91"/>
      <c r="J4" s="91"/>
      <c r="K4" s="91"/>
      <c r="L4" s="91"/>
      <c r="M4" s="91"/>
      <c r="N4" s="91"/>
      <c r="O4" s="80"/>
      <c r="P4" s="32"/>
      <c r="Q4" s="20">
        <f t="shared" si="0"/>
        <v>0</v>
      </c>
    </row>
    <row r="5" spans="1:17">
      <c r="A5" s="161"/>
      <c r="B5" s="172"/>
      <c r="C5" s="109" t="s">
        <v>91</v>
      </c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80"/>
      <c r="P5" s="32"/>
      <c r="Q5" s="20">
        <f t="shared" si="0"/>
        <v>0</v>
      </c>
    </row>
    <row r="6" spans="1:17">
      <c r="A6" s="161"/>
      <c r="B6" s="172"/>
      <c r="C6" s="109" t="s">
        <v>92</v>
      </c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80"/>
      <c r="P6" s="32"/>
      <c r="Q6" s="20">
        <f>SUM(D6:P6)</f>
        <v>0</v>
      </c>
    </row>
    <row r="7" spans="1:17">
      <c r="A7" s="161"/>
      <c r="B7" s="172"/>
      <c r="C7" s="108" t="s">
        <v>93</v>
      </c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80"/>
      <c r="P7" s="32"/>
      <c r="Q7" s="20">
        <f t="shared" si="0"/>
        <v>0</v>
      </c>
    </row>
    <row r="8" spans="1:17">
      <c r="A8" s="161"/>
      <c r="B8" s="172"/>
      <c r="C8" s="110" t="s">
        <v>94</v>
      </c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18"/>
      <c r="P8" s="33"/>
      <c r="Q8" s="22">
        <f t="shared" si="0"/>
        <v>0</v>
      </c>
    </row>
    <row r="9" spans="1:17">
      <c r="A9" s="161"/>
      <c r="B9" s="172" t="s">
        <v>11</v>
      </c>
      <c r="C9" s="111" t="s">
        <v>7</v>
      </c>
      <c r="D9" s="93"/>
      <c r="E9" s="93"/>
      <c r="F9" s="93"/>
      <c r="G9" s="93"/>
      <c r="H9" s="93"/>
      <c r="I9" s="93"/>
      <c r="J9" s="93"/>
      <c r="K9" s="93"/>
      <c r="L9" s="94"/>
      <c r="M9" s="94"/>
      <c r="N9" s="94"/>
      <c r="O9" s="79"/>
      <c r="P9" s="27"/>
      <c r="Q9" s="21">
        <f t="shared" si="0"/>
        <v>0</v>
      </c>
    </row>
    <row r="10" spans="1:17">
      <c r="A10" s="161"/>
      <c r="B10" s="172"/>
      <c r="C10" s="109" t="s">
        <v>4</v>
      </c>
      <c r="D10" s="95"/>
      <c r="E10" s="95"/>
      <c r="F10" s="95"/>
      <c r="G10" s="95"/>
      <c r="H10" s="95"/>
      <c r="I10" s="95"/>
      <c r="J10" s="95"/>
      <c r="K10" s="95"/>
      <c r="L10" s="91"/>
      <c r="M10" s="91"/>
      <c r="N10" s="91"/>
      <c r="O10" s="80"/>
      <c r="P10" s="32"/>
      <c r="Q10" s="20">
        <f t="shared" si="0"/>
        <v>0</v>
      </c>
    </row>
    <row r="11" spans="1:17">
      <c r="A11" s="161"/>
      <c r="B11" s="172"/>
      <c r="C11" s="109" t="s">
        <v>17</v>
      </c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80"/>
      <c r="P11" s="32"/>
      <c r="Q11" s="20">
        <f t="shared" si="0"/>
        <v>0</v>
      </c>
    </row>
    <row r="12" spans="1:17">
      <c r="A12" s="161"/>
      <c r="B12" s="172"/>
      <c r="C12" s="109" t="s">
        <v>18</v>
      </c>
      <c r="D12" s="90"/>
      <c r="E12" s="90"/>
      <c r="F12" s="90"/>
      <c r="G12" s="90"/>
      <c r="H12" s="91"/>
      <c r="I12" s="91"/>
      <c r="J12" s="91"/>
      <c r="K12" s="91"/>
      <c r="L12" s="91"/>
      <c r="M12" s="91"/>
      <c r="N12" s="91"/>
      <c r="O12" s="80"/>
      <c r="P12" s="32"/>
      <c r="Q12" s="20">
        <f t="shared" si="0"/>
        <v>0</v>
      </c>
    </row>
    <row r="13" spans="1:17">
      <c r="A13" s="161"/>
      <c r="B13" s="172"/>
      <c r="C13" s="112" t="s">
        <v>19</v>
      </c>
      <c r="D13" s="96"/>
      <c r="E13" s="96"/>
      <c r="F13" s="96"/>
      <c r="G13" s="96"/>
      <c r="H13" s="92"/>
      <c r="I13" s="92"/>
      <c r="J13" s="92"/>
      <c r="K13" s="92"/>
      <c r="L13" s="92"/>
      <c r="M13" s="92"/>
      <c r="N13" s="92"/>
      <c r="O13" s="18"/>
      <c r="P13" s="33"/>
      <c r="Q13" s="22">
        <f t="shared" si="0"/>
        <v>0</v>
      </c>
    </row>
    <row r="14" spans="1:17">
      <c r="A14" s="161"/>
      <c r="B14" s="172" t="s">
        <v>13</v>
      </c>
      <c r="C14" s="111" t="s">
        <v>10</v>
      </c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79"/>
      <c r="P14" s="27"/>
      <c r="Q14" s="21">
        <f t="shared" si="0"/>
        <v>0</v>
      </c>
    </row>
    <row r="15" spans="1:17">
      <c r="A15" s="161"/>
      <c r="B15" s="172"/>
      <c r="C15" s="108" t="s">
        <v>55</v>
      </c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17"/>
      <c r="P15" s="28"/>
      <c r="Q15" s="20">
        <f t="shared" si="0"/>
        <v>0</v>
      </c>
    </row>
    <row r="16" spans="1:17">
      <c r="A16" s="161"/>
      <c r="B16" s="172"/>
      <c r="C16" s="108" t="s">
        <v>56</v>
      </c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17"/>
      <c r="P16" s="28"/>
      <c r="Q16" s="20">
        <f t="shared" si="0"/>
        <v>0</v>
      </c>
    </row>
    <row r="17" spans="1:17">
      <c r="A17" s="161"/>
      <c r="B17" s="172"/>
      <c r="C17" s="112" t="s">
        <v>61</v>
      </c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18"/>
      <c r="P17" s="33"/>
      <c r="Q17" s="22">
        <f t="shared" si="0"/>
        <v>0</v>
      </c>
    </row>
    <row r="18" spans="1:17">
      <c r="A18" s="161"/>
      <c r="B18" s="158" t="s">
        <v>54</v>
      </c>
      <c r="C18" s="159"/>
      <c r="D18" s="56">
        <f>SUM(D1:D8)-SUM(D12:D13)</f>
        <v>0</v>
      </c>
      <c r="E18" s="56">
        <f t="shared" ref="E18:O18" si="1">SUM(E1:E8)-SUM(E12:E13)</f>
        <v>0</v>
      </c>
      <c r="F18" s="56">
        <f t="shared" si="1"/>
        <v>0</v>
      </c>
      <c r="G18" s="56">
        <f>SUM(G1:G8)-SUM(G12:G13)</f>
        <v>0</v>
      </c>
      <c r="H18" s="56">
        <f t="shared" si="1"/>
        <v>0</v>
      </c>
      <c r="I18" s="56">
        <f t="shared" si="1"/>
        <v>0</v>
      </c>
      <c r="J18" s="56">
        <f t="shared" si="1"/>
        <v>0</v>
      </c>
      <c r="K18" s="56">
        <f t="shared" si="1"/>
        <v>0</v>
      </c>
      <c r="L18" s="56">
        <f t="shared" si="1"/>
        <v>0</v>
      </c>
      <c r="M18" s="56">
        <f t="shared" si="1"/>
        <v>0</v>
      </c>
      <c r="N18" s="56">
        <f t="shared" si="1"/>
        <v>0</v>
      </c>
      <c r="O18" s="57">
        <f t="shared" si="1"/>
        <v>0</v>
      </c>
      <c r="P18" s="60">
        <f>SUM(P1:P8)-SUM(P12:P13)</f>
        <v>0</v>
      </c>
      <c r="Q18" s="59">
        <f>SUM(D18:P18)</f>
        <v>0</v>
      </c>
    </row>
    <row r="19" spans="1:17" ht="14.25" thickBot="1">
      <c r="A19" s="162"/>
      <c r="B19" s="149" t="s">
        <v>5</v>
      </c>
      <c r="C19" s="150"/>
      <c r="D19" s="42">
        <f>SUM(D1:D8)-SUM(D9:D13)+SUM(D14:D17)</f>
        <v>0</v>
      </c>
      <c r="E19" s="42">
        <f>SUM(E1:E8)-SUM(E9:E13)+SUM(E14:E17)</f>
        <v>0</v>
      </c>
      <c r="F19" s="42">
        <f t="shared" ref="F19:O19" si="2">SUM(F1:F8)-SUM(F9:F13)+SUM(F14:F17)</f>
        <v>0</v>
      </c>
      <c r="G19" s="42">
        <f>SUM(G1:G8)-SUM(G9:G13)+SUM(G14:G17)</f>
        <v>0</v>
      </c>
      <c r="H19" s="42">
        <f t="shared" si="2"/>
        <v>0</v>
      </c>
      <c r="I19" s="42">
        <f t="shared" si="2"/>
        <v>0</v>
      </c>
      <c r="J19" s="42">
        <f t="shared" si="2"/>
        <v>0</v>
      </c>
      <c r="K19" s="42">
        <f t="shared" si="2"/>
        <v>0</v>
      </c>
      <c r="L19" s="42">
        <f t="shared" si="2"/>
        <v>0</v>
      </c>
      <c r="M19" s="42">
        <f t="shared" si="2"/>
        <v>0</v>
      </c>
      <c r="N19" s="42">
        <f t="shared" si="2"/>
        <v>0</v>
      </c>
      <c r="O19" s="43">
        <f t="shared" si="2"/>
        <v>0</v>
      </c>
      <c r="P19" s="44">
        <f>SUM(P1:P8)-SUM(P9:P13)+SUM(P14:P17)</f>
        <v>0</v>
      </c>
      <c r="Q19" s="46">
        <f t="shared" si="0"/>
        <v>0</v>
      </c>
    </row>
  </sheetData>
  <mergeCells count="6">
    <mergeCell ref="A1:A19"/>
    <mergeCell ref="B1:B8"/>
    <mergeCell ref="B9:B13"/>
    <mergeCell ref="B14:B17"/>
    <mergeCell ref="B18:C18"/>
    <mergeCell ref="B19:C19"/>
  </mergeCells>
  <phoneticPr fontId="3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:Q19"/>
  <sheetViews>
    <sheetView workbookViewId="0">
      <selection activeCell="H9" sqref="H9"/>
    </sheetView>
  </sheetViews>
  <sheetFormatPr defaultRowHeight="13.5"/>
  <cols>
    <col min="3" max="3" width="13.625" customWidth="1"/>
  </cols>
  <sheetData>
    <row r="1" spans="1:17">
      <c r="A1" s="151"/>
      <c r="B1" s="183" t="s">
        <v>95</v>
      </c>
      <c r="C1" s="106" t="s">
        <v>84</v>
      </c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30"/>
      <c r="Q1" s="120">
        <f>SUM(D1:P1)</f>
        <v>0</v>
      </c>
    </row>
    <row r="2" spans="1:17">
      <c r="A2" s="152"/>
      <c r="B2" s="184"/>
      <c r="C2" s="107" t="s">
        <v>85</v>
      </c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28"/>
      <c r="Q2" s="118">
        <f t="shared" ref="Q2:Q18" si="0">SUM(D2:P2)</f>
        <v>0</v>
      </c>
    </row>
    <row r="3" spans="1:17">
      <c r="A3" s="152"/>
      <c r="B3" s="184"/>
      <c r="C3" s="108" t="s">
        <v>86</v>
      </c>
      <c r="D3" s="91">
        <f t="shared" ref="D3:O3" si="1">D1*D2</f>
        <v>0</v>
      </c>
      <c r="E3" s="91">
        <f t="shared" si="1"/>
        <v>0</v>
      </c>
      <c r="F3" s="91">
        <f t="shared" si="1"/>
        <v>0</v>
      </c>
      <c r="G3" s="91">
        <f t="shared" si="1"/>
        <v>0</v>
      </c>
      <c r="H3" s="91">
        <f t="shared" si="1"/>
        <v>0</v>
      </c>
      <c r="I3" s="91">
        <f t="shared" si="1"/>
        <v>0</v>
      </c>
      <c r="J3" s="91">
        <f t="shared" si="1"/>
        <v>0</v>
      </c>
      <c r="K3" s="91">
        <f t="shared" si="1"/>
        <v>0</v>
      </c>
      <c r="L3" s="91">
        <f t="shared" si="1"/>
        <v>0</v>
      </c>
      <c r="M3" s="91">
        <f t="shared" si="1"/>
        <v>0</v>
      </c>
      <c r="N3" s="91">
        <f t="shared" si="1"/>
        <v>0</v>
      </c>
      <c r="O3" s="91">
        <f t="shared" si="1"/>
        <v>0</v>
      </c>
      <c r="P3" s="32"/>
      <c r="Q3" s="118">
        <f t="shared" si="0"/>
        <v>0</v>
      </c>
    </row>
    <row r="4" spans="1:17">
      <c r="A4" s="152"/>
      <c r="B4" s="184"/>
      <c r="C4" s="109" t="s">
        <v>9</v>
      </c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  <c r="P4" s="32"/>
      <c r="Q4" s="118">
        <f t="shared" si="0"/>
        <v>0</v>
      </c>
    </row>
    <row r="5" spans="1:17">
      <c r="A5" s="152"/>
      <c r="B5" s="184"/>
      <c r="C5" s="109" t="s">
        <v>38</v>
      </c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28"/>
      <c r="Q5" s="118">
        <f>SUM(D5:P5)</f>
        <v>0</v>
      </c>
    </row>
    <row r="6" spans="1:17">
      <c r="A6" s="152"/>
      <c r="B6" s="184"/>
      <c r="C6" s="109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32"/>
      <c r="Q6" s="118">
        <f>SUM(D6:P6)</f>
        <v>0</v>
      </c>
    </row>
    <row r="7" spans="1:17">
      <c r="A7" s="152"/>
      <c r="B7" s="184"/>
      <c r="C7" s="62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32"/>
      <c r="Q7" s="118">
        <f>SUM(D7:P7)</f>
        <v>0</v>
      </c>
    </row>
    <row r="8" spans="1:17">
      <c r="A8" s="152"/>
      <c r="B8" s="171"/>
      <c r="C8" s="6" t="s">
        <v>42</v>
      </c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33"/>
      <c r="Q8" s="121">
        <f t="shared" si="0"/>
        <v>0</v>
      </c>
    </row>
    <row r="9" spans="1:17">
      <c r="A9" s="152"/>
      <c r="B9" s="185" t="s">
        <v>11</v>
      </c>
      <c r="C9" s="5" t="s">
        <v>7</v>
      </c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27"/>
      <c r="Q9" s="122">
        <f t="shared" si="0"/>
        <v>0</v>
      </c>
    </row>
    <row r="10" spans="1:17">
      <c r="A10" s="152"/>
      <c r="B10" s="184"/>
      <c r="C10" s="6" t="s">
        <v>4</v>
      </c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91"/>
      <c r="P10" s="32"/>
      <c r="Q10" s="118">
        <f t="shared" si="0"/>
        <v>0</v>
      </c>
    </row>
    <row r="11" spans="1:17">
      <c r="A11" s="152"/>
      <c r="B11" s="184"/>
      <c r="C11" s="6" t="s">
        <v>17</v>
      </c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32"/>
      <c r="Q11" s="118">
        <f t="shared" si="0"/>
        <v>0</v>
      </c>
    </row>
    <row r="12" spans="1:17">
      <c r="A12" s="152"/>
      <c r="B12" s="184"/>
      <c r="C12" s="6" t="s">
        <v>18</v>
      </c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1"/>
      <c r="P12" s="32"/>
      <c r="Q12" s="118">
        <f t="shared" si="0"/>
        <v>0</v>
      </c>
    </row>
    <row r="13" spans="1:17">
      <c r="A13" s="152"/>
      <c r="B13" s="184"/>
      <c r="C13" s="6" t="s">
        <v>60</v>
      </c>
      <c r="D13" s="91"/>
      <c r="E13" s="91"/>
      <c r="F13" s="91"/>
      <c r="G13" s="91"/>
      <c r="H13" s="91"/>
      <c r="I13" s="91"/>
      <c r="J13" s="91"/>
      <c r="K13" s="91"/>
      <c r="L13" s="91"/>
      <c r="M13" s="91"/>
      <c r="N13" s="91"/>
      <c r="O13" s="91"/>
      <c r="P13" s="32"/>
      <c r="Q13" s="121">
        <f t="shared" si="0"/>
        <v>0</v>
      </c>
    </row>
    <row r="14" spans="1:17">
      <c r="A14" s="152"/>
      <c r="B14" s="185" t="s">
        <v>13</v>
      </c>
      <c r="C14" s="5" t="s">
        <v>10</v>
      </c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27"/>
      <c r="Q14" s="117">
        <f t="shared" si="0"/>
        <v>0</v>
      </c>
    </row>
    <row r="15" spans="1:17">
      <c r="A15" s="152"/>
      <c r="B15" s="184"/>
      <c r="C15" s="108" t="s">
        <v>55</v>
      </c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28"/>
      <c r="Q15" s="118">
        <f t="shared" si="0"/>
        <v>0</v>
      </c>
    </row>
    <row r="16" spans="1:17">
      <c r="A16" s="152"/>
      <c r="B16" s="184"/>
      <c r="C16" s="8" t="s">
        <v>56</v>
      </c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28"/>
      <c r="Q16" s="118">
        <f t="shared" si="0"/>
        <v>0</v>
      </c>
    </row>
    <row r="17" spans="1:17" ht="14.25" thickBot="1">
      <c r="A17" s="152"/>
      <c r="B17" s="171"/>
      <c r="C17" s="4" t="s">
        <v>61</v>
      </c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33"/>
      <c r="Q17" s="119">
        <f t="shared" si="0"/>
        <v>0</v>
      </c>
    </row>
    <row r="18" spans="1:17" ht="14.25" thickBot="1">
      <c r="A18" s="152"/>
      <c r="B18" s="158" t="s">
        <v>54</v>
      </c>
      <c r="C18" s="159"/>
      <c r="D18" s="56">
        <f>SUM(D3:D8)-SUM(D12:D13)</f>
        <v>0</v>
      </c>
      <c r="E18" s="56">
        <f t="shared" ref="E18:O18" si="2">SUM(E3:E8)-SUM(E12:E13)</f>
        <v>0</v>
      </c>
      <c r="F18" s="56">
        <f t="shared" si="2"/>
        <v>0</v>
      </c>
      <c r="G18" s="56">
        <f t="shared" si="2"/>
        <v>0</v>
      </c>
      <c r="H18" s="56">
        <f t="shared" si="2"/>
        <v>0</v>
      </c>
      <c r="I18" s="56">
        <f t="shared" si="2"/>
        <v>0</v>
      </c>
      <c r="J18" s="56">
        <f t="shared" si="2"/>
        <v>0</v>
      </c>
      <c r="K18" s="56">
        <f t="shared" si="2"/>
        <v>0</v>
      </c>
      <c r="L18" s="56">
        <f t="shared" si="2"/>
        <v>0</v>
      </c>
      <c r="M18" s="56">
        <f t="shared" si="2"/>
        <v>0</v>
      </c>
      <c r="N18" s="56">
        <f t="shared" si="2"/>
        <v>0</v>
      </c>
      <c r="O18" s="56">
        <f t="shared" si="2"/>
        <v>0</v>
      </c>
      <c r="P18" s="58">
        <f>SUM(P1:P8)-SUM(P12:P13)</f>
        <v>0</v>
      </c>
      <c r="Q18" s="116">
        <f t="shared" si="0"/>
        <v>0</v>
      </c>
    </row>
    <row r="19" spans="1:17" ht="14.25" thickBot="1">
      <c r="A19" s="153"/>
      <c r="B19" s="149" t="s">
        <v>5</v>
      </c>
      <c r="C19" s="150"/>
      <c r="D19" s="42">
        <f>SUM(D3:D8)-SUM(D9:D13)+SUM(D14:D17)</f>
        <v>0</v>
      </c>
      <c r="E19" s="42">
        <f t="shared" ref="E19:O19" si="3">SUM(E3:E8)-SUM(E9:E13)+SUM(E14:E17)</f>
        <v>0</v>
      </c>
      <c r="F19" s="42">
        <f t="shared" si="3"/>
        <v>0</v>
      </c>
      <c r="G19" s="42">
        <f t="shared" si="3"/>
        <v>0</v>
      </c>
      <c r="H19" s="42">
        <f t="shared" si="3"/>
        <v>0</v>
      </c>
      <c r="I19" s="42">
        <f t="shared" si="3"/>
        <v>0</v>
      </c>
      <c r="J19" s="42">
        <f t="shared" si="3"/>
        <v>0</v>
      </c>
      <c r="K19" s="42">
        <f t="shared" si="3"/>
        <v>0</v>
      </c>
      <c r="L19" s="42">
        <f t="shared" si="3"/>
        <v>0</v>
      </c>
      <c r="M19" s="42">
        <f t="shared" si="3"/>
        <v>0</v>
      </c>
      <c r="N19" s="42">
        <f t="shared" si="3"/>
        <v>0</v>
      </c>
      <c r="O19" s="42">
        <f t="shared" si="3"/>
        <v>0</v>
      </c>
      <c r="P19" s="44">
        <f>SUM(P1:P8)-SUM(P9:P13)+SUM(P14:P17)</f>
        <v>0</v>
      </c>
      <c r="Q19" s="46">
        <f>SUM(D19:P19)</f>
        <v>0</v>
      </c>
    </row>
  </sheetData>
  <mergeCells count="6">
    <mergeCell ref="A1:A19"/>
    <mergeCell ref="B1:B8"/>
    <mergeCell ref="B9:B13"/>
    <mergeCell ref="B14:B17"/>
    <mergeCell ref="B18:C18"/>
    <mergeCell ref="B19:C19"/>
  </mergeCells>
  <phoneticPr fontId="3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A2" sqref="A2"/>
    </sheetView>
  </sheetViews>
  <sheetFormatPr defaultRowHeight="13.5"/>
  <sheetData/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■2017年度　社員給与詳細 (雛形)</vt:lpstr>
      <vt:lpstr>■2017年度　社員給与詳細</vt:lpstr>
      <vt:lpstr>■振込額一覧</vt:lpstr>
      <vt:lpstr>EmployeeData</vt:lpstr>
      <vt:lpstr>PartData</vt:lpstr>
      <vt:lpstr>Sheet1</vt:lpstr>
      <vt:lpstr>'■2017年度　社員給与詳細'!Print_Area</vt:lpstr>
      <vt:lpstr>'■2017年度　社員給与詳細 (雛形)'!Print_Area</vt:lpstr>
      <vt:lpstr>'■2017年度　社員給与詳細'!Print_Titles</vt:lpstr>
      <vt:lpstr>'■2017年度　社員給与詳細 (雛形)'!Print_Titles</vt:lpstr>
    </vt:vector>
  </TitlesOfParts>
  <Company>Freelance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Y.Tanaka</dc:creator>
  <cp:lastModifiedBy>守屋 照誉</cp:lastModifiedBy>
  <cp:lastPrinted>2016-11-08T10:52:50Z</cp:lastPrinted>
  <dcterms:created xsi:type="dcterms:W3CDTF">2002-06-24T23:40:45Z</dcterms:created>
  <dcterms:modified xsi:type="dcterms:W3CDTF">2017-08-08T07:40:28Z</dcterms:modified>
</cp:coreProperties>
</file>